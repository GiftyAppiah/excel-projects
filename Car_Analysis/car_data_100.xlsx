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OneDrive\Documents\Data Analysis\"/>
    </mc:Choice>
  </mc:AlternateContent>
  <xr:revisionPtr revIDLastSave="0" documentId="13_ncr:1_{E1F03EC3-E089-4DAD-ADE5-37F7D4CC763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2" r:id="rId1"/>
    <sheet name="car_data_100" sheetId="1" r:id="rId2"/>
  </sheets>
  <calcPr calcId="191029"/>
  <pivotCaches>
    <pivotCache cacheId="0" r:id="rId3"/>
  </pivotCaches>
</workbook>
</file>

<file path=xl/calcChain.xml><?xml version="1.0" encoding="utf-8"?>
<calcChain xmlns="http://schemas.openxmlformats.org/spreadsheetml/2006/main">
  <c r="D2" i="1" l="1"/>
  <c r="E2" i="1" s="1"/>
  <c r="B2" i="1"/>
  <c r="N101" i="1"/>
  <c r="M101" i="1"/>
  <c r="I101" i="1"/>
  <c r="G101" i="1"/>
  <c r="E101" i="1"/>
  <c r="D101" i="1"/>
  <c r="B101" i="1"/>
  <c r="N100" i="1"/>
  <c r="M100" i="1"/>
  <c r="I100" i="1"/>
  <c r="G100" i="1"/>
  <c r="E100" i="1"/>
  <c r="D100" i="1"/>
  <c r="B100" i="1"/>
  <c r="N99" i="1"/>
  <c r="M99" i="1"/>
  <c r="I99" i="1"/>
  <c r="G99" i="1"/>
  <c r="E99" i="1"/>
  <c r="D99" i="1"/>
  <c r="B99" i="1"/>
  <c r="N98" i="1"/>
  <c r="M98" i="1"/>
  <c r="I98" i="1"/>
  <c r="G98" i="1"/>
  <c r="E98" i="1"/>
  <c r="D98" i="1"/>
  <c r="B98" i="1"/>
  <c r="N97" i="1"/>
  <c r="M97" i="1"/>
  <c r="I97" i="1"/>
  <c r="G97" i="1"/>
  <c r="E97" i="1"/>
  <c r="D97" i="1"/>
  <c r="B97" i="1"/>
  <c r="N96" i="1"/>
  <c r="M96" i="1"/>
  <c r="I96" i="1"/>
  <c r="G96" i="1"/>
  <c r="E96" i="1"/>
  <c r="D96" i="1"/>
  <c r="B96" i="1"/>
  <c r="N95" i="1"/>
  <c r="M95" i="1"/>
  <c r="I95" i="1"/>
  <c r="G95" i="1"/>
  <c r="E95" i="1"/>
  <c r="D95" i="1"/>
  <c r="B95" i="1"/>
  <c r="N94" i="1"/>
  <c r="M94" i="1"/>
  <c r="I94" i="1"/>
  <c r="G94" i="1"/>
  <c r="E94" i="1"/>
  <c r="D94" i="1"/>
  <c r="B94" i="1"/>
  <c r="N93" i="1"/>
  <c r="M93" i="1"/>
  <c r="I93" i="1"/>
  <c r="G93" i="1"/>
  <c r="E93" i="1"/>
  <c r="D93" i="1"/>
  <c r="B93" i="1"/>
  <c r="N92" i="1"/>
  <c r="M92" i="1"/>
  <c r="I92" i="1"/>
  <c r="G92" i="1"/>
  <c r="E92" i="1"/>
  <c r="D92" i="1"/>
  <c r="B92" i="1"/>
  <c r="N91" i="1"/>
  <c r="M91" i="1"/>
  <c r="I91" i="1"/>
  <c r="G91" i="1"/>
  <c r="E91" i="1"/>
  <c r="D91" i="1"/>
  <c r="B91" i="1"/>
  <c r="N90" i="1"/>
  <c r="M90" i="1"/>
  <c r="I90" i="1"/>
  <c r="G90" i="1"/>
  <c r="E90" i="1"/>
  <c r="D90" i="1"/>
  <c r="B90" i="1"/>
  <c r="N89" i="1"/>
  <c r="M89" i="1"/>
  <c r="I89" i="1"/>
  <c r="G89" i="1"/>
  <c r="E89" i="1"/>
  <c r="D89" i="1"/>
  <c r="B89" i="1"/>
  <c r="N88" i="1"/>
  <c r="M88" i="1"/>
  <c r="I88" i="1"/>
  <c r="G88" i="1"/>
  <c r="E88" i="1"/>
  <c r="D88" i="1"/>
  <c r="B88" i="1"/>
  <c r="N87" i="1"/>
  <c r="M87" i="1"/>
  <c r="I87" i="1"/>
  <c r="G87" i="1"/>
  <c r="E87" i="1"/>
  <c r="D87" i="1"/>
  <c r="B87" i="1"/>
  <c r="N86" i="1"/>
  <c r="M86" i="1"/>
  <c r="I86" i="1"/>
  <c r="G86" i="1"/>
  <c r="E86" i="1"/>
  <c r="D86" i="1"/>
  <c r="B86" i="1"/>
  <c r="N85" i="1"/>
  <c r="M85" i="1"/>
  <c r="I85" i="1"/>
  <c r="G85" i="1"/>
  <c r="E85" i="1"/>
  <c r="D85" i="1"/>
  <c r="B85" i="1"/>
  <c r="N84" i="1"/>
  <c r="M84" i="1"/>
  <c r="I84" i="1"/>
  <c r="G84" i="1"/>
  <c r="E84" i="1"/>
  <c r="D84" i="1"/>
  <c r="B84" i="1"/>
  <c r="N83" i="1"/>
  <c r="M83" i="1"/>
  <c r="I83" i="1"/>
  <c r="G83" i="1"/>
  <c r="E83" i="1"/>
  <c r="D83" i="1"/>
  <c r="B83" i="1"/>
  <c r="N82" i="1"/>
  <c r="M82" i="1"/>
  <c r="I82" i="1"/>
  <c r="G82" i="1"/>
  <c r="E82" i="1"/>
  <c r="D82" i="1"/>
  <c r="B82" i="1"/>
  <c r="N81" i="1"/>
  <c r="M81" i="1"/>
  <c r="I81" i="1"/>
  <c r="G81" i="1"/>
  <c r="E81" i="1"/>
  <c r="D81" i="1"/>
  <c r="B81" i="1"/>
  <c r="N80" i="1"/>
  <c r="M80" i="1"/>
  <c r="I80" i="1"/>
  <c r="G80" i="1"/>
  <c r="E80" i="1"/>
  <c r="D80" i="1"/>
  <c r="B80" i="1"/>
  <c r="N79" i="1"/>
  <c r="M79" i="1"/>
  <c r="I79" i="1"/>
  <c r="G79" i="1"/>
  <c r="E79" i="1"/>
  <c r="D79" i="1"/>
  <c r="B79" i="1"/>
  <c r="N78" i="1"/>
  <c r="M78" i="1"/>
  <c r="I78" i="1"/>
  <c r="G78" i="1"/>
  <c r="E78" i="1"/>
  <c r="D78" i="1"/>
  <c r="B78" i="1"/>
  <c r="N77" i="1"/>
  <c r="M77" i="1"/>
  <c r="I77" i="1"/>
  <c r="G77" i="1"/>
  <c r="E77" i="1"/>
  <c r="D77" i="1"/>
  <c r="B77" i="1"/>
  <c r="N76" i="1"/>
  <c r="M76" i="1"/>
  <c r="I76" i="1"/>
  <c r="G76" i="1"/>
  <c r="E76" i="1"/>
  <c r="D76" i="1"/>
  <c r="B76" i="1"/>
  <c r="N75" i="1"/>
  <c r="M75" i="1"/>
  <c r="I75" i="1"/>
  <c r="G75" i="1"/>
  <c r="E75" i="1"/>
  <c r="D75" i="1"/>
  <c r="B75" i="1"/>
  <c r="N74" i="1"/>
  <c r="M74" i="1"/>
  <c r="I74" i="1"/>
  <c r="G74" i="1"/>
  <c r="E74" i="1"/>
  <c r="D74" i="1"/>
  <c r="B74" i="1"/>
  <c r="N73" i="1"/>
  <c r="M73" i="1"/>
  <c r="I73" i="1"/>
  <c r="G73" i="1"/>
  <c r="E73" i="1"/>
  <c r="D73" i="1"/>
  <c r="B73" i="1"/>
  <c r="N72" i="1"/>
  <c r="M72" i="1"/>
  <c r="I72" i="1"/>
  <c r="G72" i="1"/>
  <c r="E72" i="1"/>
  <c r="D72" i="1"/>
  <c r="B72" i="1"/>
  <c r="N71" i="1"/>
  <c r="M71" i="1"/>
  <c r="I71" i="1"/>
  <c r="G71" i="1"/>
  <c r="E71" i="1"/>
  <c r="D71" i="1"/>
  <c r="B71" i="1"/>
  <c r="N70" i="1"/>
  <c r="M70" i="1"/>
  <c r="I70" i="1"/>
  <c r="G70" i="1"/>
  <c r="E70" i="1"/>
  <c r="D70" i="1"/>
  <c r="B70" i="1"/>
  <c r="N69" i="1"/>
  <c r="M69" i="1"/>
  <c r="I69" i="1"/>
  <c r="G69" i="1"/>
  <c r="E69" i="1"/>
  <c r="D69" i="1"/>
  <c r="B69" i="1"/>
  <c r="N68" i="1"/>
  <c r="M68" i="1"/>
  <c r="I68" i="1"/>
  <c r="G68" i="1"/>
  <c r="E68" i="1"/>
  <c r="D68" i="1"/>
  <c r="B68" i="1"/>
  <c r="N67" i="1"/>
  <c r="M67" i="1"/>
  <c r="I67" i="1"/>
  <c r="G67" i="1"/>
  <c r="E67" i="1"/>
  <c r="D67" i="1"/>
  <c r="B67" i="1"/>
  <c r="N66" i="1"/>
  <c r="M66" i="1"/>
  <c r="I66" i="1"/>
  <c r="G66" i="1"/>
  <c r="E66" i="1"/>
  <c r="D66" i="1"/>
  <c r="B66" i="1"/>
  <c r="N65" i="1"/>
  <c r="M65" i="1"/>
  <c r="I65" i="1"/>
  <c r="G65" i="1"/>
  <c r="E65" i="1"/>
  <c r="D65" i="1"/>
  <c r="B65" i="1"/>
  <c r="N64" i="1"/>
  <c r="M64" i="1"/>
  <c r="I64" i="1"/>
  <c r="G64" i="1"/>
  <c r="E64" i="1"/>
  <c r="D64" i="1"/>
  <c r="B64" i="1"/>
  <c r="N63" i="1"/>
  <c r="M63" i="1"/>
  <c r="I63" i="1"/>
  <c r="G63" i="1"/>
  <c r="E63" i="1"/>
  <c r="D63" i="1"/>
  <c r="B63" i="1"/>
  <c r="N62" i="1"/>
  <c r="M62" i="1"/>
  <c r="I62" i="1"/>
  <c r="G62" i="1"/>
  <c r="E62" i="1"/>
  <c r="D62" i="1"/>
  <c r="B62" i="1"/>
  <c r="N61" i="1"/>
  <c r="M61" i="1"/>
  <c r="I61" i="1"/>
  <c r="G61" i="1"/>
  <c r="E61" i="1"/>
  <c r="D61" i="1"/>
  <c r="B61" i="1"/>
  <c r="N60" i="1"/>
  <c r="M60" i="1"/>
  <c r="I60" i="1"/>
  <c r="G60" i="1"/>
  <c r="E60" i="1"/>
  <c r="D60" i="1"/>
  <c r="B60" i="1"/>
  <c r="N59" i="1"/>
  <c r="M59" i="1"/>
  <c r="I59" i="1"/>
  <c r="G59" i="1"/>
  <c r="E59" i="1"/>
  <c r="D59" i="1"/>
  <c r="B59" i="1"/>
  <c r="N58" i="1"/>
  <c r="M58" i="1"/>
  <c r="I58" i="1"/>
  <c r="G58" i="1"/>
  <c r="E58" i="1"/>
  <c r="D58" i="1"/>
  <c r="B58" i="1"/>
  <c r="N57" i="1"/>
  <c r="M57" i="1"/>
  <c r="I57" i="1"/>
  <c r="G57" i="1"/>
  <c r="E57" i="1"/>
  <c r="D57" i="1"/>
  <c r="B57" i="1"/>
  <c r="N56" i="1"/>
  <c r="M56" i="1"/>
  <c r="I56" i="1"/>
  <c r="G56" i="1"/>
  <c r="E56" i="1"/>
  <c r="D56" i="1"/>
  <c r="B56" i="1"/>
  <c r="N55" i="1"/>
  <c r="M55" i="1"/>
  <c r="I55" i="1"/>
  <c r="G55" i="1"/>
  <c r="E55" i="1"/>
  <c r="D55" i="1"/>
  <c r="B55" i="1"/>
  <c r="N54" i="1"/>
  <c r="M54" i="1"/>
  <c r="I54" i="1"/>
  <c r="G54" i="1"/>
  <c r="E54" i="1"/>
  <c r="D54" i="1"/>
  <c r="B54" i="1"/>
  <c r="N53" i="1"/>
  <c r="M53" i="1"/>
  <c r="I53" i="1"/>
  <c r="G53" i="1"/>
  <c r="E53" i="1"/>
  <c r="D53" i="1"/>
  <c r="B53" i="1"/>
  <c r="N52" i="1"/>
  <c r="M52" i="1"/>
  <c r="I52" i="1"/>
  <c r="G52" i="1"/>
  <c r="E52" i="1"/>
  <c r="D52" i="1"/>
  <c r="B52" i="1"/>
  <c r="N51" i="1"/>
  <c r="M51" i="1"/>
  <c r="I51" i="1"/>
  <c r="G51" i="1"/>
  <c r="E51" i="1"/>
  <c r="D51" i="1"/>
  <c r="B51" i="1"/>
  <c r="N50" i="1"/>
  <c r="M50" i="1"/>
  <c r="I50" i="1"/>
  <c r="G50" i="1"/>
  <c r="E50" i="1"/>
  <c r="D50" i="1"/>
  <c r="B50" i="1"/>
  <c r="N49" i="1"/>
  <c r="M49" i="1"/>
  <c r="I49" i="1"/>
  <c r="G49" i="1"/>
  <c r="E49" i="1"/>
  <c r="D49" i="1"/>
  <c r="B49" i="1"/>
  <c r="N48" i="1"/>
  <c r="M48" i="1"/>
  <c r="I48" i="1"/>
  <c r="G48" i="1"/>
  <c r="E48" i="1"/>
  <c r="D48" i="1"/>
  <c r="B48" i="1"/>
  <c r="N47" i="1"/>
  <c r="M47" i="1"/>
  <c r="I47" i="1"/>
  <c r="G47" i="1"/>
  <c r="E47" i="1"/>
  <c r="D47" i="1"/>
  <c r="B47" i="1"/>
  <c r="N46" i="1"/>
  <c r="M46" i="1"/>
  <c r="I46" i="1"/>
  <c r="G46" i="1"/>
  <c r="E46" i="1"/>
  <c r="D46" i="1"/>
  <c r="B46" i="1"/>
  <c r="N45" i="1"/>
  <c r="M45" i="1"/>
  <c r="I45" i="1"/>
  <c r="G45" i="1"/>
  <c r="E45" i="1"/>
  <c r="D45" i="1"/>
  <c r="B45" i="1"/>
  <c r="N44" i="1"/>
  <c r="M44" i="1"/>
  <c r="I44" i="1"/>
  <c r="G44" i="1"/>
  <c r="E44" i="1"/>
  <c r="D44" i="1"/>
  <c r="B44" i="1"/>
  <c r="N43" i="1"/>
  <c r="M43" i="1"/>
  <c r="I43" i="1"/>
  <c r="G43" i="1"/>
  <c r="E43" i="1"/>
  <c r="D43" i="1"/>
  <c r="B43" i="1"/>
  <c r="N42" i="1"/>
  <c r="M42" i="1"/>
  <c r="I42" i="1"/>
  <c r="G42" i="1"/>
  <c r="E42" i="1"/>
  <c r="D42" i="1"/>
  <c r="B42" i="1"/>
  <c r="N41" i="1"/>
  <c r="M41" i="1"/>
  <c r="I41" i="1"/>
  <c r="G41" i="1"/>
  <c r="E41" i="1"/>
  <c r="D41" i="1"/>
  <c r="B41" i="1"/>
  <c r="N40" i="1"/>
  <c r="M40" i="1"/>
  <c r="I40" i="1"/>
  <c r="G40" i="1"/>
  <c r="E40" i="1"/>
  <c r="D40" i="1"/>
  <c r="B40" i="1"/>
  <c r="N39" i="1"/>
  <c r="M39" i="1"/>
  <c r="I39" i="1"/>
  <c r="G39" i="1"/>
  <c r="E39" i="1"/>
  <c r="D39" i="1"/>
  <c r="B39" i="1"/>
  <c r="N38" i="1"/>
  <c r="M38" i="1"/>
  <c r="I38" i="1"/>
  <c r="G38" i="1"/>
  <c r="E38" i="1"/>
  <c r="D38" i="1"/>
  <c r="B38" i="1"/>
  <c r="N37" i="1"/>
  <c r="M37" i="1"/>
  <c r="I37" i="1"/>
  <c r="G37" i="1"/>
  <c r="E37" i="1"/>
  <c r="D37" i="1"/>
  <c r="B37" i="1"/>
  <c r="N36" i="1"/>
  <c r="M36" i="1"/>
  <c r="I36" i="1"/>
  <c r="G36" i="1"/>
  <c r="E36" i="1"/>
  <c r="D36" i="1"/>
  <c r="B36" i="1"/>
  <c r="N35" i="1"/>
  <c r="M35" i="1"/>
  <c r="I35" i="1"/>
  <c r="G35" i="1"/>
  <c r="E35" i="1"/>
  <c r="D35" i="1"/>
  <c r="B35" i="1"/>
  <c r="N34" i="1"/>
  <c r="M34" i="1"/>
  <c r="I34" i="1"/>
  <c r="G34" i="1"/>
  <c r="E34" i="1"/>
  <c r="D34" i="1"/>
  <c r="B34" i="1"/>
  <c r="N33" i="1"/>
  <c r="M33" i="1"/>
  <c r="I33" i="1"/>
  <c r="G33" i="1"/>
  <c r="E33" i="1"/>
  <c r="D33" i="1"/>
  <c r="B33" i="1"/>
  <c r="N32" i="1"/>
  <c r="M32" i="1"/>
  <c r="I32" i="1"/>
  <c r="G32" i="1"/>
  <c r="E32" i="1"/>
  <c r="D32" i="1"/>
  <c r="B32" i="1"/>
  <c r="N31" i="1"/>
  <c r="M31" i="1"/>
  <c r="I31" i="1"/>
  <c r="G31" i="1"/>
  <c r="E31" i="1"/>
  <c r="D31" i="1"/>
  <c r="B31" i="1"/>
  <c r="N30" i="1"/>
  <c r="M30" i="1"/>
  <c r="I30" i="1"/>
  <c r="G30" i="1"/>
  <c r="E30" i="1"/>
  <c r="D30" i="1"/>
  <c r="B30" i="1"/>
  <c r="N29" i="1"/>
  <c r="M29" i="1"/>
  <c r="I29" i="1"/>
  <c r="G29" i="1"/>
  <c r="E29" i="1"/>
  <c r="D29" i="1"/>
  <c r="B29" i="1"/>
  <c r="N28" i="1"/>
  <c r="M28" i="1"/>
  <c r="I28" i="1"/>
  <c r="G28" i="1"/>
  <c r="E28" i="1"/>
  <c r="D28" i="1"/>
  <c r="B28" i="1"/>
  <c r="N27" i="1"/>
  <c r="M27" i="1"/>
  <c r="I27" i="1"/>
  <c r="G27" i="1"/>
  <c r="E27" i="1"/>
  <c r="D27" i="1"/>
  <c r="B27" i="1"/>
  <c r="N26" i="1"/>
  <c r="M26" i="1"/>
  <c r="I26" i="1"/>
  <c r="G26" i="1"/>
  <c r="E26" i="1"/>
  <c r="D26" i="1"/>
  <c r="B26" i="1"/>
  <c r="N25" i="1"/>
  <c r="M25" i="1"/>
  <c r="I25" i="1"/>
  <c r="G25" i="1"/>
  <c r="E25" i="1"/>
  <c r="D25" i="1"/>
  <c r="B25" i="1"/>
  <c r="N24" i="1"/>
  <c r="M24" i="1"/>
  <c r="I24" i="1"/>
  <c r="G24" i="1"/>
  <c r="E24" i="1"/>
  <c r="D24" i="1"/>
  <c r="B24" i="1"/>
  <c r="N23" i="1"/>
  <c r="M23" i="1"/>
  <c r="I23" i="1"/>
  <c r="G23" i="1"/>
  <c r="E23" i="1"/>
  <c r="D23" i="1"/>
  <c r="B23" i="1"/>
  <c r="N22" i="1"/>
  <c r="M22" i="1"/>
  <c r="I22" i="1"/>
  <c r="G22" i="1"/>
  <c r="E22" i="1"/>
  <c r="D22" i="1"/>
  <c r="B22" i="1"/>
  <c r="N21" i="1"/>
  <c r="M21" i="1"/>
  <c r="I21" i="1"/>
  <c r="G21" i="1"/>
  <c r="E21" i="1"/>
  <c r="D21" i="1"/>
  <c r="B21" i="1"/>
  <c r="N20" i="1"/>
  <c r="M20" i="1"/>
  <c r="I20" i="1"/>
  <c r="G20" i="1"/>
  <c r="E20" i="1"/>
  <c r="D20" i="1"/>
  <c r="B20" i="1"/>
  <c r="N19" i="1"/>
  <c r="M19" i="1"/>
  <c r="I19" i="1"/>
  <c r="G19" i="1"/>
  <c r="E19" i="1"/>
  <c r="D19" i="1"/>
  <c r="B19" i="1"/>
  <c r="N18" i="1"/>
  <c r="M18" i="1"/>
  <c r="I18" i="1"/>
  <c r="G18" i="1"/>
  <c r="E18" i="1"/>
  <c r="D18" i="1"/>
  <c r="B18" i="1"/>
  <c r="N17" i="1"/>
  <c r="M17" i="1"/>
  <c r="I17" i="1"/>
  <c r="G17" i="1"/>
  <c r="E17" i="1"/>
  <c r="D17" i="1"/>
  <c r="B17" i="1"/>
  <c r="N16" i="1"/>
  <c r="M16" i="1"/>
  <c r="I16" i="1"/>
  <c r="G16" i="1"/>
  <c r="E16" i="1"/>
  <c r="D16" i="1"/>
  <c r="B16" i="1"/>
  <c r="N15" i="1"/>
  <c r="M15" i="1"/>
  <c r="I15" i="1"/>
  <c r="G15" i="1"/>
  <c r="E15" i="1"/>
  <c r="D15" i="1"/>
  <c r="B15" i="1"/>
  <c r="N14" i="1"/>
  <c r="M14" i="1"/>
  <c r="I14" i="1"/>
  <c r="G14" i="1"/>
  <c r="E14" i="1"/>
  <c r="D14" i="1"/>
  <c r="B14" i="1"/>
  <c r="N13" i="1"/>
  <c r="M13" i="1"/>
  <c r="I13" i="1"/>
  <c r="G13" i="1"/>
  <c r="E13" i="1"/>
  <c r="D13" i="1"/>
  <c r="B13" i="1"/>
  <c r="N12" i="1"/>
  <c r="M12" i="1"/>
  <c r="I12" i="1"/>
  <c r="G12" i="1"/>
  <c r="E12" i="1"/>
  <c r="D12" i="1"/>
  <c r="B12" i="1"/>
  <c r="N11" i="1"/>
  <c r="M11" i="1"/>
  <c r="I11" i="1"/>
  <c r="G11" i="1"/>
  <c r="E11" i="1"/>
  <c r="D11" i="1"/>
  <c r="B11" i="1"/>
  <c r="N10" i="1"/>
  <c r="M10" i="1"/>
  <c r="I10" i="1"/>
  <c r="G10" i="1"/>
  <c r="E10" i="1"/>
  <c r="D10" i="1"/>
  <c r="B10" i="1"/>
  <c r="N9" i="1"/>
  <c r="M9" i="1"/>
  <c r="I9" i="1"/>
  <c r="G9" i="1"/>
  <c r="E9" i="1"/>
  <c r="D9" i="1"/>
  <c r="B9" i="1"/>
  <c r="N8" i="1"/>
  <c r="M8" i="1"/>
  <c r="I8" i="1"/>
  <c r="G8" i="1"/>
  <c r="E8" i="1"/>
  <c r="D8" i="1"/>
  <c r="B8" i="1"/>
  <c r="N7" i="1"/>
  <c r="M7" i="1"/>
  <c r="I7" i="1"/>
  <c r="G7" i="1"/>
  <c r="E7" i="1"/>
  <c r="D7" i="1"/>
  <c r="B7" i="1"/>
  <c r="N6" i="1"/>
  <c r="M6" i="1"/>
  <c r="I6" i="1"/>
  <c r="G6" i="1"/>
  <c r="E6" i="1"/>
  <c r="D6" i="1"/>
  <c r="B6" i="1"/>
  <c r="N5" i="1"/>
  <c r="M5" i="1"/>
  <c r="I5" i="1"/>
  <c r="G5" i="1"/>
  <c r="E5" i="1"/>
  <c r="D5" i="1"/>
  <c r="B5" i="1"/>
  <c r="N4" i="1"/>
  <c r="M4" i="1"/>
  <c r="I4" i="1"/>
  <c r="G4" i="1"/>
  <c r="E4" i="1"/>
  <c r="D4" i="1"/>
  <c r="B4" i="1"/>
  <c r="N3" i="1"/>
  <c r="M3" i="1"/>
  <c r="I3" i="1"/>
  <c r="G3" i="1"/>
  <c r="E3" i="1"/>
  <c r="D3" i="1"/>
  <c r="B3" i="1"/>
  <c r="N2" i="1"/>
  <c r="M2" i="1"/>
  <c r="I2" i="1"/>
  <c r="G2" i="1"/>
</calcChain>
</file>

<file path=xl/sharedStrings.xml><?xml version="1.0" encoding="utf-8"?>
<sst xmlns="http://schemas.openxmlformats.org/spreadsheetml/2006/main" count="454" uniqueCount="165">
  <si>
    <t>Driver</t>
  </si>
  <si>
    <t>Sum of Miles</t>
  </si>
  <si>
    <t>Adams</t>
  </si>
  <si>
    <t>Bard</t>
  </si>
  <si>
    <t>Clark</t>
  </si>
  <si>
    <t>Davis</t>
  </si>
  <si>
    <t>Evans</t>
  </si>
  <si>
    <t>Harris</t>
  </si>
  <si>
    <t>Howard</t>
  </si>
  <si>
    <t>Jones</t>
  </si>
  <si>
    <t>Lee</t>
  </si>
  <si>
    <t>Lyon</t>
  </si>
  <si>
    <t>McCall</t>
  </si>
  <si>
    <t>Miller</t>
  </si>
  <si>
    <t>Praulty</t>
  </si>
  <si>
    <t>Rodriguez</t>
  </si>
  <si>
    <t>Santos</t>
  </si>
  <si>
    <t>Smith</t>
  </si>
  <si>
    <t>Taylor</t>
  </si>
  <si>
    <t>Vizzini</t>
  </si>
  <si>
    <t>Walker</t>
  </si>
  <si>
    <t>Yousef</t>
  </si>
  <si>
    <t>Grand Total</t>
  </si>
  <si>
    <t>Car ID</t>
  </si>
  <si>
    <t>Make</t>
  </si>
  <si>
    <t>Make (Full Name)</t>
  </si>
  <si>
    <t>Model</t>
  </si>
  <si>
    <t>Model (Full Name)</t>
  </si>
  <si>
    <t>Manufacture Year</t>
  </si>
  <si>
    <t>Age</t>
  </si>
  <si>
    <t>Miles</t>
  </si>
  <si>
    <t>Miles / Year</t>
  </si>
  <si>
    <t>Color</t>
  </si>
  <si>
    <t>Warantee Miles</t>
  </si>
  <si>
    <t>Covered?</t>
  </si>
  <si>
    <t>New Car ID</t>
  </si>
  <si>
    <t>NS19VTX052</t>
  </si>
  <si>
    <t>Nissan</t>
  </si>
  <si>
    <t>Gray</t>
  </si>
  <si>
    <t>Left</t>
  </si>
  <si>
    <t>TY17FCS049</t>
  </si>
  <si>
    <t>Toyota</t>
  </si>
  <si>
    <t>Blue</t>
  </si>
  <si>
    <t>Right</t>
  </si>
  <si>
    <t>TY06MTG012</t>
  </si>
  <si>
    <t>Black</t>
  </si>
  <si>
    <t>Mid</t>
  </si>
  <si>
    <t>GM09MTG091</t>
  </si>
  <si>
    <t>General Motors</t>
  </si>
  <si>
    <t>Green</t>
  </si>
  <si>
    <t>vlookup</t>
  </si>
  <si>
    <t>NS15ECO007</t>
  </si>
  <si>
    <t>Red</t>
  </si>
  <si>
    <t>Concatenate</t>
  </si>
  <si>
    <t>HD09CMR057</t>
  </si>
  <si>
    <t>Honda</t>
  </si>
  <si>
    <t>FD13PRS079</t>
  </si>
  <si>
    <t>Ford</t>
  </si>
  <si>
    <t>TY09CMR023</t>
  </si>
  <si>
    <t>TY08PRS084</t>
  </si>
  <si>
    <t>FD08FCS065</t>
  </si>
  <si>
    <t>NS19VTX022</t>
  </si>
  <si>
    <t>TY10CMR090</t>
  </si>
  <si>
    <t>HD07VTX059</t>
  </si>
  <si>
    <t>HD16FCS066</t>
  </si>
  <si>
    <t>FD20MTG058</t>
  </si>
  <si>
    <t>GM19PRS047</t>
  </si>
  <si>
    <t>TY11FCS034</t>
  </si>
  <si>
    <t>White</t>
  </si>
  <si>
    <t>NS08MTG020</t>
  </si>
  <si>
    <t>FD06VTX080</t>
  </si>
  <si>
    <t>NS09CMR002</t>
  </si>
  <si>
    <t>TY15VTX044</t>
  </si>
  <si>
    <t>TY16FCS073</t>
  </si>
  <si>
    <t>HD17VTX086</t>
  </si>
  <si>
    <t>HD18PRS037</t>
  </si>
  <si>
    <t>HD19MTG010</t>
  </si>
  <si>
    <t>Silver</t>
  </si>
  <si>
    <t>FD14ECO045</t>
  </si>
  <si>
    <t>FD19VTX097</t>
  </si>
  <si>
    <t>HD20PRS056</t>
  </si>
  <si>
    <t>HD11VTX093</t>
  </si>
  <si>
    <t>HD13ECO026</t>
  </si>
  <si>
    <t>FD07MTG016</t>
  </si>
  <si>
    <t>TY19PRS077</t>
  </si>
  <si>
    <t>GM11VTX069</t>
  </si>
  <si>
    <t>FD05ECO092</t>
  </si>
  <si>
    <t>TY05VTX055</t>
  </si>
  <si>
    <t>HD22FCS072</t>
  </si>
  <si>
    <t>GM22PRS061</t>
  </si>
  <si>
    <t>GM07PRS003</t>
  </si>
  <si>
    <t>GM10MTG039</t>
  </si>
  <si>
    <t>HD13CMR014</t>
  </si>
  <si>
    <t>GM10ECO062</t>
  </si>
  <si>
    <t>FD09CMR043</t>
  </si>
  <si>
    <t>NS05VTX089</t>
  </si>
  <si>
    <t>FD08CMR095</t>
  </si>
  <si>
    <t>FD14VTX006</t>
  </si>
  <si>
    <t>FD15VTX078</t>
  </si>
  <si>
    <t>NS20MTG038</t>
  </si>
  <si>
    <t>FD19PRS075</t>
  </si>
  <si>
    <t>HD17MTG036</t>
  </si>
  <si>
    <t>GM15MTG054</t>
  </si>
  <si>
    <t>NS18ECO053</t>
  </si>
  <si>
    <t>TY07VTX100</t>
  </si>
  <si>
    <t>TY23PRS008</t>
  </si>
  <si>
    <t>HD09VTX082</t>
  </si>
  <si>
    <t>TY11VTX019</t>
  </si>
  <si>
    <t>NS10VTX046</t>
  </si>
  <si>
    <t>FD14CMR060</t>
  </si>
  <si>
    <t>HD17CMR029</t>
  </si>
  <si>
    <t>GM08VTX051</t>
  </si>
  <si>
    <t>NS23FCS024</t>
  </si>
  <si>
    <t>HD19PRS030</t>
  </si>
  <si>
    <t>NS18CMR067</t>
  </si>
  <si>
    <t>HD21VTX068</t>
  </si>
  <si>
    <t>GM05ECO076</t>
  </si>
  <si>
    <t>FD22FCS004</t>
  </si>
  <si>
    <t>TY15CMR011</t>
  </si>
  <si>
    <t>FD18ECO099</t>
  </si>
  <si>
    <t>TY12ECO085</t>
  </si>
  <si>
    <t>FD19PRS048</t>
  </si>
  <si>
    <t>GM13ECO087</t>
  </si>
  <si>
    <t>FD18FCS050</t>
  </si>
  <si>
    <t>GM23VTX017</t>
  </si>
  <si>
    <t>NS13VTX013</t>
  </si>
  <si>
    <t>HD19CMR063</t>
  </si>
  <si>
    <t>HD05MTG009</t>
  </si>
  <si>
    <t>HD10PRS015</t>
  </si>
  <si>
    <t>NS06PRS005</t>
  </si>
  <si>
    <t>HD15FCS081</t>
  </si>
  <si>
    <t>NS16CMR032</t>
  </si>
  <si>
    <t>TY20CMR094</t>
  </si>
  <si>
    <t>FD05ECO071</t>
  </si>
  <si>
    <t>FD20CMR025</t>
  </si>
  <si>
    <t>GM17CMR098</t>
  </si>
  <si>
    <t>HD14MTG088</t>
  </si>
  <si>
    <t>GM06MTG035</t>
  </si>
  <si>
    <t>TY09FCS018</t>
  </si>
  <si>
    <t>NS05PRS001</t>
  </si>
  <si>
    <t>HD09PRS040</t>
  </si>
  <si>
    <t>HD16CMR028</t>
  </si>
  <si>
    <t>FD22VTX064</t>
  </si>
  <si>
    <t>GM19FCS033</t>
  </si>
  <si>
    <t>GM11PRS031</t>
  </si>
  <si>
    <t>FD05PRS021</t>
  </si>
  <si>
    <t>HD10CMR083</t>
  </si>
  <si>
    <t>FD06VTX074</t>
  </si>
  <si>
    <t>GM15ECO070</t>
  </si>
  <si>
    <t>NS18FCS041</t>
  </si>
  <si>
    <t>GM07ECO027</t>
  </si>
  <si>
    <t>FD11PRS096</t>
  </si>
  <si>
    <t>HD12VTX042</t>
  </si>
  <si>
    <t>CMR</t>
  </si>
  <si>
    <t>Camero</t>
  </si>
  <si>
    <t>ECO</t>
  </si>
  <si>
    <t>Ecolle</t>
  </si>
  <si>
    <t>FCS</t>
  </si>
  <si>
    <t>Focus</t>
  </si>
  <si>
    <t>MTG</t>
  </si>
  <si>
    <t>Mustang</t>
  </si>
  <si>
    <t>PRS</t>
  </si>
  <si>
    <t>Press</t>
  </si>
  <si>
    <t>VTX</t>
  </si>
  <si>
    <t>Vitex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</si>
</sst>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6" formatCode="0.00_ 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66" fontId="0" fillId="0" borderId="0" xfId="0" applyNumberFormat="1">
      <alignment vertical="center"/>
    </xf>
  </cellXfs>
  <cellStyles count="1">
    <cellStyle name="Normal" xfId="0" builtinId="0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[car_data_100.xlsx]Sheet1!PivotTable1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9947368421053"/>
          <c:y val="0.26597222122881098"/>
          <c:w val="0.76110526315789495"/>
          <c:h val="0.405416668653488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Sheet1!$A$5:$A$25</c:f>
              <c:strCache>
                <c:ptCount val="20"/>
                <c:pt idx="0">
                  <c:v>Adams</c:v>
                </c:pt>
                <c:pt idx="1">
                  <c:v>Bard</c:v>
                </c:pt>
                <c:pt idx="2">
                  <c:v>Clark</c:v>
                </c:pt>
                <c:pt idx="3">
                  <c:v>Davis</c:v>
                </c:pt>
                <c:pt idx="4">
                  <c:v>Evans</c:v>
                </c:pt>
                <c:pt idx="5">
                  <c:v>Harris</c:v>
                </c:pt>
                <c:pt idx="6">
                  <c:v>Howard</c:v>
                </c:pt>
                <c:pt idx="7">
                  <c:v>Jones</c:v>
                </c:pt>
                <c:pt idx="8">
                  <c:v>Lee</c:v>
                </c:pt>
                <c:pt idx="9">
                  <c:v>Lyon</c:v>
                </c:pt>
                <c:pt idx="10">
                  <c:v>McCall</c:v>
                </c:pt>
                <c:pt idx="11">
                  <c:v>Miller</c:v>
                </c:pt>
                <c:pt idx="12">
                  <c:v>Praulty</c:v>
                </c:pt>
                <c:pt idx="13">
                  <c:v>Rodriguez</c:v>
                </c:pt>
                <c:pt idx="14">
                  <c:v>Santos</c:v>
                </c:pt>
                <c:pt idx="15">
                  <c:v>Smith</c:v>
                </c:pt>
                <c:pt idx="16">
                  <c:v>Taylor</c:v>
                </c:pt>
                <c:pt idx="17">
                  <c:v>Vizzini</c:v>
                </c:pt>
                <c:pt idx="18">
                  <c:v>Walker</c:v>
                </c:pt>
                <c:pt idx="19">
                  <c:v>Yousef</c:v>
                </c:pt>
              </c:strCache>
            </c:strRef>
          </c:cat>
          <c:val>
            <c:numRef>
              <c:f>Sheet1!$B$5:$B$25</c:f>
              <c:numCache>
                <c:formatCode>General</c:formatCode>
                <c:ptCount val="20"/>
                <c:pt idx="0">
                  <c:v>214994.6</c:v>
                </c:pt>
                <c:pt idx="1">
                  <c:v>403419.5</c:v>
                </c:pt>
                <c:pt idx="2">
                  <c:v>153423.79999999999</c:v>
                </c:pt>
                <c:pt idx="3">
                  <c:v>106983.9</c:v>
                </c:pt>
                <c:pt idx="4">
                  <c:v>120995.5</c:v>
                </c:pt>
                <c:pt idx="5">
                  <c:v>175870.1</c:v>
                </c:pt>
                <c:pt idx="6">
                  <c:v>259035.9</c:v>
                </c:pt>
                <c:pt idx="7">
                  <c:v>129284</c:v>
                </c:pt>
                <c:pt idx="8">
                  <c:v>270350.8</c:v>
                </c:pt>
                <c:pt idx="9">
                  <c:v>219982.8</c:v>
                </c:pt>
                <c:pt idx="10">
                  <c:v>182111.4</c:v>
                </c:pt>
                <c:pt idx="11">
                  <c:v>224379.8</c:v>
                </c:pt>
                <c:pt idx="12">
                  <c:v>127730.6</c:v>
                </c:pt>
                <c:pt idx="13">
                  <c:v>182137.7</c:v>
                </c:pt>
                <c:pt idx="14">
                  <c:v>162338</c:v>
                </c:pt>
                <c:pt idx="15">
                  <c:v>110652</c:v>
                </c:pt>
                <c:pt idx="16">
                  <c:v>76813.600000000006</c:v>
                </c:pt>
                <c:pt idx="17">
                  <c:v>268773.90000000002</c:v>
                </c:pt>
                <c:pt idx="18">
                  <c:v>32687.5</c:v>
                </c:pt>
                <c:pt idx="19">
                  <c:v>86574.5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A8-45F3-AC31-B32F94619A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368150129"/>
        <c:axId val="860237304"/>
      </c:barChart>
      <c:catAx>
        <c:axId val="36815012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0237304"/>
        <c:crosses val="autoZero"/>
        <c:auto val="1"/>
        <c:lblAlgn val="ctr"/>
        <c:lblOffset val="100"/>
        <c:noMultiLvlLbl val="0"/>
      </c:catAx>
      <c:valAx>
        <c:axId val="860237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15012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car_data_100!$G$1</c:f>
              <c:strCache>
                <c:ptCount val="1"/>
                <c:pt idx="0">
                  <c:v>Age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car_data_100!$G$2:$G$112</c:f>
              <c:numCache>
                <c:formatCode>General</c:formatCode>
                <c:ptCount val="111"/>
                <c:pt idx="0">
                  <c:v>16</c:v>
                </c:pt>
                <c:pt idx="1">
                  <c:v>10</c:v>
                </c:pt>
                <c:pt idx="2">
                  <c:v>16</c:v>
                </c:pt>
                <c:pt idx="3">
                  <c:v>12</c:v>
                </c:pt>
                <c:pt idx="4">
                  <c:v>16</c:v>
                </c:pt>
                <c:pt idx="5">
                  <c:v>17</c:v>
                </c:pt>
                <c:pt idx="6">
                  <c:v>17</c:v>
                </c:pt>
                <c:pt idx="7">
                  <c:v>6</c:v>
                </c:pt>
                <c:pt idx="8">
                  <c:v>15</c:v>
                </c:pt>
                <c:pt idx="9">
                  <c:v>18</c:v>
                </c:pt>
                <c:pt idx="10">
                  <c:v>9</c:v>
                </c:pt>
                <c:pt idx="11">
                  <c:v>5</c:v>
                </c:pt>
                <c:pt idx="12">
                  <c:v>6</c:v>
                </c:pt>
                <c:pt idx="13">
                  <c:v>14</c:v>
                </c:pt>
                <c:pt idx="14">
                  <c:v>17</c:v>
                </c:pt>
                <c:pt idx="15">
                  <c:v>19</c:v>
                </c:pt>
                <c:pt idx="16">
                  <c:v>16</c:v>
                </c:pt>
                <c:pt idx="17">
                  <c:v>10</c:v>
                </c:pt>
                <c:pt idx="18">
                  <c:v>9</c:v>
                </c:pt>
                <c:pt idx="19">
                  <c:v>8</c:v>
                </c:pt>
                <c:pt idx="20">
                  <c:v>10</c:v>
                </c:pt>
                <c:pt idx="21">
                  <c:v>6</c:v>
                </c:pt>
                <c:pt idx="22">
                  <c:v>11</c:v>
                </c:pt>
                <c:pt idx="23">
                  <c:v>6</c:v>
                </c:pt>
                <c:pt idx="24">
                  <c:v>5</c:v>
                </c:pt>
                <c:pt idx="25">
                  <c:v>14</c:v>
                </c:pt>
                <c:pt idx="26">
                  <c:v>12</c:v>
                </c:pt>
                <c:pt idx="27">
                  <c:v>18</c:v>
                </c:pt>
                <c:pt idx="28">
                  <c:v>6</c:v>
                </c:pt>
                <c:pt idx="29">
                  <c:v>14</c:v>
                </c:pt>
                <c:pt idx="30">
                  <c:v>20</c:v>
                </c:pt>
                <c:pt idx="31">
                  <c:v>20</c:v>
                </c:pt>
                <c:pt idx="32">
                  <c:v>3</c:v>
                </c:pt>
                <c:pt idx="33">
                  <c:v>3</c:v>
                </c:pt>
                <c:pt idx="34">
                  <c:v>18</c:v>
                </c:pt>
                <c:pt idx="35">
                  <c:v>15</c:v>
                </c:pt>
                <c:pt idx="36">
                  <c:v>12</c:v>
                </c:pt>
                <c:pt idx="37">
                  <c:v>15</c:v>
                </c:pt>
                <c:pt idx="38">
                  <c:v>16</c:v>
                </c:pt>
                <c:pt idx="39">
                  <c:v>20</c:v>
                </c:pt>
                <c:pt idx="40">
                  <c:v>17</c:v>
                </c:pt>
                <c:pt idx="41">
                  <c:v>11</c:v>
                </c:pt>
                <c:pt idx="42">
                  <c:v>10</c:v>
                </c:pt>
                <c:pt idx="43">
                  <c:v>5</c:v>
                </c:pt>
                <c:pt idx="44">
                  <c:v>6</c:v>
                </c:pt>
                <c:pt idx="45">
                  <c:v>8</c:v>
                </c:pt>
                <c:pt idx="46">
                  <c:v>10</c:v>
                </c:pt>
                <c:pt idx="47">
                  <c:v>7</c:v>
                </c:pt>
                <c:pt idx="48">
                  <c:v>18</c:v>
                </c:pt>
                <c:pt idx="49">
                  <c:v>2</c:v>
                </c:pt>
                <c:pt idx="50">
                  <c:v>16</c:v>
                </c:pt>
                <c:pt idx="51">
                  <c:v>18</c:v>
                </c:pt>
                <c:pt idx="52">
                  <c:v>15</c:v>
                </c:pt>
                <c:pt idx="53">
                  <c:v>11</c:v>
                </c:pt>
                <c:pt idx="54">
                  <c:v>14</c:v>
                </c:pt>
                <c:pt idx="55">
                  <c:v>17</c:v>
                </c:pt>
                <c:pt idx="56">
                  <c:v>2</c:v>
                </c:pt>
                <c:pt idx="57">
                  <c:v>6</c:v>
                </c:pt>
                <c:pt idx="58">
                  <c:v>7</c:v>
                </c:pt>
                <c:pt idx="59">
                  <c:v>4</c:v>
                </c:pt>
                <c:pt idx="60">
                  <c:v>20</c:v>
                </c:pt>
                <c:pt idx="61">
                  <c:v>3</c:v>
                </c:pt>
                <c:pt idx="62">
                  <c:v>10</c:v>
                </c:pt>
                <c:pt idx="63">
                  <c:v>7</c:v>
                </c:pt>
                <c:pt idx="64">
                  <c:v>13</c:v>
                </c:pt>
                <c:pt idx="65">
                  <c:v>6</c:v>
                </c:pt>
                <c:pt idx="66">
                  <c:v>12</c:v>
                </c:pt>
                <c:pt idx="67">
                  <c:v>7</c:v>
                </c:pt>
                <c:pt idx="68">
                  <c:v>2</c:v>
                </c:pt>
                <c:pt idx="69">
                  <c:v>12</c:v>
                </c:pt>
                <c:pt idx="70">
                  <c:v>6</c:v>
                </c:pt>
                <c:pt idx="71">
                  <c:v>20</c:v>
                </c:pt>
                <c:pt idx="72">
                  <c:v>15</c:v>
                </c:pt>
                <c:pt idx="73">
                  <c:v>19</c:v>
                </c:pt>
                <c:pt idx="74">
                  <c:v>10</c:v>
                </c:pt>
                <c:pt idx="75">
                  <c:v>9</c:v>
                </c:pt>
                <c:pt idx="76">
                  <c:v>5</c:v>
                </c:pt>
                <c:pt idx="77">
                  <c:v>20</c:v>
                </c:pt>
                <c:pt idx="78">
                  <c:v>5</c:v>
                </c:pt>
                <c:pt idx="79">
                  <c:v>8</c:v>
                </c:pt>
                <c:pt idx="80">
                  <c:v>11</c:v>
                </c:pt>
                <c:pt idx="81">
                  <c:v>19</c:v>
                </c:pt>
                <c:pt idx="82">
                  <c:v>16</c:v>
                </c:pt>
                <c:pt idx="83">
                  <c:v>20</c:v>
                </c:pt>
                <c:pt idx="84">
                  <c:v>16</c:v>
                </c:pt>
                <c:pt idx="85">
                  <c:v>9</c:v>
                </c:pt>
                <c:pt idx="86">
                  <c:v>3</c:v>
                </c:pt>
                <c:pt idx="87">
                  <c:v>6</c:v>
                </c:pt>
                <c:pt idx="88">
                  <c:v>14</c:v>
                </c:pt>
                <c:pt idx="89">
                  <c:v>20</c:v>
                </c:pt>
                <c:pt idx="90">
                  <c:v>15</c:v>
                </c:pt>
                <c:pt idx="91">
                  <c:v>19</c:v>
                </c:pt>
                <c:pt idx="92">
                  <c:v>10</c:v>
                </c:pt>
                <c:pt idx="93">
                  <c:v>7</c:v>
                </c:pt>
                <c:pt idx="94">
                  <c:v>18</c:v>
                </c:pt>
                <c:pt idx="95">
                  <c:v>14</c:v>
                </c:pt>
                <c:pt idx="96">
                  <c:v>13</c:v>
                </c:pt>
                <c:pt idx="97">
                  <c:v>2025</c:v>
                </c:pt>
                <c:pt idx="98">
                  <c:v>2025</c:v>
                </c:pt>
                <c:pt idx="99">
                  <c:v>2025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0C-4A55-973C-DD739A16C512}"/>
            </c:ext>
          </c:extLst>
        </c:ser>
        <c:ser>
          <c:idx val="1"/>
          <c:order val="1"/>
          <c:tx>
            <c:strRef>
              <c:f>car_data_100!$I$1</c:f>
              <c:strCache>
                <c:ptCount val="1"/>
                <c:pt idx="0">
                  <c:v>Miles / Year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yVal>
            <c:numRef>
              <c:f>car_data_100!$I$2:$I$112</c:f>
              <c:numCache>
                <c:formatCode>0.00_ </c:formatCode>
                <c:ptCount val="111"/>
                <c:pt idx="0">
                  <c:v>801.79375000000005</c:v>
                </c:pt>
                <c:pt idx="1">
                  <c:v>1292.3800000000001</c:v>
                </c:pt>
                <c:pt idx="2">
                  <c:v>820.4375</c:v>
                </c:pt>
                <c:pt idx="3">
                  <c:v>1123.675</c:v>
                </c:pt>
                <c:pt idx="4">
                  <c:v>896.46875</c:v>
                </c:pt>
                <c:pt idx="5">
                  <c:v>853.99411764705906</c:v>
                </c:pt>
                <c:pt idx="6">
                  <c:v>869.84705882352898</c:v>
                </c:pt>
                <c:pt idx="7">
                  <c:v>2515.0666666666698</c:v>
                </c:pt>
                <c:pt idx="8">
                  <c:v>1011.43333333333</c:v>
                </c:pt>
                <c:pt idx="9">
                  <c:v>852.194444444444</c:v>
                </c:pt>
                <c:pt idx="10">
                  <c:v>1825.86666666667</c:v>
                </c:pt>
                <c:pt idx="11">
                  <c:v>3351.14</c:v>
                </c:pt>
                <c:pt idx="12">
                  <c:v>2793.9666666666699</c:v>
                </c:pt>
                <c:pt idx="13">
                  <c:v>1204</c:v>
                </c:pt>
                <c:pt idx="14">
                  <c:v>1002.19411764706</c:v>
                </c:pt>
                <c:pt idx="15">
                  <c:v>936.28947368421098</c:v>
                </c:pt>
                <c:pt idx="16">
                  <c:v>1114.66875</c:v>
                </c:pt>
                <c:pt idx="17">
                  <c:v>1790.8</c:v>
                </c:pt>
                <c:pt idx="18">
                  <c:v>2061.0333333333301</c:v>
                </c:pt>
                <c:pt idx="19">
                  <c:v>2584.9375</c:v>
                </c:pt>
                <c:pt idx="20">
                  <c:v>2099.92</c:v>
                </c:pt>
                <c:pt idx="21">
                  <c:v>3503.5666666666698</c:v>
                </c:pt>
                <c:pt idx="22">
                  <c:v>1959.00909090909</c:v>
                </c:pt>
                <c:pt idx="23">
                  <c:v>3648.6666666666702</c:v>
                </c:pt>
                <c:pt idx="24">
                  <c:v>4450.7</c:v>
                </c:pt>
                <c:pt idx="25">
                  <c:v>1657.12857142857</c:v>
                </c:pt>
                <c:pt idx="26">
                  <c:v>1933.4666666666701</c:v>
                </c:pt>
                <c:pt idx="27">
                  <c:v>1291.3888888888901</c:v>
                </c:pt>
                <c:pt idx="28">
                  <c:v>3944.13333333333</c:v>
                </c:pt>
                <c:pt idx="29">
                  <c:v>1692.7714285714301</c:v>
                </c:pt>
                <c:pt idx="30">
                  <c:v>1200.26</c:v>
                </c:pt>
                <c:pt idx="31">
                  <c:v>1210.18</c:v>
                </c:pt>
                <c:pt idx="32">
                  <c:v>8349.5</c:v>
                </c:pt>
                <c:pt idx="33">
                  <c:v>8574.5333333333292</c:v>
                </c:pt>
                <c:pt idx="34">
                  <c:v>1461.1111111111099</c:v>
                </c:pt>
                <c:pt idx="35">
                  <c:v>1840.9733333333299</c:v>
                </c:pt>
                <c:pt idx="36">
                  <c:v>2372.1</c:v>
                </c:pt>
                <c:pt idx="37">
                  <c:v>1912.3133333333301</c:v>
                </c:pt>
                <c:pt idx="38">
                  <c:v>1845.6937499999999</c:v>
                </c:pt>
                <c:pt idx="39">
                  <c:v>1497.575</c:v>
                </c:pt>
                <c:pt idx="40">
                  <c:v>1856.1</c:v>
                </c:pt>
                <c:pt idx="41">
                  <c:v>2891.2818181818202</c:v>
                </c:pt>
                <c:pt idx="42">
                  <c:v>3255.7</c:v>
                </c:pt>
                <c:pt idx="43">
                  <c:v>6537.5</c:v>
                </c:pt>
                <c:pt idx="44">
                  <c:v>5464.7833333333301</c:v>
                </c:pt>
                <c:pt idx="45">
                  <c:v>4220.6875</c:v>
                </c:pt>
                <c:pt idx="46">
                  <c:v>3438.2</c:v>
                </c:pt>
                <c:pt idx="47">
                  <c:v>4968.5285714285701</c:v>
                </c:pt>
                <c:pt idx="48">
                  <c:v>1948.9166666666699</c:v>
                </c:pt>
                <c:pt idx="49">
                  <c:v>17730.75</c:v>
                </c:pt>
                <c:pt idx="50">
                  <c:v>2272.78125</c:v>
                </c:pt>
                <c:pt idx="51">
                  <c:v>2051.1388888888901</c:v>
                </c:pt>
                <c:pt idx="52">
                  <c:v>2463.06</c:v>
                </c:pt>
                <c:pt idx="53">
                  <c:v>3362.5818181818199</c:v>
                </c:pt>
                <c:pt idx="54">
                  <c:v>2658.9214285714302</c:v>
                </c:pt>
                <c:pt idx="55">
                  <c:v>2205.1764705882401</c:v>
                </c:pt>
                <c:pt idx="56">
                  <c:v>18759.55</c:v>
                </c:pt>
                <c:pt idx="57">
                  <c:v>6351.6166666666704</c:v>
                </c:pt>
                <c:pt idx="58">
                  <c:v>5444.4571428571398</c:v>
                </c:pt>
                <c:pt idx="59">
                  <c:v>9552.625</c:v>
                </c:pt>
                <c:pt idx="60">
                  <c:v>1924.51</c:v>
                </c:pt>
                <c:pt idx="61">
                  <c:v>13000.6</c:v>
                </c:pt>
                <c:pt idx="62">
                  <c:v>3931.88</c:v>
                </c:pt>
                <c:pt idx="63">
                  <c:v>5692.5857142857103</c:v>
                </c:pt>
                <c:pt idx="64">
                  <c:v>3075.1461538461499</c:v>
                </c:pt>
                <c:pt idx="65">
                  <c:v>6900.6166666666704</c:v>
                </c:pt>
                <c:pt idx="66">
                  <c:v>3455.9333333333302</c:v>
                </c:pt>
                <c:pt idx="67">
                  <c:v>6004.1857142857098</c:v>
                </c:pt>
                <c:pt idx="68">
                  <c:v>21761.3</c:v>
                </c:pt>
                <c:pt idx="69">
                  <c:v>3655.13333333333</c:v>
                </c:pt>
                <c:pt idx="70">
                  <c:v>7322.3666666666704</c:v>
                </c:pt>
                <c:pt idx="71">
                  <c:v>2269.9299999999998</c:v>
                </c:pt>
                <c:pt idx="72">
                  <c:v>3028.7333333333299</c:v>
                </c:pt>
                <c:pt idx="73">
                  <c:v>2518.4736842105299</c:v>
                </c:pt>
                <c:pt idx="74">
                  <c:v>4824.17</c:v>
                </c:pt>
                <c:pt idx="75">
                  <c:v>5385.3222222222203</c:v>
                </c:pt>
                <c:pt idx="76">
                  <c:v>9800.14</c:v>
                </c:pt>
                <c:pt idx="77">
                  <c:v>2477.3649999999998</c:v>
                </c:pt>
                <c:pt idx="78">
                  <c:v>10065.459999999999</c:v>
                </c:pt>
                <c:pt idx="79">
                  <c:v>6295.1374999999998</c:v>
                </c:pt>
                <c:pt idx="80">
                  <c:v>4646.4545454545496</c:v>
                </c:pt>
                <c:pt idx="81">
                  <c:v>2690.97894736842</c:v>
                </c:pt>
                <c:pt idx="82">
                  <c:v>3291.4124999999999</c:v>
                </c:pt>
                <c:pt idx="83">
                  <c:v>2637.05</c:v>
                </c:pt>
                <c:pt idx="84">
                  <c:v>3300.5250000000001</c:v>
                </c:pt>
                <c:pt idx="85">
                  <c:v>5885.9777777777799</c:v>
                </c:pt>
                <c:pt idx="86">
                  <c:v>17666.7</c:v>
                </c:pt>
                <c:pt idx="87">
                  <c:v>8879.0333333333292</c:v>
                </c:pt>
                <c:pt idx="88">
                  <c:v>3807.9714285714299</c:v>
                </c:pt>
                <c:pt idx="89">
                  <c:v>2696.355</c:v>
                </c:pt>
                <c:pt idx="90">
                  <c:v>3684.4933333333302</c:v>
                </c:pt>
                <c:pt idx="91">
                  <c:v>2925.0473684210501</c:v>
                </c:pt>
                <c:pt idx="92">
                  <c:v>5596.87</c:v>
                </c:pt>
                <c:pt idx="93">
                  <c:v>7996.7714285714301</c:v>
                </c:pt>
                <c:pt idx="94">
                  <c:v>3179.3888888888901</c:v>
                </c:pt>
                <c:pt idx="95">
                  <c:v>4105.5</c:v>
                </c:pt>
                <c:pt idx="96">
                  <c:v>4492.22307692308</c:v>
                </c:pt>
                <c:pt idx="97">
                  <c:v>29.087802469135799</c:v>
                </c:pt>
                <c:pt idx="98">
                  <c:v>29.119259259259302</c:v>
                </c:pt>
                <c:pt idx="99">
                  <c:v>29.203160493827198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0C-4A55-973C-DD739A16C5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8837658"/>
        <c:axId val="979166648"/>
      </c:scatterChart>
      <c:valAx>
        <c:axId val="60883765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166648"/>
        <c:crosses val="autoZero"/>
        <c:crossBetween val="midCat"/>
      </c:valAx>
      <c:valAx>
        <c:axId val="979166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837658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345440</xdr:colOff>
      <xdr:row>4</xdr:row>
      <xdr:rowOff>0</xdr:rowOff>
    </xdr:from>
    <xdr:to>
      <xdr:col>10</xdr:col>
      <xdr:colOff>530860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1021080</xdr:colOff>
      <xdr:row>5</xdr:row>
      <xdr:rowOff>11430</xdr:rowOff>
    </xdr:from>
    <xdr:to>
      <xdr:col>23</xdr:col>
      <xdr:colOff>639445</xdr:colOff>
      <xdr:row>20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6.028414351902" createdVersion="5" refreshedVersion="5" minRefreshableVersion="3" recordCount="100" xr:uid="{00000000-000A-0000-FFFF-FFFF00000000}">
  <cacheSource type="worksheet">
    <worksheetSource ref="A1:N101" sheet="car_data_100"/>
  </cacheSource>
  <cacheFields count="14">
    <cacheField name="Car ID" numFmtId="0">
      <sharedItems count="100">
        <s v="FD08CMR095"/>
        <s v="FD09CMR043"/>
        <s v="FD14CMR060"/>
        <s v="FD20CMR025"/>
        <s v="GM17CMR098"/>
        <s v="HD09CMR057"/>
        <s v="HD10CMR083"/>
        <s v="HD13CMR014"/>
        <s v="HD16CMR028"/>
        <s v="HD17CMR029"/>
        <s v="HD19CMR063"/>
        <s v="NS09CMR002"/>
        <s v="NS16CMR032"/>
        <s v="NS18CMR067"/>
        <s v="TY09CMR023"/>
        <s v="TY10CMR090"/>
        <s v="TY15CMR011"/>
        <s v="TY20CMR094"/>
        <s v="FD05ECO071"/>
        <s v="FD05ECO092"/>
        <s v="FD14ECO045"/>
        <s v="FD18ECO099"/>
        <s v="GM05ECO076"/>
        <s v="GM07ECO027"/>
        <s v="GM10ECO062"/>
        <s v="GM13ECO087"/>
        <s v="GM15ECO070"/>
        <s v="HD13ECO026"/>
        <s v="NS15ECO007"/>
        <s v="NS18ECO053"/>
        <s v="TY12ECO085"/>
        <s v="FD08FCS065"/>
        <s v="FD18FCS050"/>
        <s v="FD22FCS004"/>
        <s v="GM19FCS033"/>
        <s v="HD15FCS081"/>
        <s v="HD16FCS066"/>
        <s v="HD22FCS072"/>
        <s v="NS18FCS041"/>
        <s v="NS23FCS024"/>
        <s v="TY09FCS018"/>
        <s v="TY11FCS034"/>
        <s v="TY16FCS073"/>
        <s v="TY17FCS049"/>
        <s v="FD07MTG016"/>
        <s v="FD20MTG058"/>
        <s v="GM06MTG035"/>
        <s v="GM09MTG091"/>
        <s v="GM10MTG039"/>
        <s v="GM15MTG054"/>
        <s v="HD05MTG009"/>
        <s v="HD14MTG088"/>
        <s v="HD17MTG036"/>
        <s v="HD19MTG010"/>
        <s v="NS08MTG020"/>
        <s v="NS20MTG038"/>
        <s v="TY06MTG012"/>
        <s v="FD05PRS021"/>
        <s v="FD11PRS096"/>
        <s v="FD13PRS079"/>
        <s v="FD19PRS048"/>
        <s v="FD19PRS075"/>
        <s v="GM07PRS003"/>
        <s v="GM11PRS031"/>
        <s v="GM19PRS047"/>
        <s v="GM22PRS061"/>
        <s v="HD09PRS040"/>
        <s v="HD10PRS015"/>
        <s v="HD18PRS037"/>
        <s v="HD19PRS030"/>
        <s v="HD20PRS056"/>
        <s v="NS05PRS001"/>
        <s v="NS06PRS005"/>
        <s v="TY08PRS084"/>
        <s v="TY19PRS077"/>
        <s v="TY23PRS008"/>
        <s v="FD06VTX074"/>
        <s v="FD06VTX080"/>
        <s v="FD14VTX006"/>
        <s v="FD15VTX078"/>
        <s v="FD19VTX097"/>
        <s v="FD22VTX064"/>
        <s v="GM08VTX051"/>
        <s v="GM11VTX069"/>
        <s v="GM23VTX017"/>
        <s v="HD07VTX059"/>
        <s v="HD09VTX082"/>
        <s v="HD11VTX093"/>
        <s v="HD12VTX042"/>
        <s v="HD17VTX086"/>
        <s v="HD21VTX068"/>
        <s v="NS05VTX089"/>
        <s v="NS10VTX046"/>
        <s v="NS13VTX013"/>
        <s v="NS19VTX022"/>
        <s v="NS19VTX052"/>
        <s v="TY05VTX055"/>
        <s v="TY07VTX100"/>
        <s v="TY11VTX019"/>
        <s v="TY15VTX044"/>
      </sharedItems>
    </cacheField>
    <cacheField name="Make" numFmtId="0">
      <sharedItems count="5">
        <s v="FD"/>
        <s v="GM"/>
        <s v="HD"/>
        <s v="NS"/>
        <s v="TY"/>
      </sharedItems>
    </cacheField>
    <cacheField name="Make (Full Name)" numFmtId="0">
      <sharedItems count="5">
        <s v="Ford"/>
        <s v="General Motors"/>
        <s v="Honda"/>
        <s v="Nissan"/>
        <s v="Toyota"/>
      </sharedItems>
    </cacheField>
    <cacheField name="Model" numFmtId="0">
      <sharedItems count="6">
        <s v="CMR"/>
        <s v="ECO"/>
        <s v="FCS"/>
        <s v="MTG"/>
        <s v="PRS"/>
        <s v="VTX"/>
      </sharedItems>
    </cacheField>
    <cacheField name="Model (Full Name)" numFmtId="0">
      <sharedItems count="6">
        <s v="Camero"/>
        <s v="Ecolle"/>
        <s v="Focus"/>
        <s v="Mustang"/>
        <s v="Press"/>
        <s v="Vitex"/>
      </sharedItems>
    </cacheField>
    <cacheField name="Manufacture Year" numFmtId="0">
      <sharedItems containsSemiMixedTypes="0" containsString="0" containsNumber="1" containsInteger="1" minValue="2005" maxValue="2023" count="19">
        <n v="2008"/>
        <n v="2009"/>
        <n v="2014"/>
        <n v="2020"/>
        <n v="2017"/>
        <n v="2010"/>
        <n v="2013"/>
        <n v="2016"/>
        <n v="2019"/>
        <n v="2018"/>
        <n v="2015"/>
        <n v="2005"/>
        <n v="2007"/>
        <n v="2012"/>
        <n v="2022"/>
        <n v="2023"/>
        <n v="2011"/>
        <n v="2006"/>
        <n v="2021"/>
      </sharedItems>
    </cacheField>
    <cacheField name="Age" numFmtId="0">
      <sharedItems containsSemiMixedTypes="0" containsString="0" containsNumber="1" containsInteger="1" minValue="2" maxValue="20" count="19">
        <n v="5"/>
        <n v="8"/>
        <n v="16"/>
        <n v="15"/>
        <n v="12"/>
        <n v="9"/>
        <n v="6"/>
        <n v="7"/>
        <n v="10"/>
        <n v="20"/>
        <n v="11"/>
        <n v="18"/>
        <n v="13"/>
        <n v="17"/>
        <n v="3"/>
        <n v="2"/>
        <n v="14"/>
        <n v="19"/>
        <n v="4"/>
      </sharedItems>
    </cacheField>
    <cacheField name="Miles" numFmtId="0">
      <sharedItems containsSemiMixedTypes="0" containsString="0" containsNumber="1" minValue="12828.7" maxValue="59136.4" count="100">
        <n v="32687.5"/>
        <n v="31804.1"/>
        <n v="37519.1"/>
        <n v="51128.6"/>
        <n v="52662.6"/>
        <n v="14517.9"/>
        <n v="55977.4"/>
        <n v="29951.5"/>
        <n v="53311.6"/>
        <n v="38109.699999999997"/>
        <n v="47851"/>
        <n v="20679.5"/>
        <n v="50327.3"/>
        <n v="39001.800000000003"/>
        <n v="15090.4"/>
        <n v="16755.7"/>
        <n v="41403.699999999997"/>
        <n v="50361.1"/>
        <n v="51111"/>
        <n v="25723.599999999999"/>
        <n v="23199.8"/>
        <n v="41471.199999999997"/>
        <n v="39848.1"/>
        <n v="58902.8"/>
        <n v="31553.7"/>
        <n v="43861.599999999999"/>
        <n v="57477"/>
        <n v="23698.799999999999"/>
        <n v="14343.5"/>
        <n v="36364.5"/>
        <n v="42029.3"/>
        <n v="15339.5"/>
        <n v="43934.2"/>
        <n v="39976.9"/>
        <n v="55267.4"/>
        <n v="49547.3"/>
        <n v="16856"/>
        <n v="27614.6"/>
        <n v="58398.9"/>
        <n v="38210.5"/>
        <n v="52973.8"/>
        <n v="17834.7"/>
        <n v="21021.4"/>
        <n v="12923.8"/>
        <n v="24005.200000000001"/>
        <n v="17037.3"/>
        <n v="52808.4"/>
        <n v="13484.1"/>
        <n v="29531.1"/>
        <n v="35461.5"/>
        <n v="48241.7"/>
        <n v="52741"/>
        <n v="35080.5"/>
        <n v="22253.5"/>
        <n v="17908"/>
        <n v="34382"/>
        <n v="13127"/>
        <n v="55968.7"/>
        <n v="58966.5"/>
        <n v="14787.4"/>
        <n v="43522.6"/>
        <n v="34779.699999999997"/>
        <n v="28684.7"/>
        <n v="55575.9"/>
        <n v="17789.5"/>
        <n v="28465.200000000001"/>
        <n v="53274.2"/>
        <n v="48467.9"/>
        <n v="21892"/>
        <n v="38490.199999999997"/>
        <n v="23245"/>
        <n v="53000.1"/>
        <n v="49000.7"/>
        <n v="15171.5"/>
        <n v="24203.599999999999"/>
        <n v="36945.9"/>
        <n v="57229"/>
        <n v="18549.3"/>
        <n v="32788.699999999997"/>
        <n v="33765.5"/>
        <n v="23201.599999999999"/>
        <n v="53927.1"/>
        <n v="38111.199999999997"/>
        <n v="25048.5"/>
        <n v="45398.6"/>
        <n v="16763.8"/>
        <n v="36988.400000000001"/>
        <n v="23664.799999999999"/>
        <n v="59136.4"/>
        <n v="21549.1"/>
        <n v="39318.800000000003"/>
        <n v="32557"/>
        <n v="37488"/>
        <n v="45431"/>
        <n v="16432.8"/>
        <n v="12828.7"/>
        <n v="26300"/>
        <n v="36920.5"/>
        <n v="37224.9"/>
        <n v="20999.200000000001"/>
      </sharedItems>
    </cacheField>
    <cacheField name="Miles / Year" numFmtId="166">
      <sharedItems containsSemiMixedTypes="0" containsString="0" containsNumber="1" minValue="674.20500000000004" maxValue="26963.55" count="100">
        <n v="6537.5"/>
        <n v="3975.5124999999998"/>
        <n v="2344.9437499999999"/>
        <n v="3408.5733333333301"/>
        <n v="4388.55"/>
        <n v="1613.1"/>
        <n v="6997.1750000000002"/>
        <n v="4991.9166666666697"/>
        <n v="3331.9749999999999"/>
        <n v="4234.4111111111097"/>
        <n v="6835.8571428571404"/>
        <n v="1292.46875"/>
        <n v="3355.15333333333"/>
        <n v="3900.18"/>
        <n v="3018.08"/>
        <n v="837.78499999999997"/>
        <n v="2070.1849999999999"/>
        <n v="4578.2818181818202"/>
        <n v="7301.5714285714303"/>
        <n v="1286.18"/>
        <n v="1288.87777777778"/>
        <n v="2764.7466666666701"/>
        <n v="3320.6750000000002"/>
        <n v="5890.28"/>
        <n v="2629.4749999999999"/>
        <n v="4386.16"/>
        <n v="8211"/>
        <n v="1822.9846153846199"/>
        <n v="843.73529411764696"/>
        <n v="5194.9285714285697"/>
        <n v="14009.766666666699"/>
        <n v="2556.5833333333298"/>
        <n v="4393.42"/>
        <n v="4441.8777777777796"/>
        <n v="18422.4666666667"/>
        <n v="7078.1857142857098"/>
        <n v="8428"/>
        <n v="1725.9124999999999"/>
        <n v="4171.3500000000004"/>
        <n v="4245.6111111111104"/>
        <n v="6621.7250000000004"/>
        <n v="990.81666666666695"/>
        <n v="4204.28"/>
        <n v="680.2"/>
        <n v="1500.325"/>
        <n v="1135.82"/>
        <n v="5280.84"/>
        <n v="674.20500000000004"/>
        <n v="2684.6454545454499"/>
        <n v="4432.6875"/>
        <n v="8040.2833333333301"/>
        <n v="3102.4117647058802"/>
        <n v="7016.1"/>
        <n v="1171.2368421052599"/>
        <n v="895.4"/>
        <n v="2455.8571428571399"/>
        <n v="1093.9166666666699"/>
        <n v="9328.1166666666704"/>
        <n v="9827.75"/>
        <n v="821.52222222222201"/>
        <n v="3108.75714285714"/>
        <n v="5796.6166666666704"/>
        <n v="9561.5666666666693"/>
        <n v="3473.4937500000001"/>
        <n v="1185.9666666666701"/>
        <n v="4066.4571428571398"/>
        <n v="8879.0333333333292"/>
        <n v="9693.58"/>
        <n v="1094.5999999999999"/>
        <n v="2025.8"/>
        <n v="1367.35294117647"/>
        <n v="8833.35"/>
        <n v="24500.35"/>
        <n v="798.5"/>
        <n v="1273.87368421053"/>
        <n v="3358.7181818181798"/>
        <n v="5722.9"/>
        <n v="3091.55"/>
        <n v="10929.5666666667"/>
        <n v="1986.2058823529401"/>
        <n v="1657.25714285714"/>
        <n v="26963.55"/>
        <n v="2117.2888888888901"/>
        <n v="1565.53125"/>
        <n v="3242.75714285714"/>
        <n v="1289.52307692308"/>
        <n v="4623.55"/>
        <n v="5916.2"/>
        <n v="2956.82"/>
        <n v="1436.60666666667"/>
        <n v="3276.5666666666698"/>
        <n v="5426.1666666666697"/>
        <n v="6248"/>
        <n v="2271.5500000000002"/>
        <n v="912.93333333333305"/>
        <n v="916.33571428571395"/>
        <n v="2630"/>
        <n v="2051.1388888888901"/>
        <n v="2658.9214285714302"/>
        <n v="2099.92"/>
      </sharedItems>
    </cacheField>
    <cacheField name="Color" numFmtId="0">
      <sharedItems count="7">
        <s v="Green"/>
        <s v="Black"/>
        <s v="Silver"/>
        <s v="Red"/>
        <s v="White"/>
        <s v="Blue"/>
        <s v="Gray"/>
      </sharedItems>
    </cacheField>
    <cacheField name="Driver" numFmtId="0">
      <sharedItems count="20">
        <s v="Walker"/>
        <s v="Vizzini"/>
        <s v="Bard"/>
        <s v="Howard"/>
        <s v="Clark"/>
        <s v="Miller"/>
        <s v="Adams"/>
        <s v="Smith"/>
        <s v="Evans"/>
        <s v="Santos"/>
        <s v="McCall"/>
        <s v="Rodriguez"/>
        <s v="Jones"/>
        <s v="Davis"/>
        <s v="Harris"/>
        <s v="Lyon"/>
        <s v="Yousef"/>
        <s v="Lee"/>
        <s v="Taylor"/>
        <s v="Praulty"/>
      </sharedItems>
    </cacheField>
    <cacheField name="Warantee Miles" numFmtId="0">
      <sharedItems containsSemiMixedTypes="0" containsString="0" containsNumber="1" containsInteger="1" minValue="50000" maxValue="100000" count="3">
        <n v="75000"/>
        <n v="50000"/>
        <n v="100000"/>
      </sharedItems>
    </cacheField>
    <cacheField name="Covered?" numFmtId="0">
      <sharedItems count="2">
        <s v="Not Covered"/>
        <s v="Y"/>
      </sharedItems>
    </cacheField>
    <cacheField name="New Car ID" numFmtId="0">
      <sharedItems count="98">
        <s v="FDGre5CMR"/>
        <s v="FDBla8CMR"/>
        <s v="FDSil16CMR"/>
        <s v="FDRed15CMR"/>
        <s v="GMWhi12CMR"/>
        <s v="HDBla9CMR"/>
        <s v="HDBlu8CMR"/>
        <s v="HDSil6CMR"/>
        <s v="HDWhi16CMR"/>
        <s v="HDWhi9CMR"/>
        <s v="HDSil7CMR"/>
        <s v="NSBla16CMR"/>
        <s v="NSSil15CMR"/>
        <s v="NSRed10CMR"/>
        <s v="TYBlu5CMR"/>
        <s v="TYBla20CMR"/>
        <s v="TYRed20CMR"/>
        <s v="TYWhi11CMR"/>
        <s v="FDGra7ECO"/>
        <s v="FDBlu20ECO"/>
        <s v="FDRed18ECO"/>
        <s v="FDWhi15ECO"/>
        <s v="GMBla12ECO"/>
        <s v="GMWhi10ECO"/>
        <s v="GMBlu10ECO"/>
        <s v="GMSil7ECO"/>
        <s v="HDBlu13ECO"/>
        <s v="NSRed17ECO"/>
        <s v="NSSil7ECO"/>
        <s v="TYGra3ECO"/>
        <s v="FDBlu6FCS"/>
        <s v="FDGre10FCS"/>
        <s v="FDSil9FCS"/>
        <s v="GMBlu3FCS"/>
        <s v="HDRed7FCS"/>
        <s v="HDGra2FCS"/>
        <s v="HDBlu16FCS"/>
        <s v="NSBlu14FCS"/>
        <s v="NSRed9FCS"/>
        <s v="TYBlu8FCS"/>
        <s v="TYWhi18FCS"/>
        <s v="TYGre5FCS"/>
        <s v="TYBlu19FCS"/>
        <s v="FDBla16MTG"/>
        <s v="FDRed15MTG"/>
        <s v="GMGre10MTG"/>
        <s v="GMGre20MTG"/>
        <s v="GMBlu11MTG"/>
        <s v="GMGra8MTG"/>
        <s v="HDRed6MTG"/>
        <s v="HDRed17MTG"/>
        <s v="HDRed5MTG"/>
        <s v="HDSil19MTG"/>
        <s v="NSBla20MTG"/>
        <s v="NSSil14MTG"/>
        <s v="TYBla12MTG"/>
        <s v="FDBla6PRS"/>
        <s v="FDBla18PRS"/>
        <s v="FDGra14PRS"/>
        <s v="FDBlu6PRS"/>
        <s v="GMGre3PRS"/>
        <s v="GMBlu16PRS"/>
        <s v="GMBlu15PRS"/>
        <s v="GMBla7PRS"/>
        <s v="HDGra6PRS"/>
        <s v="HDWhi5PRS"/>
        <s v="HDBla20PRS"/>
        <s v="HDGra19PRS"/>
        <s v="HDBlu17PRS"/>
        <s v="NSGra6PRS"/>
        <s v="NSGre2PRS"/>
        <s v="TYBla19PRS"/>
        <s v="TYBlu19PRS"/>
        <s v="TYBla11PRS"/>
        <s v="FDWhi10VTX"/>
        <s v="FDGra6VTX"/>
        <s v="FDWhi3VTX"/>
        <s v="FDRed17VTX"/>
        <s v="FDBlu14VTX"/>
        <s v="FDBla2VTX"/>
        <s v="GMRed18VTX"/>
        <s v="GMRed16VTX"/>
        <s v="GMGre14VTX"/>
        <s v="HDBla13VTX"/>
        <s v="HDBla8VTX"/>
        <s v="HDBla4VTX"/>
        <s v="HDGra20VTX"/>
        <s v="HDBlu15VTX"/>
        <s v="HDSil12VTX"/>
        <s v="NSGra6VTX"/>
        <s v="NSSil6VTX"/>
        <s v="NSWhi20VTX"/>
        <s v="NSGra18VTX"/>
        <s v="NSGra14VTX"/>
        <s v="TYRed10VTX"/>
        <s v="TYBlu18VTX"/>
        <s v="TYSil14VTX"/>
        <s v="TYGre10VTX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">
  <r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1"/>
    <x v="1"/>
    <x v="1"/>
    <x v="1"/>
    <x v="1"/>
    <x v="1"/>
    <x v="1"/>
    <x v="0"/>
    <x v="1"/>
  </r>
  <r>
    <x v="2"/>
    <x v="0"/>
    <x v="0"/>
    <x v="0"/>
    <x v="0"/>
    <x v="2"/>
    <x v="2"/>
    <x v="2"/>
    <x v="2"/>
    <x v="2"/>
    <x v="2"/>
    <x v="2"/>
    <x v="0"/>
    <x v="2"/>
  </r>
  <r>
    <x v="3"/>
    <x v="0"/>
    <x v="0"/>
    <x v="0"/>
    <x v="0"/>
    <x v="3"/>
    <x v="3"/>
    <x v="3"/>
    <x v="3"/>
    <x v="3"/>
    <x v="3"/>
    <x v="1"/>
    <x v="1"/>
    <x v="3"/>
  </r>
  <r>
    <x v="4"/>
    <x v="1"/>
    <x v="1"/>
    <x v="0"/>
    <x v="0"/>
    <x v="4"/>
    <x v="4"/>
    <x v="4"/>
    <x v="4"/>
    <x v="4"/>
    <x v="3"/>
    <x v="2"/>
    <x v="0"/>
    <x v="4"/>
  </r>
  <r>
    <x v="5"/>
    <x v="2"/>
    <x v="2"/>
    <x v="0"/>
    <x v="0"/>
    <x v="1"/>
    <x v="5"/>
    <x v="5"/>
    <x v="5"/>
    <x v="1"/>
    <x v="4"/>
    <x v="0"/>
    <x v="0"/>
    <x v="5"/>
  </r>
  <r>
    <x v="6"/>
    <x v="2"/>
    <x v="2"/>
    <x v="0"/>
    <x v="0"/>
    <x v="5"/>
    <x v="1"/>
    <x v="6"/>
    <x v="6"/>
    <x v="5"/>
    <x v="3"/>
    <x v="2"/>
    <x v="0"/>
    <x v="6"/>
  </r>
  <r>
    <x v="7"/>
    <x v="2"/>
    <x v="2"/>
    <x v="0"/>
    <x v="0"/>
    <x v="6"/>
    <x v="6"/>
    <x v="7"/>
    <x v="7"/>
    <x v="2"/>
    <x v="1"/>
    <x v="1"/>
    <x v="0"/>
    <x v="7"/>
  </r>
  <r>
    <x v="8"/>
    <x v="2"/>
    <x v="2"/>
    <x v="0"/>
    <x v="0"/>
    <x v="7"/>
    <x v="2"/>
    <x v="8"/>
    <x v="8"/>
    <x v="4"/>
    <x v="4"/>
    <x v="0"/>
    <x v="0"/>
    <x v="8"/>
  </r>
  <r>
    <x v="9"/>
    <x v="2"/>
    <x v="2"/>
    <x v="0"/>
    <x v="0"/>
    <x v="4"/>
    <x v="5"/>
    <x v="9"/>
    <x v="9"/>
    <x v="4"/>
    <x v="5"/>
    <x v="0"/>
    <x v="0"/>
    <x v="9"/>
  </r>
  <r>
    <x v="10"/>
    <x v="2"/>
    <x v="2"/>
    <x v="0"/>
    <x v="0"/>
    <x v="8"/>
    <x v="7"/>
    <x v="10"/>
    <x v="10"/>
    <x v="2"/>
    <x v="6"/>
    <x v="1"/>
    <x v="0"/>
    <x v="10"/>
  </r>
  <r>
    <x v="11"/>
    <x v="3"/>
    <x v="3"/>
    <x v="0"/>
    <x v="0"/>
    <x v="1"/>
    <x v="2"/>
    <x v="11"/>
    <x v="11"/>
    <x v="1"/>
    <x v="7"/>
    <x v="1"/>
    <x v="0"/>
    <x v="11"/>
  </r>
  <r>
    <x v="12"/>
    <x v="3"/>
    <x v="3"/>
    <x v="0"/>
    <x v="0"/>
    <x v="7"/>
    <x v="3"/>
    <x v="12"/>
    <x v="12"/>
    <x v="2"/>
    <x v="8"/>
    <x v="0"/>
    <x v="0"/>
    <x v="12"/>
  </r>
  <r>
    <x v="13"/>
    <x v="3"/>
    <x v="3"/>
    <x v="0"/>
    <x v="0"/>
    <x v="9"/>
    <x v="8"/>
    <x v="13"/>
    <x v="13"/>
    <x v="3"/>
    <x v="6"/>
    <x v="0"/>
    <x v="0"/>
    <x v="13"/>
  </r>
  <r>
    <x v="14"/>
    <x v="4"/>
    <x v="4"/>
    <x v="0"/>
    <x v="0"/>
    <x v="1"/>
    <x v="0"/>
    <x v="14"/>
    <x v="14"/>
    <x v="5"/>
    <x v="2"/>
    <x v="2"/>
    <x v="0"/>
    <x v="14"/>
  </r>
  <r>
    <x v="15"/>
    <x v="4"/>
    <x v="4"/>
    <x v="0"/>
    <x v="0"/>
    <x v="5"/>
    <x v="9"/>
    <x v="15"/>
    <x v="15"/>
    <x v="1"/>
    <x v="9"/>
    <x v="1"/>
    <x v="0"/>
    <x v="15"/>
  </r>
  <r>
    <x v="16"/>
    <x v="4"/>
    <x v="4"/>
    <x v="0"/>
    <x v="0"/>
    <x v="10"/>
    <x v="9"/>
    <x v="16"/>
    <x v="16"/>
    <x v="3"/>
    <x v="5"/>
    <x v="0"/>
    <x v="0"/>
    <x v="16"/>
  </r>
  <r>
    <x v="17"/>
    <x v="4"/>
    <x v="4"/>
    <x v="0"/>
    <x v="0"/>
    <x v="3"/>
    <x v="10"/>
    <x v="17"/>
    <x v="17"/>
    <x v="4"/>
    <x v="10"/>
    <x v="0"/>
    <x v="0"/>
    <x v="17"/>
  </r>
  <r>
    <x v="18"/>
    <x v="0"/>
    <x v="0"/>
    <x v="1"/>
    <x v="1"/>
    <x v="11"/>
    <x v="7"/>
    <x v="18"/>
    <x v="18"/>
    <x v="6"/>
    <x v="4"/>
    <x v="1"/>
    <x v="1"/>
    <x v="18"/>
  </r>
  <r>
    <x v="19"/>
    <x v="0"/>
    <x v="0"/>
    <x v="1"/>
    <x v="1"/>
    <x v="11"/>
    <x v="9"/>
    <x v="19"/>
    <x v="19"/>
    <x v="5"/>
    <x v="11"/>
    <x v="0"/>
    <x v="0"/>
    <x v="19"/>
  </r>
  <r>
    <x v="20"/>
    <x v="0"/>
    <x v="0"/>
    <x v="1"/>
    <x v="1"/>
    <x v="2"/>
    <x v="11"/>
    <x v="20"/>
    <x v="20"/>
    <x v="3"/>
    <x v="12"/>
    <x v="1"/>
    <x v="0"/>
    <x v="20"/>
  </r>
  <r>
    <x v="21"/>
    <x v="0"/>
    <x v="0"/>
    <x v="1"/>
    <x v="1"/>
    <x v="9"/>
    <x v="3"/>
    <x v="21"/>
    <x v="21"/>
    <x v="4"/>
    <x v="10"/>
    <x v="0"/>
    <x v="0"/>
    <x v="21"/>
  </r>
  <r>
    <x v="22"/>
    <x v="1"/>
    <x v="1"/>
    <x v="1"/>
    <x v="1"/>
    <x v="11"/>
    <x v="4"/>
    <x v="22"/>
    <x v="22"/>
    <x v="1"/>
    <x v="13"/>
    <x v="2"/>
    <x v="0"/>
    <x v="22"/>
  </r>
  <r>
    <x v="23"/>
    <x v="1"/>
    <x v="1"/>
    <x v="1"/>
    <x v="1"/>
    <x v="12"/>
    <x v="8"/>
    <x v="23"/>
    <x v="23"/>
    <x v="4"/>
    <x v="2"/>
    <x v="2"/>
    <x v="0"/>
    <x v="23"/>
  </r>
  <r>
    <x v="24"/>
    <x v="1"/>
    <x v="1"/>
    <x v="1"/>
    <x v="1"/>
    <x v="5"/>
    <x v="4"/>
    <x v="24"/>
    <x v="24"/>
    <x v="1"/>
    <x v="14"/>
    <x v="1"/>
    <x v="0"/>
    <x v="22"/>
  </r>
  <r>
    <x v="25"/>
    <x v="1"/>
    <x v="1"/>
    <x v="1"/>
    <x v="1"/>
    <x v="6"/>
    <x v="8"/>
    <x v="25"/>
    <x v="25"/>
    <x v="5"/>
    <x v="14"/>
    <x v="2"/>
    <x v="0"/>
    <x v="24"/>
  </r>
  <r>
    <x v="26"/>
    <x v="1"/>
    <x v="1"/>
    <x v="1"/>
    <x v="1"/>
    <x v="10"/>
    <x v="7"/>
    <x v="26"/>
    <x v="26"/>
    <x v="2"/>
    <x v="15"/>
    <x v="1"/>
    <x v="1"/>
    <x v="25"/>
  </r>
  <r>
    <x v="27"/>
    <x v="2"/>
    <x v="2"/>
    <x v="1"/>
    <x v="1"/>
    <x v="6"/>
    <x v="12"/>
    <x v="27"/>
    <x v="27"/>
    <x v="5"/>
    <x v="14"/>
    <x v="2"/>
    <x v="0"/>
    <x v="26"/>
  </r>
  <r>
    <x v="28"/>
    <x v="3"/>
    <x v="3"/>
    <x v="1"/>
    <x v="1"/>
    <x v="10"/>
    <x v="13"/>
    <x v="28"/>
    <x v="28"/>
    <x v="3"/>
    <x v="6"/>
    <x v="2"/>
    <x v="0"/>
    <x v="27"/>
  </r>
  <r>
    <x v="29"/>
    <x v="3"/>
    <x v="3"/>
    <x v="1"/>
    <x v="1"/>
    <x v="9"/>
    <x v="7"/>
    <x v="29"/>
    <x v="29"/>
    <x v="2"/>
    <x v="10"/>
    <x v="1"/>
    <x v="0"/>
    <x v="28"/>
  </r>
  <r>
    <x v="30"/>
    <x v="4"/>
    <x v="4"/>
    <x v="1"/>
    <x v="1"/>
    <x v="13"/>
    <x v="14"/>
    <x v="30"/>
    <x v="30"/>
    <x v="6"/>
    <x v="1"/>
    <x v="2"/>
    <x v="0"/>
    <x v="29"/>
  </r>
  <r>
    <x v="31"/>
    <x v="0"/>
    <x v="0"/>
    <x v="2"/>
    <x v="2"/>
    <x v="0"/>
    <x v="6"/>
    <x v="31"/>
    <x v="31"/>
    <x v="5"/>
    <x v="7"/>
    <x v="1"/>
    <x v="0"/>
    <x v="30"/>
  </r>
  <r>
    <x v="32"/>
    <x v="0"/>
    <x v="0"/>
    <x v="2"/>
    <x v="2"/>
    <x v="9"/>
    <x v="8"/>
    <x v="32"/>
    <x v="32"/>
    <x v="0"/>
    <x v="13"/>
    <x v="2"/>
    <x v="0"/>
    <x v="31"/>
  </r>
  <r>
    <x v="33"/>
    <x v="0"/>
    <x v="0"/>
    <x v="2"/>
    <x v="2"/>
    <x v="14"/>
    <x v="5"/>
    <x v="33"/>
    <x v="33"/>
    <x v="2"/>
    <x v="16"/>
    <x v="2"/>
    <x v="0"/>
    <x v="32"/>
  </r>
  <r>
    <x v="34"/>
    <x v="1"/>
    <x v="1"/>
    <x v="2"/>
    <x v="2"/>
    <x v="8"/>
    <x v="14"/>
    <x v="34"/>
    <x v="34"/>
    <x v="5"/>
    <x v="1"/>
    <x v="1"/>
    <x v="1"/>
    <x v="33"/>
  </r>
  <r>
    <x v="35"/>
    <x v="2"/>
    <x v="2"/>
    <x v="2"/>
    <x v="2"/>
    <x v="10"/>
    <x v="7"/>
    <x v="35"/>
    <x v="35"/>
    <x v="3"/>
    <x v="11"/>
    <x v="0"/>
    <x v="0"/>
    <x v="34"/>
  </r>
  <r>
    <x v="36"/>
    <x v="2"/>
    <x v="2"/>
    <x v="2"/>
    <x v="2"/>
    <x v="7"/>
    <x v="15"/>
    <x v="36"/>
    <x v="36"/>
    <x v="6"/>
    <x v="5"/>
    <x v="1"/>
    <x v="0"/>
    <x v="35"/>
  </r>
  <r>
    <x v="37"/>
    <x v="2"/>
    <x v="2"/>
    <x v="2"/>
    <x v="2"/>
    <x v="14"/>
    <x v="2"/>
    <x v="37"/>
    <x v="37"/>
    <x v="5"/>
    <x v="10"/>
    <x v="2"/>
    <x v="0"/>
    <x v="36"/>
  </r>
  <r>
    <x v="38"/>
    <x v="3"/>
    <x v="3"/>
    <x v="2"/>
    <x v="2"/>
    <x v="9"/>
    <x v="16"/>
    <x v="38"/>
    <x v="38"/>
    <x v="5"/>
    <x v="11"/>
    <x v="2"/>
    <x v="0"/>
    <x v="37"/>
  </r>
  <r>
    <x v="39"/>
    <x v="3"/>
    <x v="3"/>
    <x v="2"/>
    <x v="2"/>
    <x v="15"/>
    <x v="5"/>
    <x v="39"/>
    <x v="39"/>
    <x v="3"/>
    <x v="17"/>
    <x v="1"/>
    <x v="0"/>
    <x v="38"/>
  </r>
  <r>
    <x v="40"/>
    <x v="4"/>
    <x v="4"/>
    <x v="2"/>
    <x v="2"/>
    <x v="1"/>
    <x v="1"/>
    <x v="40"/>
    <x v="40"/>
    <x v="5"/>
    <x v="17"/>
    <x v="1"/>
    <x v="1"/>
    <x v="39"/>
  </r>
  <r>
    <x v="41"/>
    <x v="4"/>
    <x v="4"/>
    <x v="2"/>
    <x v="2"/>
    <x v="16"/>
    <x v="11"/>
    <x v="41"/>
    <x v="41"/>
    <x v="4"/>
    <x v="3"/>
    <x v="2"/>
    <x v="0"/>
    <x v="40"/>
  </r>
  <r>
    <x v="42"/>
    <x v="4"/>
    <x v="4"/>
    <x v="2"/>
    <x v="2"/>
    <x v="7"/>
    <x v="0"/>
    <x v="42"/>
    <x v="42"/>
    <x v="0"/>
    <x v="9"/>
    <x v="1"/>
    <x v="0"/>
    <x v="41"/>
  </r>
  <r>
    <x v="43"/>
    <x v="4"/>
    <x v="4"/>
    <x v="2"/>
    <x v="2"/>
    <x v="4"/>
    <x v="17"/>
    <x v="43"/>
    <x v="43"/>
    <x v="5"/>
    <x v="17"/>
    <x v="2"/>
    <x v="0"/>
    <x v="42"/>
  </r>
  <r>
    <x v="44"/>
    <x v="0"/>
    <x v="0"/>
    <x v="3"/>
    <x v="3"/>
    <x v="12"/>
    <x v="2"/>
    <x v="44"/>
    <x v="44"/>
    <x v="1"/>
    <x v="18"/>
    <x v="1"/>
    <x v="0"/>
    <x v="43"/>
  </r>
  <r>
    <x v="45"/>
    <x v="0"/>
    <x v="0"/>
    <x v="3"/>
    <x v="3"/>
    <x v="3"/>
    <x v="3"/>
    <x v="45"/>
    <x v="45"/>
    <x v="3"/>
    <x v="19"/>
    <x v="1"/>
    <x v="0"/>
    <x v="44"/>
  </r>
  <r>
    <x v="46"/>
    <x v="1"/>
    <x v="1"/>
    <x v="3"/>
    <x v="3"/>
    <x v="17"/>
    <x v="8"/>
    <x v="46"/>
    <x v="46"/>
    <x v="0"/>
    <x v="18"/>
    <x v="0"/>
    <x v="0"/>
    <x v="45"/>
  </r>
  <r>
    <x v="47"/>
    <x v="1"/>
    <x v="1"/>
    <x v="3"/>
    <x v="3"/>
    <x v="1"/>
    <x v="9"/>
    <x v="47"/>
    <x v="47"/>
    <x v="0"/>
    <x v="4"/>
    <x v="0"/>
    <x v="0"/>
    <x v="46"/>
  </r>
  <r>
    <x v="48"/>
    <x v="1"/>
    <x v="1"/>
    <x v="3"/>
    <x v="3"/>
    <x v="5"/>
    <x v="10"/>
    <x v="48"/>
    <x v="48"/>
    <x v="5"/>
    <x v="6"/>
    <x v="1"/>
    <x v="0"/>
    <x v="47"/>
  </r>
  <r>
    <x v="49"/>
    <x v="1"/>
    <x v="1"/>
    <x v="3"/>
    <x v="3"/>
    <x v="10"/>
    <x v="1"/>
    <x v="49"/>
    <x v="49"/>
    <x v="6"/>
    <x v="2"/>
    <x v="0"/>
    <x v="0"/>
    <x v="48"/>
  </r>
  <r>
    <x v="50"/>
    <x v="2"/>
    <x v="2"/>
    <x v="3"/>
    <x v="3"/>
    <x v="11"/>
    <x v="6"/>
    <x v="50"/>
    <x v="50"/>
    <x v="3"/>
    <x v="2"/>
    <x v="1"/>
    <x v="0"/>
    <x v="49"/>
  </r>
  <r>
    <x v="51"/>
    <x v="2"/>
    <x v="2"/>
    <x v="3"/>
    <x v="3"/>
    <x v="2"/>
    <x v="13"/>
    <x v="51"/>
    <x v="51"/>
    <x v="3"/>
    <x v="7"/>
    <x v="2"/>
    <x v="0"/>
    <x v="50"/>
  </r>
  <r>
    <x v="52"/>
    <x v="2"/>
    <x v="2"/>
    <x v="3"/>
    <x v="3"/>
    <x v="4"/>
    <x v="0"/>
    <x v="52"/>
    <x v="52"/>
    <x v="3"/>
    <x v="15"/>
    <x v="0"/>
    <x v="0"/>
    <x v="51"/>
  </r>
  <r>
    <x v="53"/>
    <x v="2"/>
    <x v="2"/>
    <x v="3"/>
    <x v="3"/>
    <x v="8"/>
    <x v="17"/>
    <x v="53"/>
    <x v="53"/>
    <x v="2"/>
    <x v="2"/>
    <x v="1"/>
    <x v="0"/>
    <x v="52"/>
  </r>
  <r>
    <x v="54"/>
    <x v="3"/>
    <x v="3"/>
    <x v="3"/>
    <x v="3"/>
    <x v="0"/>
    <x v="9"/>
    <x v="54"/>
    <x v="54"/>
    <x v="1"/>
    <x v="9"/>
    <x v="1"/>
    <x v="0"/>
    <x v="53"/>
  </r>
  <r>
    <x v="55"/>
    <x v="3"/>
    <x v="3"/>
    <x v="3"/>
    <x v="3"/>
    <x v="3"/>
    <x v="16"/>
    <x v="55"/>
    <x v="55"/>
    <x v="2"/>
    <x v="19"/>
    <x v="1"/>
    <x v="0"/>
    <x v="54"/>
  </r>
  <r>
    <x v="56"/>
    <x v="4"/>
    <x v="4"/>
    <x v="3"/>
    <x v="3"/>
    <x v="17"/>
    <x v="4"/>
    <x v="56"/>
    <x v="56"/>
    <x v="1"/>
    <x v="6"/>
    <x v="0"/>
    <x v="0"/>
    <x v="55"/>
  </r>
  <r>
    <x v="57"/>
    <x v="0"/>
    <x v="0"/>
    <x v="4"/>
    <x v="4"/>
    <x v="11"/>
    <x v="6"/>
    <x v="57"/>
    <x v="57"/>
    <x v="1"/>
    <x v="6"/>
    <x v="0"/>
    <x v="0"/>
    <x v="56"/>
  </r>
  <r>
    <x v="58"/>
    <x v="0"/>
    <x v="0"/>
    <x v="4"/>
    <x v="4"/>
    <x v="16"/>
    <x v="6"/>
    <x v="58"/>
    <x v="58"/>
    <x v="1"/>
    <x v="14"/>
    <x v="1"/>
    <x v="1"/>
    <x v="56"/>
  </r>
  <r>
    <x v="59"/>
    <x v="0"/>
    <x v="0"/>
    <x v="4"/>
    <x v="4"/>
    <x v="6"/>
    <x v="11"/>
    <x v="59"/>
    <x v="59"/>
    <x v="1"/>
    <x v="17"/>
    <x v="1"/>
    <x v="0"/>
    <x v="57"/>
  </r>
  <r>
    <x v="60"/>
    <x v="0"/>
    <x v="0"/>
    <x v="4"/>
    <x v="4"/>
    <x v="8"/>
    <x v="16"/>
    <x v="60"/>
    <x v="60"/>
    <x v="6"/>
    <x v="19"/>
    <x v="2"/>
    <x v="0"/>
    <x v="58"/>
  </r>
  <r>
    <x v="61"/>
    <x v="0"/>
    <x v="0"/>
    <x v="4"/>
    <x v="4"/>
    <x v="8"/>
    <x v="6"/>
    <x v="61"/>
    <x v="61"/>
    <x v="5"/>
    <x v="2"/>
    <x v="2"/>
    <x v="0"/>
    <x v="59"/>
  </r>
  <r>
    <x v="62"/>
    <x v="1"/>
    <x v="1"/>
    <x v="4"/>
    <x v="4"/>
    <x v="12"/>
    <x v="14"/>
    <x v="62"/>
    <x v="62"/>
    <x v="0"/>
    <x v="5"/>
    <x v="1"/>
    <x v="0"/>
    <x v="60"/>
  </r>
  <r>
    <x v="63"/>
    <x v="1"/>
    <x v="1"/>
    <x v="4"/>
    <x v="4"/>
    <x v="16"/>
    <x v="2"/>
    <x v="63"/>
    <x v="63"/>
    <x v="5"/>
    <x v="2"/>
    <x v="0"/>
    <x v="0"/>
    <x v="61"/>
  </r>
  <r>
    <x v="64"/>
    <x v="1"/>
    <x v="1"/>
    <x v="4"/>
    <x v="4"/>
    <x v="8"/>
    <x v="3"/>
    <x v="64"/>
    <x v="64"/>
    <x v="5"/>
    <x v="14"/>
    <x v="1"/>
    <x v="0"/>
    <x v="62"/>
  </r>
  <r>
    <x v="65"/>
    <x v="1"/>
    <x v="1"/>
    <x v="4"/>
    <x v="4"/>
    <x v="14"/>
    <x v="7"/>
    <x v="65"/>
    <x v="65"/>
    <x v="1"/>
    <x v="15"/>
    <x v="0"/>
    <x v="0"/>
    <x v="63"/>
  </r>
  <r>
    <x v="66"/>
    <x v="2"/>
    <x v="2"/>
    <x v="4"/>
    <x v="4"/>
    <x v="1"/>
    <x v="6"/>
    <x v="66"/>
    <x v="66"/>
    <x v="6"/>
    <x v="9"/>
    <x v="2"/>
    <x v="0"/>
    <x v="64"/>
  </r>
  <r>
    <x v="67"/>
    <x v="2"/>
    <x v="2"/>
    <x v="4"/>
    <x v="4"/>
    <x v="5"/>
    <x v="0"/>
    <x v="67"/>
    <x v="67"/>
    <x v="4"/>
    <x v="11"/>
    <x v="0"/>
    <x v="0"/>
    <x v="65"/>
  </r>
  <r>
    <x v="68"/>
    <x v="2"/>
    <x v="2"/>
    <x v="4"/>
    <x v="4"/>
    <x v="9"/>
    <x v="9"/>
    <x v="68"/>
    <x v="68"/>
    <x v="1"/>
    <x v="7"/>
    <x v="0"/>
    <x v="0"/>
    <x v="66"/>
  </r>
  <r>
    <x v="69"/>
    <x v="2"/>
    <x v="2"/>
    <x v="4"/>
    <x v="4"/>
    <x v="8"/>
    <x v="17"/>
    <x v="69"/>
    <x v="69"/>
    <x v="6"/>
    <x v="15"/>
    <x v="2"/>
    <x v="0"/>
    <x v="67"/>
  </r>
  <r>
    <x v="70"/>
    <x v="2"/>
    <x v="2"/>
    <x v="4"/>
    <x v="4"/>
    <x v="3"/>
    <x v="13"/>
    <x v="70"/>
    <x v="70"/>
    <x v="5"/>
    <x v="15"/>
    <x v="0"/>
    <x v="0"/>
    <x v="68"/>
  </r>
  <r>
    <x v="71"/>
    <x v="3"/>
    <x v="3"/>
    <x v="4"/>
    <x v="4"/>
    <x v="11"/>
    <x v="6"/>
    <x v="71"/>
    <x v="71"/>
    <x v="6"/>
    <x v="17"/>
    <x v="2"/>
    <x v="0"/>
    <x v="69"/>
  </r>
  <r>
    <x v="72"/>
    <x v="3"/>
    <x v="3"/>
    <x v="4"/>
    <x v="4"/>
    <x v="17"/>
    <x v="15"/>
    <x v="72"/>
    <x v="72"/>
    <x v="0"/>
    <x v="2"/>
    <x v="0"/>
    <x v="0"/>
    <x v="70"/>
  </r>
  <r>
    <x v="73"/>
    <x v="4"/>
    <x v="4"/>
    <x v="4"/>
    <x v="4"/>
    <x v="0"/>
    <x v="17"/>
    <x v="73"/>
    <x v="73"/>
    <x v="1"/>
    <x v="6"/>
    <x v="1"/>
    <x v="0"/>
    <x v="71"/>
  </r>
  <r>
    <x v="74"/>
    <x v="4"/>
    <x v="4"/>
    <x v="4"/>
    <x v="4"/>
    <x v="8"/>
    <x v="17"/>
    <x v="74"/>
    <x v="74"/>
    <x v="5"/>
    <x v="3"/>
    <x v="1"/>
    <x v="0"/>
    <x v="72"/>
  </r>
  <r>
    <x v="75"/>
    <x v="4"/>
    <x v="4"/>
    <x v="4"/>
    <x v="4"/>
    <x v="15"/>
    <x v="10"/>
    <x v="75"/>
    <x v="75"/>
    <x v="1"/>
    <x v="9"/>
    <x v="1"/>
    <x v="0"/>
    <x v="73"/>
  </r>
  <r>
    <x v="76"/>
    <x v="0"/>
    <x v="0"/>
    <x v="5"/>
    <x v="5"/>
    <x v="17"/>
    <x v="8"/>
    <x v="76"/>
    <x v="76"/>
    <x v="4"/>
    <x v="3"/>
    <x v="1"/>
    <x v="1"/>
    <x v="74"/>
  </r>
  <r>
    <x v="77"/>
    <x v="0"/>
    <x v="0"/>
    <x v="5"/>
    <x v="5"/>
    <x v="17"/>
    <x v="6"/>
    <x v="77"/>
    <x v="77"/>
    <x v="6"/>
    <x v="1"/>
    <x v="2"/>
    <x v="0"/>
    <x v="75"/>
  </r>
  <r>
    <x v="78"/>
    <x v="0"/>
    <x v="0"/>
    <x v="5"/>
    <x v="5"/>
    <x v="2"/>
    <x v="14"/>
    <x v="78"/>
    <x v="78"/>
    <x v="4"/>
    <x v="19"/>
    <x v="2"/>
    <x v="0"/>
    <x v="76"/>
  </r>
  <r>
    <x v="79"/>
    <x v="0"/>
    <x v="0"/>
    <x v="5"/>
    <x v="5"/>
    <x v="10"/>
    <x v="13"/>
    <x v="79"/>
    <x v="79"/>
    <x v="3"/>
    <x v="2"/>
    <x v="1"/>
    <x v="0"/>
    <x v="77"/>
  </r>
  <r>
    <x v="80"/>
    <x v="0"/>
    <x v="0"/>
    <x v="5"/>
    <x v="5"/>
    <x v="8"/>
    <x v="16"/>
    <x v="80"/>
    <x v="80"/>
    <x v="5"/>
    <x v="13"/>
    <x v="1"/>
    <x v="0"/>
    <x v="78"/>
  </r>
  <r>
    <x v="81"/>
    <x v="0"/>
    <x v="0"/>
    <x v="5"/>
    <x v="5"/>
    <x v="14"/>
    <x v="15"/>
    <x v="81"/>
    <x v="81"/>
    <x v="1"/>
    <x v="5"/>
    <x v="1"/>
    <x v="1"/>
    <x v="79"/>
  </r>
  <r>
    <x v="82"/>
    <x v="1"/>
    <x v="1"/>
    <x v="5"/>
    <x v="5"/>
    <x v="0"/>
    <x v="11"/>
    <x v="82"/>
    <x v="82"/>
    <x v="3"/>
    <x v="8"/>
    <x v="0"/>
    <x v="0"/>
    <x v="80"/>
  </r>
  <r>
    <x v="83"/>
    <x v="1"/>
    <x v="1"/>
    <x v="5"/>
    <x v="5"/>
    <x v="16"/>
    <x v="2"/>
    <x v="83"/>
    <x v="83"/>
    <x v="3"/>
    <x v="16"/>
    <x v="2"/>
    <x v="0"/>
    <x v="81"/>
  </r>
  <r>
    <x v="84"/>
    <x v="1"/>
    <x v="1"/>
    <x v="5"/>
    <x v="5"/>
    <x v="15"/>
    <x v="16"/>
    <x v="84"/>
    <x v="84"/>
    <x v="0"/>
    <x v="5"/>
    <x v="0"/>
    <x v="0"/>
    <x v="82"/>
  </r>
  <r>
    <x v="85"/>
    <x v="2"/>
    <x v="2"/>
    <x v="5"/>
    <x v="5"/>
    <x v="12"/>
    <x v="12"/>
    <x v="85"/>
    <x v="85"/>
    <x v="1"/>
    <x v="1"/>
    <x v="2"/>
    <x v="0"/>
    <x v="83"/>
  </r>
  <r>
    <x v="86"/>
    <x v="2"/>
    <x v="2"/>
    <x v="5"/>
    <x v="5"/>
    <x v="1"/>
    <x v="1"/>
    <x v="86"/>
    <x v="86"/>
    <x v="1"/>
    <x v="12"/>
    <x v="2"/>
    <x v="0"/>
    <x v="84"/>
  </r>
  <r>
    <x v="87"/>
    <x v="2"/>
    <x v="2"/>
    <x v="5"/>
    <x v="5"/>
    <x v="16"/>
    <x v="18"/>
    <x v="87"/>
    <x v="87"/>
    <x v="1"/>
    <x v="12"/>
    <x v="0"/>
    <x v="0"/>
    <x v="85"/>
  </r>
  <r>
    <x v="88"/>
    <x v="2"/>
    <x v="2"/>
    <x v="5"/>
    <x v="5"/>
    <x v="13"/>
    <x v="9"/>
    <x v="88"/>
    <x v="88"/>
    <x v="6"/>
    <x v="17"/>
    <x v="0"/>
    <x v="0"/>
    <x v="86"/>
  </r>
  <r>
    <x v="89"/>
    <x v="2"/>
    <x v="2"/>
    <x v="5"/>
    <x v="5"/>
    <x v="4"/>
    <x v="3"/>
    <x v="89"/>
    <x v="89"/>
    <x v="5"/>
    <x v="16"/>
    <x v="1"/>
    <x v="0"/>
    <x v="87"/>
  </r>
  <r>
    <x v="90"/>
    <x v="2"/>
    <x v="2"/>
    <x v="5"/>
    <x v="5"/>
    <x v="18"/>
    <x v="4"/>
    <x v="90"/>
    <x v="90"/>
    <x v="2"/>
    <x v="17"/>
    <x v="1"/>
    <x v="0"/>
    <x v="88"/>
  </r>
  <r>
    <x v="91"/>
    <x v="3"/>
    <x v="3"/>
    <x v="5"/>
    <x v="5"/>
    <x v="11"/>
    <x v="6"/>
    <x v="91"/>
    <x v="91"/>
    <x v="6"/>
    <x v="8"/>
    <x v="1"/>
    <x v="0"/>
    <x v="89"/>
  </r>
  <r>
    <x v="92"/>
    <x v="3"/>
    <x v="3"/>
    <x v="5"/>
    <x v="5"/>
    <x v="5"/>
    <x v="6"/>
    <x v="92"/>
    <x v="92"/>
    <x v="2"/>
    <x v="1"/>
    <x v="2"/>
    <x v="0"/>
    <x v="90"/>
  </r>
  <r>
    <x v="93"/>
    <x v="3"/>
    <x v="3"/>
    <x v="5"/>
    <x v="5"/>
    <x v="6"/>
    <x v="9"/>
    <x v="93"/>
    <x v="93"/>
    <x v="4"/>
    <x v="12"/>
    <x v="0"/>
    <x v="0"/>
    <x v="91"/>
  </r>
  <r>
    <x v="94"/>
    <x v="3"/>
    <x v="3"/>
    <x v="5"/>
    <x v="5"/>
    <x v="8"/>
    <x v="11"/>
    <x v="94"/>
    <x v="94"/>
    <x v="6"/>
    <x v="9"/>
    <x v="2"/>
    <x v="0"/>
    <x v="92"/>
  </r>
  <r>
    <x v="95"/>
    <x v="3"/>
    <x v="3"/>
    <x v="5"/>
    <x v="5"/>
    <x v="8"/>
    <x v="16"/>
    <x v="95"/>
    <x v="95"/>
    <x v="6"/>
    <x v="2"/>
    <x v="0"/>
    <x v="0"/>
    <x v="93"/>
  </r>
  <r>
    <x v="96"/>
    <x v="4"/>
    <x v="4"/>
    <x v="5"/>
    <x v="5"/>
    <x v="11"/>
    <x v="8"/>
    <x v="96"/>
    <x v="96"/>
    <x v="3"/>
    <x v="10"/>
    <x v="0"/>
    <x v="0"/>
    <x v="94"/>
  </r>
  <r>
    <x v="97"/>
    <x v="4"/>
    <x v="4"/>
    <x v="5"/>
    <x v="5"/>
    <x v="12"/>
    <x v="11"/>
    <x v="97"/>
    <x v="97"/>
    <x v="5"/>
    <x v="1"/>
    <x v="1"/>
    <x v="0"/>
    <x v="95"/>
  </r>
  <r>
    <x v="98"/>
    <x v="4"/>
    <x v="4"/>
    <x v="5"/>
    <x v="5"/>
    <x v="16"/>
    <x v="16"/>
    <x v="98"/>
    <x v="98"/>
    <x v="2"/>
    <x v="15"/>
    <x v="0"/>
    <x v="0"/>
    <x v="96"/>
  </r>
  <r>
    <x v="99"/>
    <x v="4"/>
    <x v="4"/>
    <x v="5"/>
    <x v="5"/>
    <x v="10"/>
    <x v="8"/>
    <x v="99"/>
    <x v="99"/>
    <x v="0"/>
    <x v="4"/>
    <x v="1"/>
    <x v="0"/>
    <x v="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2">
  <location ref="A4:B25" firstHeaderRow="1" firstDataRow="1" firstDataCol="1"/>
  <pivotFields count="14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101">
        <item x="95"/>
        <item x="43"/>
        <item x="56"/>
        <item x="47"/>
        <item x="28"/>
        <item x="5"/>
        <item x="59"/>
        <item x="14"/>
        <item x="73"/>
        <item x="31"/>
        <item x="94"/>
        <item x="15"/>
        <item x="85"/>
        <item x="36"/>
        <item x="45"/>
        <item x="64"/>
        <item x="41"/>
        <item x="54"/>
        <item x="77"/>
        <item x="11"/>
        <item x="99"/>
        <item x="42"/>
        <item x="89"/>
        <item x="68"/>
        <item x="53"/>
        <item x="20"/>
        <item x="80"/>
        <item x="70"/>
        <item x="87"/>
        <item x="27"/>
        <item x="44"/>
        <item x="74"/>
        <item x="83"/>
        <item x="19"/>
        <item x="96"/>
        <item x="37"/>
        <item x="65"/>
        <item x="62"/>
        <item x="48"/>
        <item x="7"/>
        <item x="24"/>
        <item x="1"/>
        <item x="91"/>
        <item x="0"/>
        <item x="78"/>
        <item x="79"/>
        <item x="55"/>
        <item x="61"/>
        <item x="52"/>
        <item x="49"/>
        <item x="29"/>
        <item x="97"/>
        <item x="75"/>
        <item x="86"/>
        <item x="98"/>
        <item x="92"/>
        <item x="2"/>
        <item x="9"/>
        <item x="82"/>
        <item x="39"/>
        <item x="69"/>
        <item x="13"/>
        <item x="90"/>
        <item x="22"/>
        <item x="33"/>
        <item x="16"/>
        <item x="21"/>
        <item x="30"/>
        <item x="60"/>
        <item x="25"/>
        <item x="32"/>
        <item x="84"/>
        <item x="93"/>
        <item x="10"/>
        <item x="50"/>
        <item x="67"/>
        <item x="72"/>
        <item x="35"/>
        <item x="12"/>
        <item x="17"/>
        <item x="18"/>
        <item x="3"/>
        <item x="4"/>
        <item x="51"/>
        <item x="46"/>
        <item x="40"/>
        <item x="71"/>
        <item x="66"/>
        <item x="8"/>
        <item x="81"/>
        <item x="34"/>
        <item x="63"/>
        <item x="57"/>
        <item x="6"/>
        <item x="76"/>
        <item x="26"/>
        <item x="38"/>
        <item x="23"/>
        <item x="58"/>
        <item x="88"/>
        <item t="default"/>
      </items>
    </pivotField>
    <pivotField compact="0" numFmtId="166" showAll="0"/>
    <pivotField compact="0" showAll="0"/>
    <pivotField axis="axisRow" compact="0" showAll="0">
      <items count="21">
        <item x="6"/>
        <item x="2"/>
        <item x="4"/>
        <item x="13"/>
        <item x="8"/>
        <item x="14"/>
        <item x="3"/>
        <item x="12"/>
        <item x="17"/>
        <item x="15"/>
        <item x="10"/>
        <item x="5"/>
        <item x="19"/>
        <item x="11"/>
        <item x="9"/>
        <item x="7"/>
        <item x="18"/>
        <item x="1"/>
        <item x="0"/>
        <item x="16"/>
        <item t="default"/>
      </items>
    </pivotField>
    <pivotField compact="0" showAll="0"/>
    <pivotField compact="0" showAll="0"/>
    <pivotField compact="0" showAll="0"/>
  </pivotFields>
  <rowFields count="1">
    <field x="1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Miles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B25"/>
  <sheetViews>
    <sheetView workbookViewId="0">
      <selection activeCell="I23" sqref="I23"/>
    </sheetView>
  </sheetViews>
  <sheetFormatPr defaultColWidth="8.88671875" defaultRowHeight="14.4"/>
  <cols>
    <col min="1" max="1" width="11.6640625"/>
    <col min="2" max="2" width="12.88671875"/>
    <col min="3" max="20" width="9.6640625"/>
    <col min="21" max="21" width="11.44140625"/>
  </cols>
  <sheetData>
    <row r="4" spans="1:2">
      <c r="A4" t="s">
        <v>0</v>
      </c>
      <c r="B4" t="s">
        <v>1</v>
      </c>
    </row>
    <row r="5" spans="1:2">
      <c r="A5" t="s">
        <v>2</v>
      </c>
      <c r="B5">
        <v>214994.6</v>
      </c>
    </row>
    <row r="6" spans="1:2">
      <c r="A6" t="s">
        <v>3</v>
      </c>
      <c r="B6">
        <v>403419.5</v>
      </c>
    </row>
    <row r="7" spans="1:2">
      <c r="A7" t="s">
        <v>4</v>
      </c>
      <c r="B7">
        <v>153423.79999999999</v>
      </c>
    </row>
    <row r="8" spans="1:2">
      <c r="A8" t="s">
        <v>5</v>
      </c>
      <c r="B8">
        <v>106983.9</v>
      </c>
    </row>
    <row r="9" spans="1:2">
      <c r="A9" t="s">
        <v>6</v>
      </c>
      <c r="B9">
        <v>120995.5</v>
      </c>
    </row>
    <row r="10" spans="1:2">
      <c r="A10" t="s">
        <v>7</v>
      </c>
      <c r="B10">
        <v>175870.1</v>
      </c>
    </row>
    <row r="11" spans="1:2">
      <c r="A11" t="s">
        <v>8</v>
      </c>
      <c r="B11">
        <v>259035.9</v>
      </c>
    </row>
    <row r="12" spans="1:2">
      <c r="A12" t="s">
        <v>9</v>
      </c>
      <c r="B12">
        <v>129284</v>
      </c>
    </row>
    <row r="13" spans="1:2">
      <c r="A13" t="s">
        <v>10</v>
      </c>
      <c r="B13">
        <v>270350.8</v>
      </c>
    </row>
    <row r="14" spans="1:2">
      <c r="A14" t="s">
        <v>11</v>
      </c>
      <c r="B14">
        <v>219982.8</v>
      </c>
    </row>
    <row r="15" spans="1:2">
      <c r="A15" t="s">
        <v>12</v>
      </c>
      <c r="B15">
        <v>182111.4</v>
      </c>
    </row>
    <row r="16" spans="1:2">
      <c r="A16" t="s">
        <v>13</v>
      </c>
      <c r="B16">
        <v>224379.8</v>
      </c>
    </row>
    <row r="17" spans="1:2">
      <c r="A17" t="s">
        <v>14</v>
      </c>
      <c r="B17">
        <v>127730.6</v>
      </c>
    </row>
    <row r="18" spans="1:2">
      <c r="A18" t="s">
        <v>15</v>
      </c>
      <c r="B18">
        <v>182137.7</v>
      </c>
    </row>
    <row r="19" spans="1:2">
      <c r="A19" t="s">
        <v>16</v>
      </c>
      <c r="B19">
        <v>162338</v>
      </c>
    </row>
    <row r="20" spans="1:2">
      <c r="A20" t="s">
        <v>17</v>
      </c>
      <c r="B20">
        <v>110652</v>
      </c>
    </row>
    <row r="21" spans="1:2">
      <c r="A21" t="s">
        <v>18</v>
      </c>
      <c r="B21">
        <v>76813.600000000006</v>
      </c>
    </row>
    <row r="22" spans="1:2">
      <c r="A22" t="s">
        <v>19</v>
      </c>
      <c r="B22">
        <v>268773.90000000002</v>
      </c>
    </row>
    <row r="23" spans="1:2">
      <c r="A23" t="s">
        <v>20</v>
      </c>
      <c r="B23">
        <v>32687.5</v>
      </c>
    </row>
    <row r="24" spans="1:2">
      <c r="A24" t="s">
        <v>21</v>
      </c>
      <c r="B24">
        <v>86574.5</v>
      </c>
    </row>
    <row r="25" spans="1:2">
      <c r="A25" t="s">
        <v>22</v>
      </c>
      <c r="B25">
        <v>3508539.9</v>
      </c>
    </row>
  </sheetData>
  <conditionalFormatting sqref="B5:B24">
    <cfRule type="top10" dxfId="0" priority="1" percent="1" rank="10"/>
  </conditionalFormatting>
  <pageMargins left="0.75" right="0.75" top="1" bottom="1" header="0.5" footer="0.5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12"/>
  <sheetViews>
    <sheetView tabSelected="1" zoomScale="92" zoomScaleNormal="92" workbookViewId="0">
      <selection activeCell="E7" sqref="E7"/>
    </sheetView>
  </sheetViews>
  <sheetFormatPr defaultColWidth="10" defaultRowHeight="14.4"/>
  <cols>
    <col min="1" max="1" width="19.33203125" customWidth="1"/>
    <col min="2" max="2" width="15.88671875" customWidth="1"/>
    <col min="3" max="3" width="17.88671875" customWidth="1"/>
    <col min="4" max="4" width="12.6640625" customWidth="1"/>
    <col min="5" max="5" width="16.44140625" customWidth="1"/>
    <col min="6" max="6" width="14.88671875" customWidth="1"/>
    <col min="7" max="7" width="13.44140625" customWidth="1"/>
    <col min="8" max="8" width="12.21875" customWidth="1"/>
    <col min="9" max="9" width="13.21875" customWidth="1"/>
    <col min="10" max="10" width="13.6640625" customWidth="1"/>
    <col min="11" max="11" width="12.6640625" customWidth="1"/>
    <col min="12" max="12" width="13.5546875" customWidth="1"/>
    <col min="13" max="13" width="15.5546875" customWidth="1"/>
    <col min="14" max="14" width="15.33203125" customWidth="1"/>
    <col min="17" max="17" width="15.88671875" customWidth="1"/>
  </cols>
  <sheetData>
    <row r="1" spans="1:17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0</v>
      </c>
      <c r="L1" t="s">
        <v>33</v>
      </c>
      <c r="M1" t="s">
        <v>34</v>
      </c>
      <c r="N1" t="s">
        <v>35</v>
      </c>
    </row>
    <row r="2" spans="1:17">
      <c r="A2" t="s">
        <v>36</v>
      </c>
      <c r="B2" t="str">
        <f>LEFT(A2,2)</f>
        <v>NS</v>
      </c>
      <c r="C2" t="s">
        <v>37</v>
      </c>
      <c r="D2" t="str">
        <f>MID(A2,5,3)</f>
        <v>VTX</v>
      </c>
      <c r="E2" t="str">
        <f t="shared" ref="E2:E33" si="0">VLOOKUP(D2,D$107:E$112,2)</f>
        <v>Vitex</v>
      </c>
      <c r="F2">
        <v>2019</v>
      </c>
      <c r="G2">
        <f t="shared" ref="G2:G21" si="1">2025-F5</f>
        <v>16</v>
      </c>
      <c r="H2">
        <v>12828.7</v>
      </c>
      <c r="I2" s="1">
        <f t="shared" ref="I2:I33" si="2">H2/G2</f>
        <v>801.79375000000005</v>
      </c>
      <c r="J2" t="s">
        <v>38</v>
      </c>
      <c r="K2" t="s">
        <v>3</v>
      </c>
      <c r="L2">
        <v>75000</v>
      </c>
      <c r="M2" t="str">
        <f t="shared" ref="M2:M33" si="3">IF(H2&gt;=L2,"Y","Not Covered")</f>
        <v>Not Covered</v>
      </c>
      <c r="N2" t="str">
        <f t="shared" ref="N2:N33" si="4">CONCATENATE(LEFT(A2,2),LEFT(J2,3),G2,MID(A2,5,3))</f>
        <v>NSGra16VTX</v>
      </c>
      <c r="Q2" t="s">
        <v>39</v>
      </c>
    </row>
    <row r="3" spans="1:17">
      <c r="A3" t="s">
        <v>40</v>
      </c>
      <c r="B3" t="str">
        <f t="shared" ref="B2:B33" si="5">LEFT(A3,2)</f>
        <v>TY</v>
      </c>
      <c r="C3" t="s">
        <v>41</v>
      </c>
      <c r="D3" t="str">
        <f t="shared" ref="D2:D33" si="6">MID(A3,5,3)</f>
        <v>FCS</v>
      </c>
      <c r="E3" t="str">
        <f t="shared" si="0"/>
        <v>Focus</v>
      </c>
      <c r="F3">
        <v>2017</v>
      </c>
      <c r="G3">
        <f t="shared" si="1"/>
        <v>10</v>
      </c>
      <c r="H3">
        <v>12923.8</v>
      </c>
      <c r="I3" s="1">
        <f t="shared" si="2"/>
        <v>1292.3800000000001</v>
      </c>
      <c r="J3" t="s">
        <v>42</v>
      </c>
      <c r="K3" t="s">
        <v>10</v>
      </c>
      <c r="L3">
        <v>100000</v>
      </c>
      <c r="M3" t="str">
        <f t="shared" si="3"/>
        <v>Not Covered</v>
      </c>
      <c r="N3" t="str">
        <f t="shared" si="4"/>
        <v>TYBlu10FCS</v>
      </c>
      <c r="Q3" t="s">
        <v>43</v>
      </c>
    </row>
    <row r="4" spans="1:17">
      <c r="A4" t="s">
        <v>44</v>
      </c>
      <c r="B4" t="str">
        <f t="shared" si="5"/>
        <v>TY</v>
      </c>
      <c r="C4" t="s">
        <v>41</v>
      </c>
      <c r="D4" t="str">
        <f t="shared" si="6"/>
        <v>MTG</v>
      </c>
      <c r="E4" t="str">
        <f t="shared" si="0"/>
        <v>Mustang</v>
      </c>
      <c r="F4">
        <v>2006</v>
      </c>
      <c r="G4">
        <f t="shared" si="1"/>
        <v>16</v>
      </c>
      <c r="H4">
        <v>13127</v>
      </c>
      <c r="I4" s="1">
        <f t="shared" si="2"/>
        <v>820.4375</v>
      </c>
      <c r="J4" t="s">
        <v>45</v>
      </c>
      <c r="K4" t="s">
        <v>2</v>
      </c>
      <c r="L4">
        <v>75000</v>
      </c>
      <c r="M4" t="str">
        <f t="shared" si="3"/>
        <v>Not Covered</v>
      </c>
      <c r="N4" t="str">
        <f t="shared" si="4"/>
        <v>TYBla16MTG</v>
      </c>
      <c r="Q4" t="s">
        <v>46</v>
      </c>
    </row>
    <row r="5" spans="1:17">
      <c r="A5" t="s">
        <v>47</v>
      </c>
      <c r="B5" t="str">
        <f t="shared" si="5"/>
        <v>GM</v>
      </c>
      <c r="C5" t="s">
        <v>48</v>
      </c>
      <c r="D5" t="str">
        <f t="shared" si="6"/>
        <v>MTG</v>
      </c>
      <c r="E5" t="str">
        <f t="shared" si="0"/>
        <v>Mustang</v>
      </c>
      <c r="F5">
        <v>2009</v>
      </c>
      <c r="G5">
        <f t="shared" si="1"/>
        <v>12</v>
      </c>
      <c r="H5">
        <v>13484.1</v>
      </c>
      <c r="I5" s="1">
        <f t="shared" si="2"/>
        <v>1123.675</v>
      </c>
      <c r="J5" t="s">
        <v>49</v>
      </c>
      <c r="K5" t="s">
        <v>4</v>
      </c>
      <c r="L5">
        <v>75000</v>
      </c>
      <c r="M5" t="str">
        <f t="shared" si="3"/>
        <v>Not Covered</v>
      </c>
      <c r="N5" t="str">
        <f t="shared" si="4"/>
        <v>GMGre12MTG</v>
      </c>
      <c r="Q5" t="s">
        <v>50</v>
      </c>
    </row>
    <row r="6" spans="1:17">
      <c r="A6" t="s">
        <v>51</v>
      </c>
      <c r="B6" t="str">
        <f t="shared" si="5"/>
        <v>NS</v>
      </c>
      <c r="C6" t="s">
        <v>37</v>
      </c>
      <c r="D6" t="str">
        <f t="shared" si="6"/>
        <v>ECO</v>
      </c>
      <c r="E6" t="str">
        <f t="shared" si="0"/>
        <v>Ecolle</v>
      </c>
      <c r="F6">
        <v>2015</v>
      </c>
      <c r="G6">
        <f t="shared" si="1"/>
        <v>16</v>
      </c>
      <c r="H6">
        <v>14343.5</v>
      </c>
      <c r="I6" s="1">
        <f t="shared" si="2"/>
        <v>896.46875</v>
      </c>
      <c r="J6" t="s">
        <v>52</v>
      </c>
      <c r="K6" t="s">
        <v>2</v>
      </c>
      <c r="L6">
        <v>100000</v>
      </c>
      <c r="M6" t="str">
        <f t="shared" si="3"/>
        <v>Not Covered</v>
      </c>
      <c r="N6" t="str">
        <f t="shared" si="4"/>
        <v>NSRed16ECO</v>
      </c>
      <c r="Q6" t="s">
        <v>53</v>
      </c>
    </row>
    <row r="7" spans="1:17">
      <c r="A7" t="s">
        <v>54</v>
      </c>
      <c r="B7" t="str">
        <f t="shared" si="5"/>
        <v>HD</v>
      </c>
      <c r="C7" t="s">
        <v>55</v>
      </c>
      <c r="D7" t="str">
        <f t="shared" si="6"/>
        <v>CMR</v>
      </c>
      <c r="E7" t="str">
        <f t="shared" si="0"/>
        <v>Camero</v>
      </c>
      <c r="F7">
        <v>2009</v>
      </c>
      <c r="G7">
        <f t="shared" si="1"/>
        <v>17</v>
      </c>
      <c r="H7">
        <v>14517.9</v>
      </c>
      <c r="I7" s="1">
        <f t="shared" si="2"/>
        <v>853.99411764705906</v>
      </c>
      <c r="J7" t="s">
        <v>45</v>
      </c>
      <c r="K7" t="s">
        <v>4</v>
      </c>
      <c r="L7">
        <v>75000</v>
      </c>
      <c r="M7" t="str">
        <f t="shared" si="3"/>
        <v>Not Covered</v>
      </c>
      <c r="N7" t="str">
        <f t="shared" si="4"/>
        <v>HDBla17CMR</v>
      </c>
    </row>
    <row r="8" spans="1:17">
      <c r="A8" t="s">
        <v>56</v>
      </c>
      <c r="B8" t="str">
        <f t="shared" si="5"/>
        <v>FD</v>
      </c>
      <c r="C8" t="s">
        <v>57</v>
      </c>
      <c r="D8" t="str">
        <f t="shared" si="6"/>
        <v>PRS</v>
      </c>
      <c r="E8" t="str">
        <f t="shared" si="0"/>
        <v>Press</v>
      </c>
      <c r="F8">
        <v>2013</v>
      </c>
      <c r="G8">
        <f t="shared" si="1"/>
        <v>17</v>
      </c>
      <c r="H8">
        <v>14787.4</v>
      </c>
      <c r="I8" s="1">
        <f t="shared" si="2"/>
        <v>869.84705882352898</v>
      </c>
      <c r="J8" t="s">
        <v>45</v>
      </c>
      <c r="K8" t="s">
        <v>10</v>
      </c>
      <c r="L8">
        <v>50000</v>
      </c>
      <c r="M8" t="str">
        <f t="shared" si="3"/>
        <v>Not Covered</v>
      </c>
      <c r="N8" t="str">
        <f t="shared" si="4"/>
        <v>FDBla17PRS</v>
      </c>
    </row>
    <row r="9" spans="1:17">
      <c r="A9" t="s">
        <v>58</v>
      </c>
      <c r="B9" t="str">
        <f t="shared" si="5"/>
        <v>TY</v>
      </c>
      <c r="C9" t="s">
        <v>41</v>
      </c>
      <c r="D9" t="str">
        <f t="shared" si="6"/>
        <v>CMR</v>
      </c>
      <c r="E9" t="str">
        <f t="shared" si="0"/>
        <v>Camero</v>
      </c>
      <c r="F9">
        <v>2009</v>
      </c>
      <c r="G9">
        <f t="shared" si="1"/>
        <v>6</v>
      </c>
      <c r="H9">
        <v>15090.4</v>
      </c>
      <c r="I9" s="1">
        <f t="shared" si="2"/>
        <v>2515.0666666666698</v>
      </c>
      <c r="J9" t="s">
        <v>42</v>
      </c>
      <c r="K9" t="s">
        <v>3</v>
      </c>
      <c r="L9">
        <v>100000</v>
      </c>
      <c r="M9" t="str">
        <f t="shared" si="3"/>
        <v>Not Covered</v>
      </c>
      <c r="N9" t="str">
        <f t="shared" si="4"/>
        <v>TYBlu6CMR</v>
      </c>
    </row>
    <row r="10" spans="1:17">
      <c r="A10" t="s">
        <v>59</v>
      </c>
      <c r="B10" t="str">
        <f t="shared" si="5"/>
        <v>TY</v>
      </c>
      <c r="C10" t="s">
        <v>41</v>
      </c>
      <c r="D10" t="str">
        <f t="shared" si="6"/>
        <v>PRS</v>
      </c>
      <c r="E10" t="str">
        <f t="shared" si="0"/>
        <v>Press</v>
      </c>
      <c r="F10">
        <v>2008</v>
      </c>
      <c r="G10">
        <f t="shared" si="1"/>
        <v>15</v>
      </c>
      <c r="H10">
        <v>15171.5</v>
      </c>
      <c r="I10" s="1">
        <f t="shared" si="2"/>
        <v>1011.43333333333</v>
      </c>
      <c r="J10" t="s">
        <v>45</v>
      </c>
      <c r="K10" t="s">
        <v>2</v>
      </c>
      <c r="L10">
        <v>50000</v>
      </c>
      <c r="M10" t="str">
        <f t="shared" si="3"/>
        <v>Not Covered</v>
      </c>
      <c r="N10" t="str">
        <f t="shared" si="4"/>
        <v>TYBla15PRS</v>
      </c>
    </row>
    <row r="11" spans="1:17">
      <c r="A11" t="s">
        <v>60</v>
      </c>
      <c r="B11" t="str">
        <f t="shared" si="5"/>
        <v>FD</v>
      </c>
      <c r="C11" t="s">
        <v>57</v>
      </c>
      <c r="D11" t="str">
        <f t="shared" si="6"/>
        <v>FCS</v>
      </c>
      <c r="E11" t="str">
        <f t="shared" si="0"/>
        <v>Focus</v>
      </c>
      <c r="F11">
        <v>2008</v>
      </c>
      <c r="G11">
        <f t="shared" si="1"/>
        <v>18</v>
      </c>
      <c r="H11">
        <v>15339.5</v>
      </c>
      <c r="I11" s="1">
        <f t="shared" si="2"/>
        <v>852.194444444444</v>
      </c>
      <c r="J11" t="s">
        <v>42</v>
      </c>
      <c r="K11" t="s">
        <v>17</v>
      </c>
      <c r="L11">
        <v>50000</v>
      </c>
      <c r="M11" t="str">
        <f t="shared" si="3"/>
        <v>Not Covered</v>
      </c>
      <c r="N11" t="str">
        <f t="shared" si="4"/>
        <v>FDBlu18FCS</v>
      </c>
    </row>
    <row r="12" spans="1:17">
      <c r="A12" t="s">
        <v>61</v>
      </c>
      <c r="B12" t="str">
        <f t="shared" si="5"/>
        <v>NS</v>
      </c>
      <c r="C12" t="s">
        <v>37</v>
      </c>
      <c r="D12" t="str">
        <f t="shared" si="6"/>
        <v>VTX</v>
      </c>
      <c r="E12" t="str">
        <f t="shared" si="0"/>
        <v>Vitex</v>
      </c>
      <c r="F12">
        <v>2019</v>
      </c>
      <c r="G12">
        <f t="shared" si="1"/>
        <v>9</v>
      </c>
      <c r="H12">
        <v>16432.8</v>
      </c>
      <c r="I12" s="1">
        <f t="shared" si="2"/>
        <v>1825.86666666667</v>
      </c>
      <c r="J12" t="s">
        <v>38</v>
      </c>
      <c r="K12" t="s">
        <v>16</v>
      </c>
      <c r="L12">
        <v>100000</v>
      </c>
      <c r="M12" t="str">
        <f t="shared" si="3"/>
        <v>Not Covered</v>
      </c>
      <c r="N12" t="str">
        <f t="shared" si="4"/>
        <v>NSGra9VTX</v>
      </c>
    </row>
    <row r="13" spans="1:17">
      <c r="A13" t="s">
        <v>62</v>
      </c>
      <c r="B13" t="str">
        <f t="shared" si="5"/>
        <v>TY</v>
      </c>
      <c r="C13" t="s">
        <v>41</v>
      </c>
      <c r="D13" t="str">
        <f t="shared" si="6"/>
        <v>CMR</v>
      </c>
      <c r="E13" t="str">
        <f t="shared" si="0"/>
        <v>Camero</v>
      </c>
      <c r="F13">
        <v>2010</v>
      </c>
      <c r="G13">
        <f t="shared" si="1"/>
        <v>5</v>
      </c>
      <c r="H13">
        <v>16755.7</v>
      </c>
      <c r="I13" s="1">
        <f t="shared" si="2"/>
        <v>3351.14</v>
      </c>
      <c r="J13" t="s">
        <v>45</v>
      </c>
      <c r="K13" t="s">
        <v>16</v>
      </c>
      <c r="L13">
        <v>50000</v>
      </c>
      <c r="M13" t="str">
        <f t="shared" si="3"/>
        <v>Not Covered</v>
      </c>
      <c r="N13" t="str">
        <f t="shared" si="4"/>
        <v>TYBla5CMR</v>
      </c>
    </row>
    <row r="14" spans="1:17">
      <c r="A14" t="s">
        <v>63</v>
      </c>
      <c r="B14" t="str">
        <f t="shared" si="5"/>
        <v>HD</v>
      </c>
      <c r="C14" t="s">
        <v>55</v>
      </c>
      <c r="D14" t="str">
        <f t="shared" si="6"/>
        <v>VTX</v>
      </c>
      <c r="E14" t="str">
        <f t="shared" si="0"/>
        <v>Vitex</v>
      </c>
      <c r="F14">
        <v>2007</v>
      </c>
      <c r="G14">
        <f t="shared" si="1"/>
        <v>6</v>
      </c>
      <c r="H14">
        <v>16763.8</v>
      </c>
      <c r="I14" s="1">
        <f t="shared" si="2"/>
        <v>2793.9666666666699</v>
      </c>
      <c r="J14" t="s">
        <v>45</v>
      </c>
      <c r="K14" t="s">
        <v>19</v>
      </c>
      <c r="L14">
        <v>100000</v>
      </c>
      <c r="M14" t="str">
        <f t="shared" si="3"/>
        <v>Not Covered</v>
      </c>
      <c r="N14" t="str">
        <f t="shared" si="4"/>
        <v>HDBla6VTX</v>
      </c>
    </row>
    <row r="15" spans="1:17">
      <c r="A15" t="s">
        <v>64</v>
      </c>
      <c r="B15" t="str">
        <f t="shared" si="5"/>
        <v>HD</v>
      </c>
      <c r="C15" t="s">
        <v>55</v>
      </c>
      <c r="D15" t="str">
        <f t="shared" si="6"/>
        <v>FCS</v>
      </c>
      <c r="E15" t="str">
        <f t="shared" si="0"/>
        <v>Focus</v>
      </c>
      <c r="F15">
        <v>2016</v>
      </c>
      <c r="G15">
        <f t="shared" si="1"/>
        <v>14</v>
      </c>
      <c r="H15">
        <v>16856</v>
      </c>
      <c r="I15" s="1">
        <f t="shared" si="2"/>
        <v>1204</v>
      </c>
      <c r="J15" t="s">
        <v>38</v>
      </c>
      <c r="K15" t="s">
        <v>13</v>
      </c>
      <c r="L15">
        <v>50000</v>
      </c>
      <c r="M15" t="str">
        <f t="shared" si="3"/>
        <v>Not Covered</v>
      </c>
      <c r="N15" t="str">
        <f t="shared" si="4"/>
        <v>HDGra14FCS</v>
      </c>
    </row>
    <row r="16" spans="1:17">
      <c r="A16" t="s">
        <v>65</v>
      </c>
      <c r="B16" t="str">
        <f t="shared" si="5"/>
        <v>FD</v>
      </c>
      <c r="C16" t="s">
        <v>57</v>
      </c>
      <c r="D16" t="str">
        <f t="shared" si="6"/>
        <v>MTG</v>
      </c>
      <c r="E16" t="str">
        <f t="shared" si="0"/>
        <v>Mustang</v>
      </c>
      <c r="F16">
        <v>2020</v>
      </c>
      <c r="G16">
        <f t="shared" si="1"/>
        <v>17</v>
      </c>
      <c r="H16">
        <v>17037.3</v>
      </c>
      <c r="I16" s="1">
        <f t="shared" si="2"/>
        <v>1002.19411764706</v>
      </c>
      <c r="J16" t="s">
        <v>52</v>
      </c>
      <c r="K16" t="s">
        <v>14</v>
      </c>
      <c r="L16">
        <v>50000</v>
      </c>
      <c r="M16" t="str">
        <f t="shared" si="3"/>
        <v>Not Covered</v>
      </c>
      <c r="N16" t="str">
        <f t="shared" si="4"/>
        <v>FDRed17MTG</v>
      </c>
    </row>
    <row r="17" spans="1:14">
      <c r="A17" t="s">
        <v>66</v>
      </c>
      <c r="B17" t="str">
        <f t="shared" si="5"/>
        <v>GM</v>
      </c>
      <c r="C17" t="s">
        <v>48</v>
      </c>
      <c r="D17" t="str">
        <f t="shared" si="6"/>
        <v>PRS</v>
      </c>
      <c r="E17" t="str">
        <f t="shared" si="0"/>
        <v>Press</v>
      </c>
      <c r="F17">
        <v>2019</v>
      </c>
      <c r="G17">
        <f t="shared" si="1"/>
        <v>19</v>
      </c>
      <c r="H17">
        <v>17789.5</v>
      </c>
      <c r="I17" s="1">
        <f t="shared" si="2"/>
        <v>936.28947368421098</v>
      </c>
      <c r="J17" t="s">
        <v>42</v>
      </c>
      <c r="K17" t="s">
        <v>7</v>
      </c>
      <c r="L17">
        <v>50000</v>
      </c>
      <c r="M17" t="str">
        <f t="shared" si="3"/>
        <v>Not Covered</v>
      </c>
      <c r="N17" t="str">
        <f t="shared" si="4"/>
        <v>GMBlu19PRS</v>
      </c>
    </row>
    <row r="18" spans="1:14">
      <c r="A18" t="s">
        <v>67</v>
      </c>
      <c r="B18" t="str">
        <f t="shared" si="5"/>
        <v>TY</v>
      </c>
      <c r="C18" t="s">
        <v>41</v>
      </c>
      <c r="D18" t="str">
        <f t="shared" si="6"/>
        <v>FCS</v>
      </c>
      <c r="E18" t="str">
        <f t="shared" si="0"/>
        <v>Focus</v>
      </c>
      <c r="F18">
        <v>2011</v>
      </c>
      <c r="G18">
        <f t="shared" si="1"/>
        <v>16</v>
      </c>
      <c r="H18">
        <v>17834.7</v>
      </c>
      <c r="I18" s="1">
        <f t="shared" si="2"/>
        <v>1114.66875</v>
      </c>
      <c r="J18" t="s">
        <v>68</v>
      </c>
      <c r="K18" t="s">
        <v>8</v>
      </c>
      <c r="L18">
        <v>100000</v>
      </c>
      <c r="M18" t="str">
        <f t="shared" si="3"/>
        <v>Not Covered</v>
      </c>
      <c r="N18" t="str">
        <f t="shared" si="4"/>
        <v>TYWhi16FCS</v>
      </c>
    </row>
    <row r="19" spans="1:14">
      <c r="A19" t="s">
        <v>69</v>
      </c>
      <c r="B19" t="str">
        <f t="shared" si="5"/>
        <v>NS</v>
      </c>
      <c r="C19" t="s">
        <v>37</v>
      </c>
      <c r="D19" t="str">
        <f t="shared" si="6"/>
        <v>MTG</v>
      </c>
      <c r="E19" t="str">
        <f t="shared" si="0"/>
        <v>Mustang</v>
      </c>
      <c r="F19">
        <v>2008</v>
      </c>
      <c r="G19">
        <f t="shared" si="1"/>
        <v>10</v>
      </c>
      <c r="H19">
        <v>17908</v>
      </c>
      <c r="I19" s="1">
        <f t="shared" si="2"/>
        <v>1790.8</v>
      </c>
      <c r="J19" t="s">
        <v>45</v>
      </c>
      <c r="K19" t="s">
        <v>16</v>
      </c>
      <c r="L19">
        <v>50000</v>
      </c>
      <c r="M19" t="str">
        <f t="shared" si="3"/>
        <v>Not Covered</v>
      </c>
      <c r="N19" t="str">
        <f t="shared" si="4"/>
        <v>NSBla10MTG</v>
      </c>
    </row>
    <row r="20" spans="1:14">
      <c r="A20" t="s">
        <v>70</v>
      </c>
      <c r="B20" t="str">
        <f t="shared" si="5"/>
        <v>FD</v>
      </c>
      <c r="C20" t="s">
        <v>57</v>
      </c>
      <c r="D20" t="str">
        <f t="shared" si="6"/>
        <v>VTX</v>
      </c>
      <c r="E20" t="str">
        <f t="shared" si="0"/>
        <v>Vitex</v>
      </c>
      <c r="F20">
        <v>2006</v>
      </c>
      <c r="G20">
        <f t="shared" si="1"/>
        <v>9</v>
      </c>
      <c r="H20">
        <v>18549.3</v>
      </c>
      <c r="I20" s="1">
        <f t="shared" si="2"/>
        <v>2061.0333333333301</v>
      </c>
      <c r="J20" t="s">
        <v>38</v>
      </c>
      <c r="K20" t="s">
        <v>19</v>
      </c>
      <c r="L20">
        <v>100000</v>
      </c>
      <c r="M20" t="str">
        <f t="shared" si="3"/>
        <v>Not Covered</v>
      </c>
      <c r="N20" t="str">
        <f t="shared" si="4"/>
        <v>FDGra9VTX</v>
      </c>
    </row>
    <row r="21" spans="1:14">
      <c r="A21" t="s">
        <v>71</v>
      </c>
      <c r="B21" t="str">
        <f t="shared" si="5"/>
        <v>NS</v>
      </c>
      <c r="C21" t="s">
        <v>37</v>
      </c>
      <c r="D21" t="str">
        <f t="shared" si="6"/>
        <v>CMR</v>
      </c>
      <c r="E21" t="str">
        <f t="shared" si="0"/>
        <v>Camero</v>
      </c>
      <c r="F21">
        <v>2009</v>
      </c>
      <c r="G21">
        <f t="shared" si="1"/>
        <v>8</v>
      </c>
      <c r="H21">
        <v>20679.5</v>
      </c>
      <c r="I21" s="1">
        <f t="shared" si="2"/>
        <v>2584.9375</v>
      </c>
      <c r="J21" t="s">
        <v>45</v>
      </c>
      <c r="K21" t="s">
        <v>17</v>
      </c>
      <c r="L21">
        <v>50000</v>
      </c>
      <c r="M21" t="str">
        <f t="shared" si="3"/>
        <v>Not Covered</v>
      </c>
      <c r="N21" t="str">
        <f t="shared" si="4"/>
        <v>NSBla8CMR</v>
      </c>
    </row>
    <row r="22" spans="1:14">
      <c r="A22" t="s">
        <v>72</v>
      </c>
      <c r="B22" t="str">
        <f t="shared" si="5"/>
        <v>TY</v>
      </c>
      <c r="C22" t="s">
        <v>41</v>
      </c>
      <c r="D22" t="str">
        <f t="shared" si="6"/>
        <v>VTX</v>
      </c>
      <c r="E22" t="str">
        <f t="shared" si="0"/>
        <v>Vitex</v>
      </c>
      <c r="F22">
        <v>2015</v>
      </c>
      <c r="G22">
        <f>2025-F22</f>
        <v>10</v>
      </c>
      <c r="H22">
        <v>20999.200000000001</v>
      </c>
      <c r="I22" s="1">
        <f t="shared" si="2"/>
        <v>2099.92</v>
      </c>
      <c r="J22" t="s">
        <v>49</v>
      </c>
      <c r="K22" t="s">
        <v>4</v>
      </c>
      <c r="L22">
        <v>50000</v>
      </c>
      <c r="M22" t="str">
        <f t="shared" si="3"/>
        <v>Not Covered</v>
      </c>
      <c r="N22" t="str">
        <f t="shared" si="4"/>
        <v>TYGre10VTX</v>
      </c>
    </row>
    <row r="23" spans="1:14">
      <c r="A23" t="s">
        <v>73</v>
      </c>
      <c r="B23" t="str">
        <f t="shared" si="5"/>
        <v>TY</v>
      </c>
      <c r="C23" t="s">
        <v>41</v>
      </c>
      <c r="D23" t="str">
        <f t="shared" si="6"/>
        <v>FCS</v>
      </c>
      <c r="E23" t="str">
        <f t="shared" si="0"/>
        <v>Focus</v>
      </c>
      <c r="F23">
        <v>2016</v>
      </c>
      <c r="G23">
        <f t="shared" ref="G23:G52" si="7">2025-F26</f>
        <v>6</v>
      </c>
      <c r="H23">
        <v>21021.4</v>
      </c>
      <c r="I23" s="1">
        <f t="shared" si="2"/>
        <v>3503.5666666666698</v>
      </c>
      <c r="J23" t="s">
        <v>49</v>
      </c>
      <c r="K23" t="s">
        <v>16</v>
      </c>
      <c r="L23">
        <v>50000</v>
      </c>
      <c r="M23" t="str">
        <f t="shared" si="3"/>
        <v>Not Covered</v>
      </c>
      <c r="N23" t="str">
        <f t="shared" si="4"/>
        <v>TYGre6FCS</v>
      </c>
    </row>
    <row r="24" spans="1:14">
      <c r="A24" t="s">
        <v>74</v>
      </c>
      <c r="B24" t="str">
        <f t="shared" si="5"/>
        <v>HD</v>
      </c>
      <c r="C24" t="s">
        <v>55</v>
      </c>
      <c r="D24" t="str">
        <f t="shared" si="6"/>
        <v>VTX</v>
      </c>
      <c r="E24" t="str">
        <f t="shared" si="0"/>
        <v>Vitex</v>
      </c>
      <c r="F24">
        <v>2017</v>
      </c>
      <c r="G24">
        <f t="shared" si="7"/>
        <v>11</v>
      </c>
      <c r="H24">
        <v>21549.1</v>
      </c>
      <c r="I24" s="1">
        <f t="shared" si="2"/>
        <v>1959.00909090909</v>
      </c>
      <c r="J24" t="s">
        <v>42</v>
      </c>
      <c r="K24" t="s">
        <v>21</v>
      </c>
      <c r="L24">
        <v>50000</v>
      </c>
      <c r="M24" t="str">
        <f t="shared" si="3"/>
        <v>Not Covered</v>
      </c>
      <c r="N24" t="str">
        <f t="shared" si="4"/>
        <v>HDBlu11VTX</v>
      </c>
    </row>
    <row r="25" spans="1:14">
      <c r="A25" t="s">
        <v>75</v>
      </c>
      <c r="B25" t="str">
        <f t="shared" si="5"/>
        <v>HD</v>
      </c>
      <c r="C25" t="s">
        <v>55</v>
      </c>
      <c r="D25" t="str">
        <f t="shared" si="6"/>
        <v>PRS</v>
      </c>
      <c r="E25" t="str">
        <f t="shared" si="0"/>
        <v>Press</v>
      </c>
      <c r="F25">
        <v>2018</v>
      </c>
      <c r="G25">
        <f t="shared" si="7"/>
        <v>6</v>
      </c>
      <c r="H25">
        <v>21892</v>
      </c>
      <c r="I25" s="1">
        <f t="shared" si="2"/>
        <v>3648.6666666666702</v>
      </c>
      <c r="J25" t="s">
        <v>45</v>
      </c>
      <c r="K25" t="s">
        <v>17</v>
      </c>
      <c r="L25">
        <v>75000</v>
      </c>
      <c r="M25" t="str">
        <f t="shared" si="3"/>
        <v>Not Covered</v>
      </c>
      <c r="N25" t="str">
        <f t="shared" si="4"/>
        <v>HDBla6PRS</v>
      </c>
    </row>
    <row r="26" spans="1:14">
      <c r="A26" t="s">
        <v>76</v>
      </c>
      <c r="B26" t="str">
        <f t="shared" si="5"/>
        <v>HD</v>
      </c>
      <c r="C26" t="s">
        <v>55</v>
      </c>
      <c r="D26" t="str">
        <f t="shared" si="6"/>
        <v>MTG</v>
      </c>
      <c r="E26" t="str">
        <f t="shared" si="0"/>
        <v>Mustang</v>
      </c>
      <c r="F26">
        <v>2019</v>
      </c>
      <c r="G26">
        <f t="shared" si="7"/>
        <v>5</v>
      </c>
      <c r="H26">
        <v>22253.5</v>
      </c>
      <c r="I26" s="1">
        <f t="shared" si="2"/>
        <v>4450.7</v>
      </c>
      <c r="J26" t="s">
        <v>77</v>
      </c>
      <c r="K26" t="s">
        <v>3</v>
      </c>
      <c r="L26">
        <v>50000</v>
      </c>
      <c r="M26" t="str">
        <f t="shared" si="3"/>
        <v>Not Covered</v>
      </c>
      <c r="N26" t="str">
        <f t="shared" si="4"/>
        <v>HDSil5MTG</v>
      </c>
    </row>
    <row r="27" spans="1:14">
      <c r="A27" t="s">
        <v>78</v>
      </c>
      <c r="B27" t="str">
        <f t="shared" si="5"/>
        <v>FD</v>
      </c>
      <c r="C27" t="s">
        <v>57</v>
      </c>
      <c r="D27" t="str">
        <f t="shared" si="6"/>
        <v>ECO</v>
      </c>
      <c r="E27" t="str">
        <f t="shared" si="0"/>
        <v>Ecolle</v>
      </c>
      <c r="F27">
        <v>2014</v>
      </c>
      <c r="G27">
        <f t="shared" si="7"/>
        <v>14</v>
      </c>
      <c r="H27">
        <v>23199.8</v>
      </c>
      <c r="I27" s="1">
        <f t="shared" si="2"/>
        <v>1657.12857142857</v>
      </c>
      <c r="J27" t="s">
        <v>52</v>
      </c>
      <c r="K27" t="s">
        <v>9</v>
      </c>
      <c r="L27">
        <v>50000</v>
      </c>
      <c r="M27" t="str">
        <f t="shared" si="3"/>
        <v>Not Covered</v>
      </c>
      <c r="N27" t="str">
        <f t="shared" si="4"/>
        <v>FDRed14ECO</v>
      </c>
    </row>
    <row r="28" spans="1:14">
      <c r="A28" t="s">
        <v>79</v>
      </c>
      <c r="B28" t="str">
        <f t="shared" si="5"/>
        <v>FD</v>
      </c>
      <c r="C28" t="s">
        <v>57</v>
      </c>
      <c r="D28" t="str">
        <f t="shared" si="6"/>
        <v>VTX</v>
      </c>
      <c r="E28" t="str">
        <f t="shared" si="0"/>
        <v>Vitex</v>
      </c>
      <c r="F28">
        <v>2019</v>
      </c>
      <c r="G28">
        <f t="shared" si="7"/>
        <v>12</v>
      </c>
      <c r="H28">
        <v>23201.599999999999</v>
      </c>
      <c r="I28" s="1">
        <f t="shared" si="2"/>
        <v>1933.4666666666701</v>
      </c>
      <c r="J28" t="s">
        <v>42</v>
      </c>
      <c r="K28" t="s">
        <v>5</v>
      </c>
      <c r="L28">
        <v>50000</v>
      </c>
      <c r="M28" t="str">
        <f t="shared" si="3"/>
        <v>Not Covered</v>
      </c>
      <c r="N28" t="str">
        <f t="shared" si="4"/>
        <v>FDBlu12VTX</v>
      </c>
    </row>
    <row r="29" spans="1:14">
      <c r="A29" t="s">
        <v>80</v>
      </c>
      <c r="B29" t="str">
        <f t="shared" si="5"/>
        <v>HD</v>
      </c>
      <c r="C29" t="s">
        <v>55</v>
      </c>
      <c r="D29" t="str">
        <f t="shared" si="6"/>
        <v>PRS</v>
      </c>
      <c r="E29" t="str">
        <f t="shared" si="0"/>
        <v>Press</v>
      </c>
      <c r="F29">
        <v>2020</v>
      </c>
      <c r="G29">
        <f t="shared" si="7"/>
        <v>18</v>
      </c>
      <c r="H29">
        <v>23245</v>
      </c>
      <c r="I29" s="1">
        <f t="shared" si="2"/>
        <v>1291.3888888888901</v>
      </c>
      <c r="J29" t="s">
        <v>42</v>
      </c>
      <c r="K29" t="s">
        <v>11</v>
      </c>
      <c r="L29">
        <v>75000</v>
      </c>
      <c r="M29" t="str">
        <f t="shared" si="3"/>
        <v>Not Covered</v>
      </c>
      <c r="N29" t="str">
        <f t="shared" si="4"/>
        <v>HDBlu18PRS</v>
      </c>
    </row>
    <row r="30" spans="1:14">
      <c r="A30" t="s">
        <v>81</v>
      </c>
      <c r="B30" t="str">
        <f t="shared" si="5"/>
        <v>HD</v>
      </c>
      <c r="C30" t="s">
        <v>55</v>
      </c>
      <c r="D30" t="str">
        <f t="shared" si="6"/>
        <v>VTX</v>
      </c>
      <c r="E30" t="str">
        <f t="shared" si="0"/>
        <v>Vitex</v>
      </c>
      <c r="F30">
        <v>2011</v>
      </c>
      <c r="G30">
        <f t="shared" si="7"/>
        <v>6</v>
      </c>
      <c r="H30">
        <v>23664.799999999999</v>
      </c>
      <c r="I30" s="1">
        <f t="shared" si="2"/>
        <v>3944.13333333333</v>
      </c>
      <c r="J30" t="s">
        <v>45</v>
      </c>
      <c r="K30" t="s">
        <v>9</v>
      </c>
      <c r="L30">
        <v>75000</v>
      </c>
      <c r="M30" t="str">
        <f t="shared" si="3"/>
        <v>Not Covered</v>
      </c>
      <c r="N30" t="str">
        <f t="shared" si="4"/>
        <v>HDBla6VTX</v>
      </c>
    </row>
    <row r="31" spans="1:14">
      <c r="A31" t="s">
        <v>82</v>
      </c>
      <c r="B31" t="str">
        <f t="shared" si="5"/>
        <v>HD</v>
      </c>
      <c r="C31" t="s">
        <v>55</v>
      </c>
      <c r="D31" t="str">
        <f t="shared" si="6"/>
        <v>ECO</v>
      </c>
      <c r="E31" t="str">
        <f t="shared" si="0"/>
        <v>Ecolle</v>
      </c>
      <c r="F31">
        <v>2013</v>
      </c>
      <c r="G31">
        <f t="shared" si="7"/>
        <v>14</v>
      </c>
      <c r="H31">
        <v>23698.799999999999</v>
      </c>
      <c r="I31" s="1">
        <f t="shared" si="2"/>
        <v>1692.7714285714301</v>
      </c>
      <c r="J31" t="s">
        <v>42</v>
      </c>
      <c r="K31" t="s">
        <v>7</v>
      </c>
      <c r="L31">
        <v>100000</v>
      </c>
      <c r="M31" t="str">
        <f t="shared" si="3"/>
        <v>Not Covered</v>
      </c>
      <c r="N31" t="str">
        <f t="shared" si="4"/>
        <v>HDBlu14ECO</v>
      </c>
    </row>
    <row r="32" spans="1:14">
      <c r="A32" t="s">
        <v>83</v>
      </c>
      <c r="B32" t="str">
        <f t="shared" si="5"/>
        <v>FD</v>
      </c>
      <c r="C32" t="s">
        <v>57</v>
      </c>
      <c r="D32" t="str">
        <f t="shared" si="6"/>
        <v>MTG</v>
      </c>
      <c r="E32" t="str">
        <f t="shared" si="0"/>
        <v>Mustang</v>
      </c>
      <c r="F32">
        <v>2007</v>
      </c>
      <c r="G32">
        <f t="shared" si="7"/>
        <v>20</v>
      </c>
      <c r="H32">
        <v>24005.200000000001</v>
      </c>
      <c r="I32" s="1">
        <f t="shared" si="2"/>
        <v>1200.26</v>
      </c>
      <c r="J32" t="s">
        <v>45</v>
      </c>
      <c r="K32" t="s">
        <v>18</v>
      </c>
      <c r="L32">
        <v>50000</v>
      </c>
      <c r="M32" t="str">
        <f t="shared" si="3"/>
        <v>Not Covered</v>
      </c>
      <c r="N32" t="str">
        <f t="shared" si="4"/>
        <v>FDBla20MTG</v>
      </c>
    </row>
    <row r="33" spans="1:14">
      <c r="A33" t="s">
        <v>84</v>
      </c>
      <c r="B33" t="str">
        <f t="shared" si="5"/>
        <v>TY</v>
      </c>
      <c r="C33" t="s">
        <v>41</v>
      </c>
      <c r="D33" t="str">
        <f t="shared" si="6"/>
        <v>PRS</v>
      </c>
      <c r="E33" t="str">
        <f t="shared" si="0"/>
        <v>Press</v>
      </c>
      <c r="F33">
        <v>2019</v>
      </c>
      <c r="G33">
        <f t="shared" si="7"/>
        <v>20</v>
      </c>
      <c r="H33">
        <v>24203.599999999999</v>
      </c>
      <c r="I33" s="1">
        <f t="shared" si="2"/>
        <v>1210.18</v>
      </c>
      <c r="J33" t="s">
        <v>42</v>
      </c>
      <c r="K33" t="s">
        <v>8</v>
      </c>
      <c r="L33">
        <v>50000</v>
      </c>
      <c r="M33" t="str">
        <f t="shared" si="3"/>
        <v>Not Covered</v>
      </c>
      <c r="N33" t="str">
        <f t="shared" si="4"/>
        <v>TYBlu20PRS</v>
      </c>
    </row>
    <row r="34" spans="1:14">
      <c r="A34" t="s">
        <v>85</v>
      </c>
      <c r="B34" t="str">
        <f t="shared" ref="B34:B65" si="8">LEFT(A34,2)</f>
        <v>GM</v>
      </c>
      <c r="C34" t="s">
        <v>48</v>
      </c>
      <c r="D34" t="str">
        <f t="shared" ref="D34:D65" si="9">MID(A34,5,3)</f>
        <v>VTX</v>
      </c>
      <c r="E34" t="str">
        <f t="shared" ref="E34:E65" si="10">VLOOKUP(D34,D$107:E$112,2)</f>
        <v>Vitex</v>
      </c>
      <c r="F34">
        <v>2011</v>
      </c>
      <c r="G34">
        <f t="shared" si="7"/>
        <v>3</v>
      </c>
      <c r="H34">
        <v>25048.5</v>
      </c>
      <c r="I34" s="1">
        <f t="shared" ref="I34:I65" si="11">H34/G34</f>
        <v>8349.5</v>
      </c>
      <c r="J34" t="s">
        <v>52</v>
      </c>
      <c r="K34" t="s">
        <v>21</v>
      </c>
      <c r="L34">
        <v>100000</v>
      </c>
      <c r="M34" t="str">
        <f t="shared" ref="M34:M65" si="12">IF(H34&gt;=L34,"Y","Not Covered")</f>
        <v>Not Covered</v>
      </c>
      <c r="N34" t="str">
        <f t="shared" ref="N34:N65" si="13">CONCATENATE(LEFT(A34,2),LEFT(J34,3),G34,MID(A34,5,3))</f>
        <v>GMRed3VTX</v>
      </c>
    </row>
    <row r="35" spans="1:14">
      <c r="A35" t="s">
        <v>86</v>
      </c>
      <c r="B35" t="str">
        <f t="shared" si="8"/>
        <v>FD</v>
      </c>
      <c r="C35" t="s">
        <v>57</v>
      </c>
      <c r="D35" t="str">
        <f t="shared" si="9"/>
        <v>ECO</v>
      </c>
      <c r="E35" t="str">
        <f t="shared" si="10"/>
        <v>Ecolle</v>
      </c>
      <c r="F35">
        <v>2005</v>
      </c>
      <c r="G35">
        <f t="shared" si="7"/>
        <v>3</v>
      </c>
      <c r="H35">
        <v>25723.599999999999</v>
      </c>
      <c r="I35" s="1">
        <f t="shared" si="11"/>
        <v>8574.5333333333292</v>
      </c>
      <c r="J35" t="s">
        <v>42</v>
      </c>
      <c r="K35" t="s">
        <v>15</v>
      </c>
      <c r="L35">
        <v>75000</v>
      </c>
      <c r="M35" t="str">
        <f t="shared" si="12"/>
        <v>Not Covered</v>
      </c>
      <c r="N35" t="str">
        <f t="shared" si="13"/>
        <v>FDBlu3ECO</v>
      </c>
    </row>
    <row r="36" spans="1:14">
      <c r="A36" t="s">
        <v>87</v>
      </c>
      <c r="B36" t="str">
        <f t="shared" si="8"/>
        <v>TY</v>
      </c>
      <c r="C36" t="s">
        <v>41</v>
      </c>
      <c r="D36" t="str">
        <f t="shared" si="9"/>
        <v>VTX</v>
      </c>
      <c r="E36" t="str">
        <f t="shared" si="10"/>
        <v>Vitex</v>
      </c>
      <c r="F36">
        <v>2005</v>
      </c>
      <c r="G36">
        <f t="shared" si="7"/>
        <v>18</v>
      </c>
      <c r="H36">
        <v>26300</v>
      </c>
      <c r="I36" s="1">
        <f t="shared" si="11"/>
        <v>1461.1111111111099</v>
      </c>
      <c r="J36" t="s">
        <v>52</v>
      </c>
      <c r="K36" t="s">
        <v>12</v>
      </c>
      <c r="L36">
        <v>75000</v>
      </c>
      <c r="M36" t="str">
        <f t="shared" si="12"/>
        <v>Not Covered</v>
      </c>
      <c r="N36" t="str">
        <f t="shared" si="13"/>
        <v>TYRed18VTX</v>
      </c>
    </row>
    <row r="37" spans="1:14">
      <c r="A37" t="s">
        <v>88</v>
      </c>
      <c r="B37" t="str">
        <f t="shared" si="8"/>
        <v>HD</v>
      </c>
      <c r="C37" t="s">
        <v>55</v>
      </c>
      <c r="D37" t="str">
        <f t="shared" si="9"/>
        <v>FCS</v>
      </c>
      <c r="E37" t="str">
        <f t="shared" si="10"/>
        <v>Focus</v>
      </c>
      <c r="F37">
        <v>2022</v>
      </c>
      <c r="G37">
        <f t="shared" si="7"/>
        <v>15</v>
      </c>
      <c r="H37">
        <v>27614.6</v>
      </c>
      <c r="I37" s="1">
        <f t="shared" si="11"/>
        <v>1840.9733333333299</v>
      </c>
      <c r="J37" t="s">
        <v>42</v>
      </c>
      <c r="K37" t="s">
        <v>12</v>
      </c>
      <c r="L37">
        <v>100000</v>
      </c>
      <c r="M37" t="str">
        <f t="shared" si="12"/>
        <v>Not Covered</v>
      </c>
      <c r="N37" t="str">
        <f t="shared" si="13"/>
        <v>HDBlu15FCS</v>
      </c>
    </row>
    <row r="38" spans="1:14">
      <c r="A38" t="s">
        <v>89</v>
      </c>
      <c r="B38" t="str">
        <f t="shared" si="8"/>
        <v>GM</v>
      </c>
      <c r="C38" t="s">
        <v>48</v>
      </c>
      <c r="D38" t="str">
        <f t="shared" si="9"/>
        <v>PRS</v>
      </c>
      <c r="E38" t="str">
        <f t="shared" si="10"/>
        <v>Press</v>
      </c>
      <c r="F38">
        <v>2022</v>
      </c>
      <c r="G38">
        <f t="shared" si="7"/>
        <v>12</v>
      </c>
      <c r="H38">
        <v>28465.200000000001</v>
      </c>
      <c r="I38" s="1">
        <f t="shared" si="11"/>
        <v>2372.1</v>
      </c>
      <c r="J38" t="s">
        <v>45</v>
      </c>
      <c r="K38" t="s">
        <v>11</v>
      </c>
      <c r="L38">
        <v>75000</v>
      </c>
      <c r="M38" t="str">
        <f t="shared" si="12"/>
        <v>Not Covered</v>
      </c>
      <c r="N38" t="str">
        <f t="shared" si="13"/>
        <v>GMBla12PRS</v>
      </c>
    </row>
    <row r="39" spans="1:14">
      <c r="A39" t="s">
        <v>90</v>
      </c>
      <c r="B39" t="str">
        <f t="shared" si="8"/>
        <v>GM</v>
      </c>
      <c r="C39" t="s">
        <v>48</v>
      </c>
      <c r="D39" t="str">
        <f t="shared" si="9"/>
        <v>PRS</v>
      </c>
      <c r="E39" t="str">
        <f t="shared" si="10"/>
        <v>Press</v>
      </c>
      <c r="F39">
        <v>2007</v>
      </c>
      <c r="G39">
        <f t="shared" si="7"/>
        <v>15</v>
      </c>
      <c r="H39">
        <v>28684.7</v>
      </c>
      <c r="I39" s="1">
        <f t="shared" si="11"/>
        <v>1912.3133333333301</v>
      </c>
      <c r="J39" t="s">
        <v>49</v>
      </c>
      <c r="K39" t="s">
        <v>13</v>
      </c>
      <c r="L39">
        <v>50000</v>
      </c>
      <c r="M39" t="str">
        <f t="shared" si="12"/>
        <v>Not Covered</v>
      </c>
      <c r="N39" t="str">
        <f t="shared" si="13"/>
        <v>GMGre15PRS</v>
      </c>
    </row>
    <row r="40" spans="1:14">
      <c r="A40" t="s">
        <v>91</v>
      </c>
      <c r="B40" t="str">
        <f t="shared" si="8"/>
        <v>GM</v>
      </c>
      <c r="C40" t="s">
        <v>48</v>
      </c>
      <c r="D40" t="str">
        <f t="shared" si="9"/>
        <v>MTG</v>
      </c>
      <c r="E40" t="str">
        <f t="shared" si="10"/>
        <v>Mustang</v>
      </c>
      <c r="F40">
        <v>2010</v>
      </c>
      <c r="G40">
        <f t="shared" si="7"/>
        <v>16</v>
      </c>
      <c r="H40">
        <v>29531.1</v>
      </c>
      <c r="I40" s="1">
        <f t="shared" si="11"/>
        <v>1845.6937499999999</v>
      </c>
      <c r="J40" t="s">
        <v>42</v>
      </c>
      <c r="K40" t="s">
        <v>2</v>
      </c>
      <c r="L40">
        <v>50000</v>
      </c>
      <c r="M40" t="str">
        <f t="shared" si="12"/>
        <v>Not Covered</v>
      </c>
      <c r="N40" t="str">
        <f t="shared" si="13"/>
        <v>GMBlu16MTG</v>
      </c>
    </row>
    <row r="41" spans="1:14">
      <c r="A41" t="s">
        <v>92</v>
      </c>
      <c r="B41" t="str">
        <f t="shared" si="8"/>
        <v>HD</v>
      </c>
      <c r="C41" t="s">
        <v>55</v>
      </c>
      <c r="D41" t="str">
        <f t="shared" si="9"/>
        <v>CMR</v>
      </c>
      <c r="E41" t="str">
        <f t="shared" si="10"/>
        <v>Camero</v>
      </c>
      <c r="F41">
        <v>2013</v>
      </c>
      <c r="G41">
        <f t="shared" si="7"/>
        <v>20</v>
      </c>
      <c r="H41">
        <v>29951.5</v>
      </c>
      <c r="I41" s="1">
        <f t="shared" si="11"/>
        <v>1497.575</v>
      </c>
      <c r="J41" t="s">
        <v>77</v>
      </c>
      <c r="K41" t="s">
        <v>19</v>
      </c>
      <c r="L41">
        <v>50000</v>
      </c>
      <c r="M41" t="str">
        <f t="shared" si="12"/>
        <v>Not Covered</v>
      </c>
      <c r="N41" t="str">
        <f t="shared" si="13"/>
        <v>HDSil20CMR</v>
      </c>
    </row>
    <row r="42" spans="1:14">
      <c r="A42" t="s">
        <v>93</v>
      </c>
      <c r="B42" t="str">
        <f t="shared" si="8"/>
        <v>GM</v>
      </c>
      <c r="C42" t="s">
        <v>48</v>
      </c>
      <c r="D42" t="str">
        <f t="shared" si="9"/>
        <v>ECO</v>
      </c>
      <c r="E42" t="str">
        <f t="shared" si="10"/>
        <v>Ecolle</v>
      </c>
      <c r="F42">
        <v>2010</v>
      </c>
      <c r="G42">
        <f t="shared" si="7"/>
        <v>17</v>
      </c>
      <c r="H42">
        <v>31553.7</v>
      </c>
      <c r="I42" s="1">
        <f t="shared" si="11"/>
        <v>1856.1</v>
      </c>
      <c r="J42" t="s">
        <v>45</v>
      </c>
      <c r="K42" t="s">
        <v>7</v>
      </c>
      <c r="L42">
        <v>50000</v>
      </c>
      <c r="M42" t="str">
        <f t="shared" si="12"/>
        <v>Not Covered</v>
      </c>
      <c r="N42" t="str">
        <f t="shared" si="13"/>
        <v>GMBla17ECO</v>
      </c>
    </row>
    <row r="43" spans="1:14">
      <c r="A43" t="s">
        <v>94</v>
      </c>
      <c r="B43" t="str">
        <f t="shared" si="8"/>
        <v>FD</v>
      </c>
      <c r="C43" t="s">
        <v>57</v>
      </c>
      <c r="D43" t="str">
        <f t="shared" si="9"/>
        <v>CMR</v>
      </c>
      <c r="E43" t="str">
        <f t="shared" si="10"/>
        <v>Camero</v>
      </c>
      <c r="F43">
        <v>2009</v>
      </c>
      <c r="G43">
        <f t="shared" si="7"/>
        <v>11</v>
      </c>
      <c r="H43">
        <v>31804.1</v>
      </c>
      <c r="I43" s="1">
        <f t="shared" si="11"/>
        <v>2891.2818181818202</v>
      </c>
      <c r="J43" t="s">
        <v>45</v>
      </c>
      <c r="K43" t="s">
        <v>19</v>
      </c>
      <c r="L43">
        <v>50000</v>
      </c>
      <c r="M43" t="str">
        <f t="shared" si="12"/>
        <v>Not Covered</v>
      </c>
      <c r="N43" t="str">
        <f t="shared" si="13"/>
        <v>FDBla11CMR</v>
      </c>
    </row>
    <row r="44" spans="1:14">
      <c r="A44" t="s">
        <v>95</v>
      </c>
      <c r="B44" t="str">
        <f t="shared" si="8"/>
        <v>NS</v>
      </c>
      <c r="C44" t="s">
        <v>37</v>
      </c>
      <c r="D44" t="str">
        <f t="shared" si="9"/>
        <v>VTX</v>
      </c>
      <c r="E44" t="str">
        <f t="shared" si="10"/>
        <v>Vitex</v>
      </c>
      <c r="F44">
        <v>2005</v>
      </c>
      <c r="G44">
        <f t="shared" si="7"/>
        <v>10</v>
      </c>
      <c r="H44">
        <v>32557</v>
      </c>
      <c r="I44" s="1">
        <f t="shared" si="11"/>
        <v>3255.7</v>
      </c>
      <c r="J44" t="s">
        <v>38</v>
      </c>
      <c r="K44" t="s">
        <v>6</v>
      </c>
      <c r="L44">
        <v>50000</v>
      </c>
      <c r="M44" t="str">
        <f t="shared" si="12"/>
        <v>Not Covered</v>
      </c>
      <c r="N44" t="str">
        <f t="shared" si="13"/>
        <v>NSGra10VTX</v>
      </c>
    </row>
    <row r="45" spans="1:14">
      <c r="A45" t="s">
        <v>96</v>
      </c>
      <c r="B45" t="str">
        <f t="shared" si="8"/>
        <v>FD</v>
      </c>
      <c r="C45" t="s">
        <v>57</v>
      </c>
      <c r="D45" t="str">
        <f t="shared" si="9"/>
        <v>CMR</v>
      </c>
      <c r="E45" t="str">
        <f t="shared" si="10"/>
        <v>Camero</v>
      </c>
      <c r="F45">
        <v>2008</v>
      </c>
      <c r="G45">
        <f t="shared" si="7"/>
        <v>5</v>
      </c>
      <c r="H45">
        <v>32687.5</v>
      </c>
      <c r="I45" s="1">
        <f t="shared" si="11"/>
        <v>6537.5</v>
      </c>
      <c r="J45" t="s">
        <v>49</v>
      </c>
      <c r="K45" t="s">
        <v>20</v>
      </c>
      <c r="L45">
        <v>75000</v>
      </c>
      <c r="M45" t="str">
        <f t="shared" si="12"/>
        <v>Not Covered</v>
      </c>
      <c r="N45" t="str">
        <f t="shared" si="13"/>
        <v>FDGre5CMR</v>
      </c>
    </row>
    <row r="46" spans="1:14">
      <c r="A46" t="s">
        <v>97</v>
      </c>
      <c r="B46" t="str">
        <f t="shared" si="8"/>
        <v>FD</v>
      </c>
      <c r="C46" t="s">
        <v>57</v>
      </c>
      <c r="D46" t="str">
        <f t="shared" si="9"/>
        <v>VTX</v>
      </c>
      <c r="E46" t="str">
        <f t="shared" si="10"/>
        <v>Vitex</v>
      </c>
      <c r="F46">
        <v>2014</v>
      </c>
      <c r="G46">
        <f t="shared" si="7"/>
        <v>6</v>
      </c>
      <c r="H46">
        <v>32788.699999999997</v>
      </c>
      <c r="I46" s="1">
        <f t="shared" si="11"/>
        <v>5464.7833333333301</v>
      </c>
      <c r="J46" t="s">
        <v>68</v>
      </c>
      <c r="K46" t="s">
        <v>14</v>
      </c>
      <c r="L46">
        <v>100000</v>
      </c>
      <c r="M46" t="str">
        <f t="shared" si="12"/>
        <v>Not Covered</v>
      </c>
      <c r="N46" t="str">
        <f t="shared" si="13"/>
        <v>FDWhi6VTX</v>
      </c>
    </row>
    <row r="47" spans="1:14">
      <c r="A47" t="s">
        <v>98</v>
      </c>
      <c r="B47" t="str">
        <f t="shared" si="8"/>
        <v>FD</v>
      </c>
      <c r="C47" t="s">
        <v>57</v>
      </c>
      <c r="D47" t="str">
        <f t="shared" si="9"/>
        <v>VTX</v>
      </c>
      <c r="E47" t="str">
        <f t="shared" si="10"/>
        <v>Vitex</v>
      </c>
      <c r="F47">
        <v>2015</v>
      </c>
      <c r="G47">
        <f t="shared" si="7"/>
        <v>8</v>
      </c>
      <c r="H47">
        <v>33765.5</v>
      </c>
      <c r="I47" s="1">
        <f t="shared" si="11"/>
        <v>4220.6875</v>
      </c>
      <c r="J47" t="s">
        <v>52</v>
      </c>
      <c r="K47" t="s">
        <v>3</v>
      </c>
      <c r="L47">
        <v>50000</v>
      </c>
      <c r="M47" t="str">
        <f t="shared" si="12"/>
        <v>Not Covered</v>
      </c>
      <c r="N47" t="str">
        <f t="shared" si="13"/>
        <v>FDRed8VTX</v>
      </c>
    </row>
    <row r="48" spans="1:14">
      <c r="A48" t="s">
        <v>99</v>
      </c>
      <c r="B48" t="str">
        <f t="shared" si="8"/>
        <v>NS</v>
      </c>
      <c r="C48" t="s">
        <v>37</v>
      </c>
      <c r="D48" t="str">
        <f t="shared" si="9"/>
        <v>MTG</v>
      </c>
      <c r="E48" t="str">
        <f t="shared" si="10"/>
        <v>Mustang</v>
      </c>
      <c r="F48">
        <v>2020</v>
      </c>
      <c r="G48">
        <f t="shared" si="7"/>
        <v>10</v>
      </c>
      <c r="H48">
        <v>34382</v>
      </c>
      <c r="I48" s="1">
        <f t="shared" si="11"/>
        <v>3438.2</v>
      </c>
      <c r="J48" t="s">
        <v>77</v>
      </c>
      <c r="K48" t="s">
        <v>14</v>
      </c>
      <c r="L48">
        <v>50000</v>
      </c>
      <c r="M48" t="str">
        <f t="shared" si="12"/>
        <v>Not Covered</v>
      </c>
      <c r="N48" t="str">
        <f t="shared" si="13"/>
        <v>NSSil10MTG</v>
      </c>
    </row>
    <row r="49" spans="1:14">
      <c r="A49" t="s">
        <v>100</v>
      </c>
      <c r="B49" t="str">
        <f t="shared" si="8"/>
        <v>FD</v>
      </c>
      <c r="C49" t="s">
        <v>57</v>
      </c>
      <c r="D49" t="str">
        <f t="shared" si="9"/>
        <v>PRS</v>
      </c>
      <c r="E49" t="str">
        <f t="shared" si="10"/>
        <v>Press</v>
      </c>
      <c r="F49">
        <v>2019</v>
      </c>
      <c r="G49">
        <f t="shared" si="7"/>
        <v>7</v>
      </c>
      <c r="H49">
        <v>34779.699999999997</v>
      </c>
      <c r="I49" s="1">
        <f t="shared" si="11"/>
        <v>4968.5285714285701</v>
      </c>
      <c r="J49" t="s">
        <v>42</v>
      </c>
      <c r="K49" t="s">
        <v>3</v>
      </c>
      <c r="L49">
        <v>100000</v>
      </c>
      <c r="M49" t="str">
        <f t="shared" si="12"/>
        <v>Not Covered</v>
      </c>
      <c r="N49" t="str">
        <f t="shared" si="13"/>
        <v>FDBlu7PRS</v>
      </c>
    </row>
    <row r="50" spans="1:14">
      <c r="A50" t="s">
        <v>101</v>
      </c>
      <c r="B50" t="str">
        <f t="shared" si="8"/>
        <v>HD</v>
      </c>
      <c r="C50" t="s">
        <v>55</v>
      </c>
      <c r="D50" t="str">
        <f t="shared" si="9"/>
        <v>MTG</v>
      </c>
      <c r="E50" t="str">
        <f t="shared" si="10"/>
        <v>Mustang</v>
      </c>
      <c r="F50">
        <v>2017</v>
      </c>
      <c r="G50">
        <f t="shared" si="7"/>
        <v>18</v>
      </c>
      <c r="H50">
        <v>35080.5</v>
      </c>
      <c r="I50" s="1">
        <f t="shared" si="11"/>
        <v>1948.9166666666699</v>
      </c>
      <c r="J50" t="s">
        <v>52</v>
      </c>
      <c r="K50" t="s">
        <v>11</v>
      </c>
      <c r="L50">
        <v>75000</v>
      </c>
      <c r="M50" t="str">
        <f t="shared" si="12"/>
        <v>Not Covered</v>
      </c>
      <c r="N50" t="str">
        <f t="shared" si="13"/>
        <v>HDRed18MTG</v>
      </c>
    </row>
    <row r="51" spans="1:14">
      <c r="A51" t="s">
        <v>102</v>
      </c>
      <c r="B51" t="str">
        <f t="shared" si="8"/>
        <v>GM</v>
      </c>
      <c r="C51" t="s">
        <v>48</v>
      </c>
      <c r="D51" t="str">
        <f t="shared" si="9"/>
        <v>MTG</v>
      </c>
      <c r="E51" t="str">
        <f t="shared" si="10"/>
        <v>Mustang</v>
      </c>
      <c r="F51">
        <v>2015</v>
      </c>
      <c r="G51">
        <f t="shared" si="7"/>
        <v>2</v>
      </c>
      <c r="H51">
        <v>35461.5</v>
      </c>
      <c r="I51" s="1">
        <f t="shared" si="11"/>
        <v>17730.75</v>
      </c>
      <c r="J51" t="s">
        <v>38</v>
      </c>
      <c r="K51" t="s">
        <v>3</v>
      </c>
      <c r="L51">
        <v>75000</v>
      </c>
      <c r="M51" t="str">
        <f t="shared" si="12"/>
        <v>Not Covered</v>
      </c>
      <c r="N51" t="str">
        <f t="shared" si="13"/>
        <v>GMGra2MTG</v>
      </c>
    </row>
    <row r="52" spans="1:14">
      <c r="A52" t="s">
        <v>103</v>
      </c>
      <c r="B52" t="str">
        <f t="shared" si="8"/>
        <v>NS</v>
      </c>
      <c r="C52" t="s">
        <v>37</v>
      </c>
      <c r="D52" t="str">
        <f t="shared" si="9"/>
        <v>ECO</v>
      </c>
      <c r="E52" t="str">
        <f t="shared" si="10"/>
        <v>Ecolle</v>
      </c>
      <c r="F52">
        <v>2018</v>
      </c>
      <c r="G52">
        <f t="shared" si="7"/>
        <v>16</v>
      </c>
      <c r="H52">
        <v>36364.5</v>
      </c>
      <c r="I52" s="1">
        <f t="shared" si="11"/>
        <v>2272.78125</v>
      </c>
      <c r="J52" t="s">
        <v>77</v>
      </c>
      <c r="K52" t="s">
        <v>12</v>
      </c>
      <c r="L52">
        <v>50000</v>
      </c>
      <c r="M52" t="str">
        <f t="shared" si="12"/>
        <v>Not Covered</v>
      </c>
      <c r="N52" t="str">
        <f t="shared" si="13"/>
        <v>NSSil16ECO</v>
      </c>
    </row>
    <row r="53" spans="1:14">
      <c r="A53" t="s">
        <v>104</v>
      </c>
      <c r="B53" t="str">
        <f t="shared" si="8"/>
        <v>TY</v>
      </c>
      <c r="C53" t="s">
        <v>41</v>
      </c>
      <c r="D53" t="str">
        <f t="shared" si="9"/>
        <v>VTX</v>
      </c>
      <c r="E53" t="str">
        <f t="shared" si="10"/>
        <v>Vitex</v>
      </c>
      <c r="F53">
        <v>2007</v>
      </c>
      <c r="G53">
        <f>2025-F53</f>
        <v>18</v>
      </c>
      <c r="H53">
        <v>36920.5</v>
      </c>
      <c r="I53" s="1">
        <f t="shared" si="11"/>
        <v>2051.1388888888901</v>
      </c>
      <c r="J53" t="s">
        <v>42</v>
      </c>
      <c r="K53" t="s">
        <v>19</v>
      </c>
      <c r="L53">
        <v>50000</v>
      </c>
      <c r="M53" t="str">
        <f t="shared" si="12"/>
        <v>Not Covered</v>
      </c>
      <c r="N53" t="str">
        <f t="shared" si="13"/>
        <v>TYBlu18VTX</v>
      </c>
    </row>
    <row r="54" spans="1:14">
      <c r="A54" t="s">
        <v>105</v>
      </c>
      <c r="B54" t="str">
        <f t="shared" si="8"/>
        <v>TY</v>
      </c>
      <c r="C54" t="s">
        <v>41</v>
      </c>
      <c r="D54" t="str">
        <f t="shared" si="9"/>
        <v>PRS</v>
      </c>
      <c r="E54" t="str">
        <f t="shared" si="10"/>
        <v>Press</v>
      </c>
      <c r="F54">
        <v>2023</v>
      </c>
      <c r="G54">
        <f>2025-F57</f>
        <v>15</v>
      </c>
      <c r="H54">
        <v>36945.9</v>
      </c>
      <c r="I54" s="1">
        <f t="shared" si="11"/>
        <v>2463.06</v>
      </c>
      <c r="J54" t="s">
        <v>45</v>
      </c>
      <c r="K54" t="s">
        <v>16</v>
      </c>
      <c r="L54">
        <v>50000</v>
      </c>
      <c r="M54" t="str">
        <f t="shared" si="12"/>
        <v>Not Covered</v>
      </c>
      <c r="N54" t="str">
        <f t="shared" si="13"/>
        <v>TYBla15PRS</v>
      </c>
    </row>
    <row r="55" spans="1:14">
      <c r="A55" t="s">
        <v>106</v>
      </c>
      <c r="B55" t="str">
        <f t="shared" si="8"/>
        <v>HD</v>
      </c>
      <c r="C55" t="s">
        <v>55</v>
      </c>
      <c r="D55" t="str">
        <f t="shared" si="9"/>
        <v>VTX</v>
      </c>
      <c r="E55" t="str">
        <f t="shared" si="10"/>
        <v>Vitex</v>
      </c>
      <c r="F55">
        <v>2009</v>
      </c>
      <c r="G55">
        <f>2025-F58</f>
        <v>11</v>
      </c>
      <c r="H55">
        <v>36988.400000000001</v>
      </c>
      <c r="I55" s="1">
        <f t="shared" si="11"/>
        <v>3362.5818181818199</v>
      </c>
      <c r="J55" t="s">
        <v>45</v>
      </c>
      <c r="K55" t="s">
        <v>9</v>
      </c>
      <c r="L55">
        <v>100000</v>
      </c>
      <c r="M55" t="str">
        <f t="shared" si="12"/>
        <v>Not Covered</v>
      </c>
      <c r="N55" t="str">
        <f t="shared" si="13"/>
        <v>HDBla11VTX</v>
      </c>
    </row>
    <row r="56" spans="1:14">
      <c r="A56" t="s">
        <v>107</v>
      </c>
      <c r="B56" t="str">
        <f t="shared" si="8"/>
        <v>TY</v>
      </c>
      <c r="C56" t="s">
        <v>41</v>
      </c>
      <c r="D56" t="str">
        <f t="shared" si="9"/>
        <v>VTX</v>
      </c>
      <c r="E56" t="str">
        <f t="shared" si="10"/>
        <v>Vitex</v>
      </c>
      <c r="F56">
        <v>2011</v>
      </c>
      <c r="G56">
        <f>2025-F56</f>
        <v>14</v>
      </c>
      <c r="H56">
        <v>37224.9</v>
      </c>
      <c r="I56" s="1">
        <f t="shared" si="11"/>
        <v>2658.9214285714302</v>
      </c>
      <c r="J56" t="s">
        <v>77</v>
      </c>
      <c r="K56" t="s">
        <v>11</v>
      </c>
      <c r="L56">
        <v>75000</v>
      </c>
      <c r="M56" t="str">
        <f t="shared" si="12"/>
        <v>Not Covered</v>
      </c>
      <c r="N56" t="str">
        <f t="shared" si="13"/>
        <v>TYSil14VTX</v>
      </c>
    </row>
    <row r="57" spans="1:14">
      <c r="A57" t="s">
        <v>108</v>
      </c>
      <c r="B57" t="str">
        <f t="shared" si="8"/>
        <v>NS</v>
      </c>
      <c r="C57" t="s">
        <v>37</v>
      </c>
      <c r="D57" t="str">
        <f t="shared" si="9"/>
        <v>VTX</v>
      </c>
      <c r="E57" t="str">
        <f t="shared" si="10"/>
        <v>Vitex</v>
      </c>
      <c r="F57">
        <v>2010</v>
      </c>
      <c r="G57">
        <f t="shared" ref="G57:G101" si="14">2025-F60</f>
        <v>17</v>
      </c>
      <c r="H57">
        <v>37488</v>
      </c>
      <c r="I57" s="1">
        <f t="shared" si="11"/>
        <v>2205.1764705882401</v>
      </c>
      <c r="J57" t="s">
        <v>77</v>
      </c>
      <c r="K57" t="s">
        <v>19</v>
      </c>
      <c r="L57">
        <v>100000</v>
      </c>
      <c r="M57" t="str">
        <f t="shared" si="12"/>
        <v>Not Covered</v>
      </c>
      <c r="N57" t="str">
        <f t="shared" si="13"/>
        <v>NSSil17VTX</v>
      </c>
    </row>
    <row r="58" spans="1:14">
      <c r="A58" t="s">
        <v>109</v>
      </c>
      <c r="B58" t="str">
        <f t="shared" si="8"/>
        <v>FD</v>
      </c>
      <c r="C58" t="s">
        <v>57</v>
      </c>
      <c r="D58" t="str">
        <f t="shared" si="9"/>
        <v>CMR</v>
      </c>
      <c r="E58" t="str">
        <f t="shared" si="10"/>
        <v>Camero</v>
      </c>
      <c r="F58">
        <v>2014</v>
      </c>
      <c r="G58">
        <f t="shared" si="14"/>
        <v>2</v>
      </c>
      <c r="H58">
        <v>37519.1</v>
      </c>
      <c r="I58" s="1">
        <f t="shared" si="11"/>
        <v>18759.55</v>
      </c>
      <c r="J58" t="s">
        <v>77</v>
      </c>
      <c r="K58" t="s">
        <v>3</v>
      </c>
      <c r="L58">
        <v>100000</v>
      </c>
      <c r="M58" t="str">
        <f t="shared" si="12"/>
        <v>Not Covered</v>
      </c>
      <c r="N58" t="str">
        <f t="shared" si="13"/>
        <v>FDSil2CMR</v>
      </c>
    </row>
    <row r="59" spans="1:14">
      <c r="A59" t="s">
        <v>110</v>
      </c>
      <c r="B59" t="str">
        <f t="shared" si="8"/>
        <v>HD</v>
      </c>
      <c r="C59" t="s">
        <v>55</v>
      </c>
      <c r="D59" t="str">
        <f t="shared" si="9"/>
        <v>CMR</v>
      </c>
      <c r="E59" t="str">
        <f t="shared" si="10"/>
        <v>Camero</v>
      </c>
      <c r="F59">
        <v>2017</v>
      </c>
      <c r="G59">
        <f t="shared" si="14"/>
        <v>6</v>
      </c>
      <c r="H59">
        <v>38109.699999999997</v>
      </c>
      <c r="I59" s="1">
        <f t="shared" si="11"/>
        <v>6351.6166666666704</v>
      </c>
      <c r="J59" t="s">
        <v>68</v>
      </c>
      <c r="K59" t="s">
        <v>13</v>
      </c>
      <c r="L59">
        <v>75000</v>
      </c>
      <c r="M59" t="str">
        <f t="shared" si="12"/>
        <v>Not Covered</v>
      </c>
      <c r="N59" t="str">
        <f t="shared" si="13"/>
        <v>HDWhi6CMR</v>
      </c>
    </row>
    <row r="60" spans="1:14">
      <c r="A60" t="s">
        <v>111</v>
      </c>
      <c r="B60" t="str">
        <f t="shared" si="8"/>
        <v>GM</v>
      </c>
      <c r="C60" t="s">
        <v>48</v>
      </c>
      <c r="D60" t="str">
        <f t="shared" si="9"/>
        <v>VTX</v>
      </c>
      <c r="E60" t="str">
        <f t="shared" si="10"/>
        <v>Vitex</v>
      </c>
      <c r="F60">
        <v>2008</v>
      </c>
      <c r="G60">
        <f t="shared" si="14"/>
        <v>7</v>
      </c>
      <c r="H60">
        <v>38111.199999999997</v>
      </c>
      <c r="I60" s="1">
        <f t="shared" si="11"/>
        <v>5444.4571428571398</v>
      </c>
      <c r="J60" t="s">
        <v>52</v>
      </c>
      <c r="K60" t="s">
        <v>6</v>
      </c>
      <c r="L60">
        <v>75000</v>
      </c>
      <c r="M60" t="str">
        <f t="shared" si="12"/>
        <v>Not Covered</v>
      </c>
      <c r="N60" t="str">
        <f t="shared" si="13"/>
        <v>GMRed7VTX</v>
      </c>
    </row>
    <row r="61" spans="1:14">
      <c r="A61" t="s">
        <v>112</v>
      </c>
      <c r="B61" t="str">
        <f t="shared" si="8"/>
        <v>NS</v>
      </c>
      <c r="C61" t="s">
        <v>37</v>
      </c>
      <c r="D61" t="str">
        <f t="shared" si="9"/>
        <v>FCS</v>
      </c>
      <c r="E61" t="str">
        <f t="shared" si="10"/>
        <v>Focus</v>
      </c>
      <c r="F61">
        <v>2023</v>
      </c>
      <c r="G61">
        <f t="shared" si="14"/>
        <v>4</v>
      </c>
      <c r="H61">
        <v>38210.5</v>
      </c>
      <c r="I61" s="1">
        <f t="shared" si="11"/>
        <v>9552.625</v>
      </c>
      <c r="J61" t="s">
        <v>52</v>
      </c>
      <c r="K61" t="s">
        <v>10</v>
      </c>
      <c r="L61">
        <v>50000</v>
      </c>
      <c r="M61" t="str">
        <f t="shared" si="12"/>
        <v>Not Covered</v>
      </c>
      <c r="N61" t="str">
        <f t="shared" si="13"/>
        <v>NSRed4FCS</v>
      </c>
    </row>
    <row r="62" spans="1:14">
      <c r="A62" t="s">
        <v>113</v>
      </c>
      <c r="B62" t="str">
        <f t="shared" si="8"/>
        <v>HD</v>
      </c>
      <c r="C62" t="s">
        <v>55</v>
      </c>
      <c r="D62" t="str">
        <f t="shared" si="9"/>
        <v>PRS</v>
      </c>
      <c r="E62" t="str">
        <f t="shared" si="10"/>
        <v>Press</v>
      </c>
      <c r="F62">
        <v>2019</v>
      </c>
      <c r="G62">
        <f t="shared" si="14"/>
        <v>20</v>
      </c>
      <c r="H62">
        <v>38490.199999999997</v>
      </c>
      <c r="I62" s="1">
        <f t="shared" si="11"/>
        <v>1924.51</v>
      </c>
      <c r="J62" t="s">
        <v>38</v>
      </c>
      <c r="K62" t="s">
        <v>11</v>
      </c>
      <c r="L62">
        <v>100000</v>
      </c>
      <c r="M62" t="str">
        <f t="shared" si="12"/>
        <v>Not Covered</v>
      </c>
      <c r="N62" t="str">
        <f t="shared" si="13"/>
        <v>HDGra20PRS</v>
      </c>
    </row>
    <row r="63" spans="1:14">
      <c r="A63" t="s">
        <v>114</v>
      </c>
      <c r="B63" t="str">
        <f t="shared" si="8"/>
        <v>NS</v>
      </c>
      <c r="C63" t="s">
        <v>37</v>
      </c>
      <c r="D63" t="str">
        <f t="shared" si="9"/>
        <v>CMR</v>
      </c>
      <c r="E63" t="str">
        <f t="shared" si="10"/>
        <v>Camero</v>
      </c>
      <c r="F63">
        <v>2018</v>
      </c>
      <c r="G63">
        <f t="shared" si="14"/>
        <v>3</v>
      </c>
      <c r="H63">
        <v>39001.800000000003</v>
      </c>
      <c r="I63" s="1">
        <f t="shared" si="11"/>
        <v>13000.6</v>
      </c>
      <c r="J63" t="s">
        <v>52</v>
      </c>
      <c r="K63" t="s">
        <v>2</v>
      </c>
      <c r="L63">
        <v>75000</v>
      </c>
      <c r="M63" t="str">
        <f t="shared" si="12"/>
        <v>Not Covered</v>
      </c>
      <c r="N63" t="str">
        <f t="shared" si="13"/>
        <v>NSRed3CMR</v>
      </c>
    </row>
    <row r="64" spans="1:14">
      <c r="A64" t="s">
        <v>115</v>
      </c>
      <c r="B64" t="str">
        <f t="shared" si="8"/>
        <v>HD</v>
      </c>
      <c r="C64" t="s">
        <v>55</v>
      </c>
      <c r="D64" t="str">
        <f t="shared" si="9"/>
        <v>VTX</v>
      </c>
      <c r="E64" t="str">
        <f t="shared" si="10"/>
        <v>Vitex</v>
      </c>
      <c r="F64">
        <v>2021</v>
      </c>
      <c r="G64">
        <f t="shared" si="14"/>
        <v>10</v>
      </c>
      <c r="H64">
        <v>39318.800000000003</v>
      </c>
      <c r="I64" s="1">
        <f t="shared" si="11"/>
        <v>3931.88</v>
      </c>
      <c r="J64" t="s">
        <v>77</v>
      </c>
      <c r="K64" t="s">
        <v>10</v>
      </c>
      <c r="L64">
        <v>50000</v>
      </c>
      <c r="M64" t="str">
        <f t="shared" si="12"/>
        <v>Not Covered</v>
      </c>
      <c r="N64" t="str">
        <f t="shared" si="13"/>
        <v>HDSil10VTX</v>
      </c>
    </row>
    <row r="65" spans="1:14">
      <c r="A65" t="s">
        <v>116</v>
      </c>
      <c r="B65" t="str">
        <f t="shared" si="8"/>
        <v>GM</v>
      </c>
      <c r="C65" t="s">
        <v>48</v>
      </c>
      <c r="D65" t="str">
        <f t="shared" si="9"/>
        <v>ECO</v>
      </c>
      <c r="E65" t="str">
        <f t="shared" si="10"/>
        <v>Ecolle</v>
      </c>
      <c r="F65">
        <v>2005</v>
      </c>
      <c r="G65">
        <f t="shared" si="14"/>
        <v>7</v>
      </c>
      <c r="H65">
        <v>39848.1</v>
      </c>
      <c r="I65" s="1">
        <f t="shared" si="11"/>
        <v>5692.5857142857103</v>
      </c>
      <c r="J65" t="s">
        <v>45</v>
      </c>
      <c r="K65" t="s">
        <v>5</v>
      </c>
      <c r="L65">
        <v>100000</v>
      </c>
      <c r="M65" t="str">
        <f t="shared" si="12"/>
        <v>Not Covered</v>
      </c>
      <c r="N65" t="str">
        <f t="shared" si="13"/>
        <v>GMBla7ECO</v>
      </c>
    </row>
    <row r="66" spans="1:14">
      <c r="A66" t="s">
        <v>117</v>
      </c>
      <c r="B66" t="str">
        <f t="shared" ref="B66:B97" si="15">LEFT(A66,2)</f>
        <v>FD</v>
      </c>
      <c r="C66" t="s">
        <v>57</v>
      </c>
      <c r="D66" t="str">
        <f t="shared" ref="D66:D101" si="16">MID(A66,5,3)</f>
        <v>FCS</v>
      </c>
      <c r="E66" t="str">
        <f t="shared" ref="E66:E97" si="17">VLOOKUP(D66,D$107:E$112,2)</f>
        <v>Focus</v>
      </c>
      <c r="F66">
        <v>2022</v>
      </c>
      <c r="G66">
        <f t="shared" si="14"/>
        <v>13</v>
      </c>
      <c r="H66">
        <v>39976.9</v>
      </c>
      <c r="I66" s="1">
        <f t="shared" ref="I66:I97" si="18">H66/G66</f>
        <v>3075.1461538461499</v>
      </c>
      <c r="J66" t="s">
        <v>77</v>
      </c>
      <c r="K66" t="s">
        <v>21</v>
      </c>
      <c r="L66">
        <v>100000</v>
      </c>
      <c r="M66" t="str">
        <f t="shared" ref="M66:M97" si="19">IF(H66&gt;=L66,"Y","Not Covered")</f>
        <v>Not Covered</v>
      </c>
      <c r="N66" t="str">
        <f t="shared" ref="N66:N101" si="20">CONCATENATE(LEFT(A66,2),LEFT(J66,3),G66,MID(A66,5,3))</f>
        <v>FDSil13FCS</v>
      </c>
    </row>
    <row r="67" spans="1:14">
      <c r="A67" t="s">
        <v>118</v>
      </c>
      <c r="B67" t="str">
        <f t="shared" si="15"/>
        <v>TY</v>
      </c>
      <c r="C67" t="s">
        <v>41</v>
      </c>
      <c r="D67" t="str">
        <f t="shared" si="16"/>
        <v>CMR</v>
      </c>
      <c r="E67" t="str">
        <f t="shared" si="17"/>
        <v>Camero</v>
      </c>
      <c r="F67">
        <v>2015</v>
      </c>
      <c r="G67">
        <f t="shared" si="14"/>
        <v>6</v>
      </c>
      <c r="H67">
        <v>41403.699999999997</v>
      </c>
      <c r="I67" s="1">
        <f t="shared" si="18"/>
        <v>6900.6166666666704</v>
      </c>
      <c r="J67" t="s">
        <v>52</v>
      </c>
      <c r="K67" t="s">
        <v>13</v>
      </c>
      <c r="L67">
        <v>75000</v>
      </c>
      <c r="M67" t="str">
        <f t="shared" si="19"/>
        <v>Not Covered</v>
      </c>
      <c r="N67" t="str">
        <f t="shared" si="20"/>
        <v>TYRed6CMR</v>
      </c>
    </row>
    <row r="68" spans="1:14">
      <c r="A68" t="s">
        <v>119</v>
      </c>
      <c r="B68" t="str">
        <f t="shared" si="15"/>
        <v>FD</v>
      </c>
      <c r="C68" t="s">
        <v>57</v>
      </c>
      <c r="D68" t="str">
        <f t="shared" si="16"/>
        <v>ECO</v>
      </c>
      <c r="E68" t="str">
        <f t="shared" si="17"/>
        <v>Ecolle</v>
      </c>
      <c r="F68">
        <v>2018</v>
      </c>
      <c r="G68">
        <f t="shared" si="14"/>
        <v>12</v>
      </c>
      <c r="H68">
        <v>41471.199999999997</v>
      </c>
      <c r="I68" s="1">
        <f t="shared" si="18"/>
        <v>3455.9333333333302</v>
      </c>
      <c r="J68" t="s">
        <v>68</v>
      </c>
      <c r="K68" t="s">
        <v>12</v>
      </c>
      <c r="L68">
        <v>75000</v>
      </c>
      <c r="M68" t="str">
        <f t="shared" si="19"/>
        <v>Not Covered</v>
      </c>
      <c r="N68" t="str">
        <f t="shared" si="20"/>
        <v>FDWhi12ECO</v>
      </c>
    </row>
    <row r="69" spans="1:14">
      <c r="A69" t="s">
        <v>120</v>
      </c>
      <c r="B69" t="str">
        <f t="shared" si="15"/>
        <v>TY</v>
      </c>
      <c r="C69" t="s">
        <v>41</v>
      </c>
      <c r="D69" t="str">
        <f t="shared" si="16"/>
        <v>ECO</v>
      </c>
      <c r="E69" t="str">
        <f t="shared" si="17"/>
        <v>Ecolle</v>
      </c>
      <c r="F69">
        <v>2012</v>
      </c>
      <c r="G69">
        <f t="shared" si="14"/>
        <v>7</v>
      </c>
      <c r="H69">
        <v>42029.3</v>
      </c>
      <c r="I69" s="1">
        <f t="shared" si="18"/>
        <v>6004.1857142857098</v>
      </c>
      <c r="J69" t="s">
        <v>38</v>
      </c>
      <c r="K69" t="s">
        <v>19</v>
      </c>
      <c r="L69">
        <v>100000</v>
      </c>
      <c r="M69" t="str">
        <f t="shared" si="19"/>
        <v>Not Covered</v>
      </c>
      <c r="N69" t="str">
        <f t="shared" si="20"/>
        <v>TYGra7ECO</v>
      </c>
    </row>
    <row r="70" spans="1:14">
      <c r="A70" t="s">
        <v>121</v>
      </c>
      <c r="B70" t="str">
        <f t="shared" si="15"/>
        <v>FD</v>
      </c>
      <c r="C70" t="s">
        <v>57</v>
      </c>
      <c r="D70" t="str">
        <f t="shared" si="16"/>
        <v>PRS</v>
      </c>
      <c r="E70" t="str">
        <f t="shared" si="17"/>
        <v>Press</v>
      </c>
      <c r="F70">
        <v>2019</v>
      </c>
      <c r="G70">
        <f t="shared" si="14"/>
        <v>2</v>
      </c>
      <c r="H70">
        <v>43522.6</v>
      </c>
      <c r="I70" s="1">
        <f t="shared" si="18"/>
        <v>21761.3</v>
      </c>
      <c r="J70" t="s">
        <v>38</v>
      </c>
      <c r="K70" t="s">
        <v>14</v>
      </c>
      <c r="L70">
        <v>100000</v>
      </c>
      <c r="M70" t="str">
        <f t="shared" si="19"/>
        <v>Not Covered</v>
      </c>
      <c r="N70" t="str">
        <f t="shared" si="20"/>
        <v>FDGra2PRS</v>
      </c>
    </row>
    <row r="71" spans="1:14">
      <c r="A71" t="s">
        <v>122</v>
      </c>
      <c r="B71" t="str">
        <f t="shared" si="15"/>
        <v>GM</v>
      </c>
      <c r="C71" t="s">
        <v>48</v>
      </c>
      <c r="D71" t="str">
        <f t="shared" si="16"/>
        <v>ECO</v>
      </c>
      <c r="E71" t="str">
        <f t="shared" si="17"/>
        <v>Ecolle</v>
      </c>
      <c r="F71">
        <v>2013</v>
      </c>
      <c r="G71">
        <f t="shared" si="14"/>
        <v>12</v>
      </c>
      <c r="H71">
        <v>43861.599999999999</v>
      </c>
      <c r="I71" s="1">
        <f t="shared" si="18"/>
        <v>3655.13333333333</v>
      </c>
      <c r="J71" t="s">
        <v>42</v>
      </c>
      <c r="K71" t="s">
        <v>7</v>
      </c>
      <c r="L71">
        <v>100000</v>
      </c>
      <c r="M71" t="str">
        <f t="shared" si="19"/>
        <v>Not Covered</v>
      </c>
      <c r="N71" t="str">
        <f t="shared" si="20"/>
        <v>GMBlu12ECO</v>
      </c>
    </row>
    <row r="72" spans="1:14">
      <c r="A72" t="s">
        <v>123</v>
      </c>
      <c r="B72" t="str">
        <f t="shared" si="15"/>
        <v>FD</v>
      </c>
      <c r="C72" t="s">
        <v>57</v>
      </c>
      <c r="D72" t="str">
        <f t="shared" si="16"/>
        <v>FCS</v>
      </c>
      <c r="E72" t="str">
        <f t="shared" si="17"/>
        <v>Focus</v>
      </c>
      <c r="F72">
        <v>2018</v>
      </c>
      <c r="G72">
        <f t="shared" si="14"/>
        <v>6</v>
      </c>
      <c r="H72">
        <v>43934.2</v>
      </c>
      <c r="I72" s="1">
        <f t="shared" si="18"/>
        <v>7322.3666666666704</v>
      </c>
      <c r="J72" t="s">
        <v>49</v>
      </c>
      <c r="K72" t="s">
        <v>5</v>
      </c>
      <c r="L72">
        <v>100000</v>
      </c>
      <c r="M72" t="str">
        <f t="shared" si="19"/>
        <v>Not Covered</v>
      </c>
      <c r="N72" t="str">
        <f t="shared" si="20"/>
        <v>FDGre6FCS</v>
      </c>
    </row>
    <row r="73" spans="1:14">
      <c r="A73" t="s">
        <v>124</v>
      </c>
      <c r="B73" t="str">
        <f t="shared" si="15"/>
        <v>GM</v>
      </c>
      <c r="C73" t="s">
        <v>48</v>
      </c>
      <c r="D73" t="str">
        <f t="shared" si="16"/>
        <v>VTX</v>
      </c>
      <c r="E73" t="str">
        <f t="shared" si="17"/>
        <v>Vitex</v>
      </c>
      <c r="F73">
        <v>2023</v>
      </c>
      <c r="G73">
        <f t="shared" si="14"/>
        <v>20</v>
      </c>
      <c r="H73">
        <v>45398.6</v>
      </c>
      <c r="I73" s="1">
        <f t="shared" si="18"/>
        <v>2269.9299999999998</v>
      </c>
      <c r="J73" t="s">
        <v>49</v>
      </c>
      <c r="K73" t="s">
        <v>13</v>
      </c>
      <c r="L73">
        <v>75000</v>
      </c>
      <c r="M73" t="str">
        <f t="shared" si="19"/>
        <v>Not Covered</v>
      </c>
      <c r="N73" t="str">
        <f t="shared" si="20"/>
        <v>GMGre20VTX</v>
      </c>
    </row>
    <row r="74" spans="1:14">
      <c r="A74" t="s">
        <v>125</v>
      </c>
      <c r="B74" t="str">
        <f t="shared" si="15"/>
        <v>NS</v>
      </c>
      <c r="C74" t="s">
        <v>37</v>
      </c>
      <c r="D74" t="str">
        <f t="shared" si="16"/>
        <v>VTX</v>
      </c>
      <c r="E74" t="str">
        <f t="shared" si="17"/>
        <v>Vitex</v>
      </c>
      <c r="F74">
        <v>2013</v>
      </c>
      <c r="G74">
        <f t="shared" si="14"/>
        <v>15</v>
      </c>
      <c r="H74">
        <v>45431</v>
      </c>
      <c r="I74" s="1">
        <f t="shared" si="18"/>
        <v>3028.7333333333299</v>
      </c>
      <c r="J74" t="s">
        <v>68</v>
      </c>
      <c r="K74" t="s">
        <v>9</v>
      </c>
      <c r="L74">
        <v>75000</v>
      </c>
      <c r="M74" t="str">
        <f t="shared" si="19"/>
        <v>Not Covered</v>
      </c>
      <c r="N74" t="str">
        <f t="shared" si="20"/>
        <v>NSWhi15VTX</v>
      </c>
    </row>
    <row r="75" spans="1:14">
      <c r="A75" t="s">
        <v>126</v>
      </c>
      <c r="B75" t="str">
        <f t="shared" si="15"/>
        <v>HD</v>
      </c>
      <c r="C75" t="s">
        <v>55</v>
      </c>
      <c r="D75" t="str">
        <f t="shared" si="16"/>
        <v>CMR</v>
      </c>
      <c r="E75" t="str">
        <f t="shared" si="17"/>
        <v>Camero</v>
      </c>
      <c r="F75">
        <v>2019</v>
      </c>
      <c r="G75">
        <f t="shared" si="14"/>
        <v>19</v>
      </c>
      <c r="H75">
        <v>47851</v>
      </c>
      <c r="I75" s="1">
        <f t="shared" si="18"/>
        <v>2518.4736842105299</v>
      </c>
      <c r="J75" t="s">
        <v>77</v>
      </c>
      <c r="K75" t="s">
        <v>2</v>
      </c>
      <c r="L75">
        <v>50000</v>
      </c>
      <c r="M75" t="str">
        <f t="shared" si="19"/>
        <v>Not Covered</v>
      </c>
      <c r="N75" t="str">
        <f t="shared" si="20"/>
        <v>HDSil19CMR</v>
      </c>
    </row>
    <row r="76" spans="1:14">
      <c r="A76" t="s">
        <v>127</v>
      </c>
      <c r="B76" t="str">
        <f t="shared" si="15"/>
        <v>HD</v>
      </c>
      <c r="C76" t="s">
        <v>55</v>
      </c>
      <c r="D76" t="str">
        <f t="shared" si="16"/>
        <v>MTG</v>
      </c>
      <c r="E76" t="str">
        <f t="shared" si="17"/>
        <v>Mustang</v>
      </c>
      <c r="F76">
        <v>2005</v>
      </c>
      <c r="G76">
        <f t="shared" si="14"/>
        <v>10</v>
      </c>
      <c r="H76">
        <v>48241.7</v>
      </c>
      <c r="I76" s="1">
        <f t="shared" si="18"/>
        <v>4824.17</v>
      </c>
      <c r="J76" t="s">
        <v>52</v>
      </c>
      <c r="K76" t="s">
        <v>3</v>
      </c>
      <c r="L76">
        <v>50000</v>
      </c>
      <c r="M76" t="str">
        <f t="shared" si="19"/>
        <v>Not Covered</v>
      </c>
      <c r="N76" t="str">
        <f t="shared" si="20"/>
        <v>HDRed10MTG</v>
      </c>
    </row>
    <row r="77" spans="1:14">
      <c r="A77" t="s">
        <v>128</v>
      </c>
      <c r="B77" t="str">
        <f t="shared" si="15"/>
        <v>HD</v>
      </c>
      <c r="C77" t="s">
        <v>55</v>
      </c>
      <c r="D77" t="str">
        <f t="shared" si="16"/>
        <v>PRS</v>
      </c>
      <c r="E77" t="str">
        <f t="shared" si="17"/>
        <v>Press</v>
      </c>
      <c r="F77">
        <v>2010</v>
      </c>
      <c r="G77">
        <f t="shared" si="14"/>
        <v>9</v>
      </c>
      <c r="H77">
        <v>48467.9</v>
      </c>
      <c r="I77" s="1">
        <f t="shared" si="18"/>
        <v>5385.3222222222203</v>
      </c>
      <c r="J77" t="s">
        <v>68</v>
      </c>
      <c r="K77" t="s">
        <v>15</v>
      </c>
      <c r="L77">
        <v>75000</v>
      </c>
      <c r="M77" t="str">
        <f t="shared" si="19"/>
        <v>Not Covered</v>
      </c>
      <c r="N77" t="str">
        <f t="shared" si="20"/>
        <v>HDWhi9PRS</v>
      </c>
    </row>
    <row r="78" spans="1:14">
      <c r="A78" t="s">
        <v>129</v>
      </c>
      <c r="B78" t="str">
        <f t="shared" si="15"/>
        <v>NS</v>
      </c>
      <c r="C78" t="s">
        <v>37</v>
      </c>
      <c r="D78" t="str">
        <f t="shared" si="16"/>
        <v>PRS</v>
      </c>
      <c r="E78" t="str">
        <f t="shared" si="17"/>
        <v>Press</v>
      </c>
      <c r="F78">
        <v>2006</v>
      </c>
      <c r="G78">
        <f t="shared" si="14"/>
        <v>5</v>
      </c>
      <c r="H78">
        <v>49000.7</v>
      </c>
      <c r="I78" s="1">
        <f t="shared" si="18"/>
        <v>9800.14</v>
      </c>
      <c r="J78" t="s">
        <v>49</v>
      </c>
      <c r="K78" t="s">
        <v>3</v>
      </c>
      <c r="L78">
        <v>75000</v>
      </c>
      <c r="M78" t="str">
        <f t="shared" si="19"/>
        <v>Not Covered</v>
      </c>
      <c r="N78" t="str">
        <f t="shared" si="20"/>
        <v>NSGre5PRS</v>
      </c>
    </row>
    <row r="79" spans="1:14">
      <c r="A79" t="s">
        <v>130</v>
      </c>
      <c r="B79" t="str">
        <f t="shared" si="15"/>
        <v>HD</v>
      </c>
      <c r="C79" t="s">
        <v>55</v>
      </c>
      <c r="D79" t="str">
        <f t="shared" si="16"/>
        <v>FCS</v>
      </c>
      <c r="E79" t="str">
        <f t="shared" si="17"/>
        <v>Focus</v>
      </c>
      <c r="F79">
        <v>2015</v>
      </c>
      <c r="G79">
        <f t="shared" si="14"/>
        <v>20</v>
      </c>
      <c r="H79">
        <v>49547.3</v>
      </c>
      <c r="I79" s="1">
        <f t="shared" si="18"/>
        <v>2477.3649999999998</v>
      </c>
      <c r="J79" t="s">
        <v>52</v>
      </c>
      <c r="K79" t="s">
        <v>15</v>
      </c>
      <c r="L79">
        <v>75000</v>
      </c>
      <c r="M79" t="str">
        <f t="shared" si="19"/>
        <v>Not Covered</v>
      </c>
      <c r="N79" t="str">
        <f t="shared" si="20"/>
        <v>HDRed20FCS</v>
      </c>
    </row>
    <row r="80" spans="1:14">
      <c r="A80" t="s">
        <v>131</v>
      </c>
      <c r="B80" t="str">
        <f t="shared" si="15"/>
        <v>NS</v>
      </c>
      <c r="C80" t="s">
        <v>37</v>
      </c>
      <c r="D80" t="str">
        <f t="shared" si="16"/>
        <v>CMR</v>
      </c>
      <c r="E80" t="str">
        <f t="shared" si="17"/>
        <v>Camero</v>
      </c>
      <c r="F80">
        <v>2016</v>
      </c>
      <c r="G80">
        <f t="shared" si="14"/>
        <v>5</v>
      </c>
      <c r="H80">
        <v>50327.3</v>
      </c>
      <c r="I80" s="1">
        <f t="shared" si="18"/>
        <v>10065.459999999999</v>
      </c>
      <c r="J80" t="s">
        <v>77</v>
      </c>
      <c r="K80" t="s">
        <v>6</v>
      </c>
      <c r="L80">
        <v>75000</v>
      </c>
      <c r="M80" t="str">
        <f t="shared" si="19"/>
        <v>Not Covered</v>
      </c>
      <c r="N80" t="str">
        <f t="shared" si="20"/>
        <v>NSSil5CMR</v>
      </c>
    </row>
    <row r="81" spans="1:14">
      <c r="A81" t="s">
        <v>132</v>
      </c>
      <c r="B81" t="str">
        <f t="shared" si="15"/>
        <v>TY</v>
      </c>
      <c r="C81" t="s">
        <v>41</v>
      </c>
      <c r="D81" t="str">
        <f t="shared" si="16"/>
        <v>CMR</v>
      </c>
      <c r="E81" t="str">
        <f t="shared" si="17"/>
        <v>Camero</v>
      </c>
      <c r="F81">
        <v>2020</v>
      </c>
      <c r="G81">
        <f t="shared" si="14"/>
        <v>8</v>
      </c>
      <c r="H81">
        <v>50361.1</v>
      </c>
      <c r="I81" s="1">
        <f t="shared" si="18"/>
        <v>6295.1374999999998</v>
      </c>
      <c r="J81" t="s">
        <v>68</v>
      </c>
      <c r="K81" t="s">
        <v>12</v>
      </c>
      <c r="L81">
        <v>75000</v>
      </c>
      <c r="M81" t="str">
        <f t="shared" si="19"/>
        <v>Not Covered</v>
      </c>
      <c r="N81" t="str">
        <f t="shared" si="20"/>
        <v>TYWhi8CMR</v>
      </c>
    </row>
    <row r="82" spans="1:14">
      <c r="A82" t="s">
        <v>133</v>
      </c>
      <c r="B82" t="str">
        <f t="shared" si="15"/>
        <v>FD</v>
      </c>
      <c r="C82" t="s">
        <v>57</v>
      </c>
      <c r="D82" t="str">
        <f t="shared" si="16"/>
        <v>ECO</v>
      </c>
      <c r="E82" t="str">
        <f t="shared" si="17"/>
        <v>Ecolle</v>
      </c>
      <c r="F82">
        <v>2005</v>
      </c>
      <c r="G82">
        <f t="shared" si="14"/>
        <v>11</v>
      </c>
      <c r="H82">
        <v>51111</v>
      </c>
      <c r="I82" s="1">
        <f t="shared" si="18"/>
        <v>4646.4545454545496</v>
      </c>
      <c r="J82" t="s">
        <v>38</v>
      </c>
      <c r="K82" t="s">
        <v>4</v>
      </c>
      <c r="L82">
        <v>50000</v>
      </c>
      <c r="M82" t="str">
        <f t="shared" si="19"/>
        <v>Y</v>
      </c>
      <c r="N82" t="str">
        <f t="shared" si="20"/>
        <v>FDGra11ECO</v>
      </c>
    </row>
    <row r="83" spans="1:14">
      <c r="A83" t="s">
        <v>134</v>
      </c>
      <c r="B83" t="str">
        <f t="shared" si="15"/>
        <v>FD</v>
      </c>
      <c r="C83" t="s">
        <v>57</v>
      </c>
      <c r="D83" t="str">
        <f t="shared" si="16"/>
        <v>CMR</v>
      </c>
      <c r="E83" t="str">
        <f t="shared" si="17"/>
        <v>Camero</v>
      </c>
      <c r="F83">
        <v>2020</v>
      </c>
      <c r="G83">
        <f t="shared" si="14"/>
        <v>19</v>
      </c>
      <c r="H83">
        <v>51128.6</v>
      </c>
      <c r="I83" s="1">
        <f t="shared" si="18"/>
        <v>2690.97894736842</v>
      </c>
      <c r="J83" t="s">
        <v>52</v>
      </c>
      <c r="K83" t="s">
        <v>8</v>
      </c>
      <c r="L83">
        <v>50000</v>
      </c>
      <c r="M83" t="str">
        <f t="shared" si="19"/>
        <v>Y</v>
      </c>
      <c r="N83" t="str">
        <f t="shared" si="20"/>
        <v>FDRed19CMR</v>
      </c>
    </row>
    <row r="84" spans="1:14">
      <c r="A84" t="s">
        <v>135</v>
      </c>
      <c r="B84" t="str">
        <f t="shared" si="15"/>
        <v>GM</v>
      </c>
      <c r="C84" t="s">
        <v>48</v>
      </c>
      <c r="D84" t="str">
        <f t="shared" si="16"/>
        <v>CMR</v>
      </c>
      <c r="E84" t="str">
        <f t="shared" si="17"/>
        <v>Camero</v>
      </c>
      <c r="F84">
        <v>2017</v>
      </c>
      <c r="G84">
        <f t="shared" si="14"/>
        <v>16</v>
      </c>
      <c r="H84">
        <v>52662.6</v>
      </c>
      <c r="I84" s="1">
        <f t="shared" si="18"/>
        <v>3291.4124999999999</v>
      </c>
      <c r="J84" t="s">
        <v>68</v>
      </c>
      <c r="K84" t="s">
        <v>8</v>
      </c>
      <c r="L84">
        <v>100000</v>
      </c>
      <c r="M84" t="str">
        <f t="shared" si="19"/>
        <v>Not Covered</v>
      </c>
      <c r="N84" t="str">
        <f t="shared" si="20"/>
        <v>GMWhi16CMR</v>
      </c>
    </row>
    <row r="85" spans="1:14">
      <c r="A85" t="s">
        <v>136</v>
      </c>
      <c r="B85" t="str">
        <f t="shared" si="15"/>
        <v>HD</v>
      </c>
      <c r="C85" t="s">
        <v>55</v>
      </c>
      <c r="D85" t="str">
        <f t="shared" si="16"/>
        <v>MTG</v>
      </c>
      <c r="E85" t="str">
        <f t="shared" si="17"/>
        <v>Mustang</v>
      </c>
      <c r="F85">
        <v>2014</v>
      </c>
      <c r="G85">
        <f t="shared" si="14"/>
        <v>20</v>
      </c>
      <c r="H85">
        <v>52741</v>
      </c>
      <c r="I85" s="1">
        <f t="shared" si="18"/>
        <v>2637.05</v>
      </c>
      <c r="J85" t="s">
        <v>52</v>
      </c>
      <c r="K85" t="s">
        <v>17</v>
      </c>
      <c r="L85">
        <v>100000</v>
      </c>
      <c r="M85" t="str">
        <f t="shared" si="19"/>
        <v>Not Covered</v>
      </c>
      <c r="N85" t="str">
        <f t="shared" si="20"/>
        <v>HDRed20MTG</v>
      </c>
    </row>
    <row r="86" spans="1:14">
      <c r="A86" t="s">
        <v>137</v>
      </c>
      <c r="B86" t="str">
        <f t="shared" si="15"/>
        <v>GM</v>
      </c>
      <c r="C86" t="s">
        <v>48</v>
      </c>
      <c r="D86" t="str">
        <f t="shared" si="16"/>
        <v>MTG</v>
      </c>
      <c r="E86" t="str">
        <f t="shared" si="17"/>
        <v>Mustang</v>
      </c>
      <c r="F86">
        <v>2006</v>
      </c>
      <c r="G86">
        <f t="shared" si="14"/>
        <v>16</v>
      </c>
      <c r="H86">
        <v>52808.4</v>
      </c>
      <c r="I86" s="1">
        <f t="shared" si="18"/>
        <v>3300.5250000000001</v>
      </c>
      <c r="J86" t="s">
        <v>49</v>
      </c>
      <c r="K86" t="s">
        <v>18</v>
      </c>
      <c r="L86">
        <v>75000</v>
      </c>
      <c r="M86" t="str">
        <f t="shared" si="19"/>
        <v>Not Covered</v>
      </c>
      <c r="N86" t="str">
        <f t="shared" si="20"/>
        <v>GMGre16MTG</v>
      </c>
    </row>
    <row r="87" spans="1:14">
      <c r="A87" t="s">
        <v>138</v>
      </c>
      <c r="B87" t="str">
        <f t="shared" si="15"/>
        <v>TY</v>
      </c>
      <c r="C87" t="s">
        <v>41</v>
      </c>
      <c r="D87" t="str">
        <f t="shared" si="16"/>
        <v>FCS</v>
      </c>
      <c r="E87" t="str">
        <f t="shared" si="17"/>
        <v>Focus</v>
      </c>
      <c r="F87">
        <v>2009</v>
      </c>
      <c r="G87">
        <f t="shared" si="14"/>
        <v>9</v>
      </c>
      <c r="H87">
        <v>52973.8</v>
      </c>
      <c r="I87" s="1">
        <f t="shared" si="18"/>
        <v>5885.9777777777799</v>
      </c>
      <c r="J87" t="s">
        <v>42</v>
      </c>
      <c r="K87" t="s">
        <v>10</v>
      </c>
      <c r="L87">
        <v>50000</v>
      </c>
      <c r="M87" t="str">
        <f t="shared" si="19"/>
        <v>Y</v>
      </c>
      <c r="N87" t="str">
        <f t="shared" si="20"/>
        <v>TYBlu9FCS</v>
      </c>
    </row>
    <row r="88" spans="1:14">
      <c r="A88" t="s">
        <v>139</v>
      </c>
      <c r="B88" t="str">
        <f t="shared" si="15"/>
        <v>NS</v>
      </c>
      <c r="C88" t="s">
        <v>37</v>
      </c>
      <c r="D88" t="str">
        <f t="shared" si="16"/>
        <v>PRS</v>
      </c>
      <c r="E88" t="str">
        <f t="shared" si="17"/>
        <v>Press</v>
      </c>
      <c r="F88">
        <v>2005</v>
      </c>
      <c r="G88">
        <f t="shared" si="14"/>
        <v>3</v>
      </c>
      <c r="H88">
        <v>53000.1</v>
      </c>
      <c r="I88" s="1">
        <f t="shared" si="18"/>
        <v>17666.7</v>
      </c>
      <c r="J88" t="s">
        <v>38</v>
      </c>
      <c r="K88" t="s">
        <v>10</v>
      </c>
      <c r="L88">
        <v>100000</v>
      </c>
      <c r="M88" t="str">
        <f t="shared" si="19"/>
        <v>Not Covered</v>
      </c>
      <c r="N88" t="str">
        <f t="shared" si="20"/>
        <v>NSGra3PRS</v>
      </c>
    </row>
    <row r="89" spans="1:14">
      <c r="A89" t="s">
        <v>140</v>
      </c>
      <c r="B89" t="str">
        <f t="shared" si="15"/>
        <v>HD</v>
      </c>
      <c r="C89" t="s">
        <v>55</v>
      </c>
      <c r="D89" t="str">
        <f t="shared" si="16"/>
        <v>PRS</v>
      </c>
      <c r="E89" t="str">
        <f t="shared" si="17"/>
        <v>Press</v>
      </c>
      <c r="F89">
        <v>2009</v>
      </c>
      <c r="G89">
        <f t="shared" si="14"/>
        <v>6</v>
      </c>
      <c r="H89">
        <v>53274.2</v>
      </c>
      <c r="I89" s="1">
        <f t="shared" si="18"/>
        <v>8879.0333333333292</v>
      </c>
      <c r="J89" t="s">
        <v>38</v>
      </c>
      <c r="K89" t="s">
        <v>16</v>
      </c>
      <c r="L89">
        <v>100000</v>
      </c>
      <c r="M89" t="str">
        <f t="shared" si="19"/>
        <v>Not Covered</v>
      </c>
      <c r="N89" t="str">
        <f t="shared" si="20"/>
        <v>HDGra6PRS</v>
      </c>
    </row>
    <row r="90" spans="1:14">
      <c r="A90" t="s">
        <v>141</v>
      </c>
      <c r="B90" t="str">
        <f t="shared" si="15"/>
        <v>HD</v>
      </c>
      <c r="C90" t="s">
        <v>55</v>
      </c>
      <c r="D90" t="str">
        <f t="shared" si="16"/>
        <v>CMR</v>
      </c>
      <c r="E90" t="str">
        <f t="shared" si="17"/>
        <v>Camero</v>
      </c>
      <c r="F90">
        <v>2016</v>
      </c>
      <c r="G90">
        <f t="shared" si="14"/>
        <v>14</v>
      </c>
      <c r="H90">
        <v>53311.6</v>
      </c>
      <c r="I90" s="1">
        <f t="shared" si="18"/>
        <v>3807.9714285714299</v>
      </c>
      <c r="J90" t="s">
        <v>68</v>
      </c>
      <c r="K90" t="s">
        <v>4</v>
      </c>
      <c r="L90">
        <v>75000</v>
      </c>
      <c r="M90" t="str">
        <f t="shared" si="19"/>
        <v>Not Covered</v>
      </c>
      <c r="N90" t="str">
        <f t="shared" si="20"/>
        <v>HDWhi14CMR</v>
      </c>
    </row>
    <row r="91" spans="1:14">
      <c r="A91" t="s">
        <v>142</v>
      </c>
      <c r="B91" t="str">
        <f t="shared" si="15"/>
        <v>FD</v>
      </c>
      <c r="C91" t="s">
        <v>57</v>
      </c>
      <c r="D91" t="str">
        <f t="shared" si="16"/>
        <v>VTX</v>
      </c>
      <c r="E91" t="str">
        <f t="shared" si="17"/>
        <v>Vitex</v>
      </c>
      <c r="F91">
        <v>2022</v>
      </c>
      <c r="G91">
        <f t="shared" si="14"/>
        <v>20</v>
      </c>
      <c r="H91">
        <v>53927.1</v>
      </c>
      <c r="I91" s="1">
        <f t="shared" si="18"/>
        <v>2696.355</v>
      </c>
      <c r="J91" t="s">
        <v>45</v>
      </c>
      <c r="K91" t="s">
        <v>13</v>
      </c>
      <c r="L91">
        <v>50000</v>
      </c>
      <c r="M91" t="str">
        <f t="shared" si="19"/>
        <v>Y</v>
      </c>
      <c r="N91" t="str">
        <f t="shared" si="20"/>
        <v>FDBla20VTX</v>
      </c>
    </row>
    <row r="92" spans="1:14">
      <c r="A92" t="s">
        <v>143</v>
      </c>
      <c r="B92" t="str">
        <f t="shared" si="15"/>
        <v>GM</v>
      </c>
      <c r="C92" t="s">
        <v>48</v>
      </c>
      <c r="D92" t="str">
        <f t="shared" si="16"/>
        <v>FCS</v>
      </c>
      <c r="E92" t="str">
        <f t="shared" si="17"/>
        <v>Focus</v>
      </c>
      <c r="F92">
        <v>2019</v>
      </c>
      <c r="G92">
        <f t="shared" si="14"/>
        <v>15</v>
      </c>
      <c r="H92">
        <v>55267.4</v>
      </c>
      <c r="I92" s="1">
        <f t="shared" si="18"/>
        <v>3684.4933333333302</v>
      </c>
      <c r="J92" t="s">
        <v>42</v>
      </c>
      <c r="K92" t="s">
        <v>19</v>
      </c>
      <c r="L92">
        <v>50000</v>
      </c>
      <c r="M92" t="str">
        <f t="shared" si="19"/>
        <v>Y</v>
      </c>
      <c r="N92" t="str">
        <f t="shared" si="20"/>
        <v>GMBlu15FCS</v>
      </c>
    </row>
    <row r="93" spans="1:14">
      <c r="A93" t="s">
        <v>144</v>
      </c>
      <c r="B93" t="str">
        <f t="shared" si="15"/>
        <v>GM</v>
      </c>
      <c r="C93" t="s">
        <v>48</v>
      </c>
      <c r="D93" t="str">
        <f t="shared" si="16"/>
        <v>PRS</v>
      </c>
      <c r="E93" t="str">
        <f t="shared" si="17"/>
        <v>Press</v>
      </c>
      <c r="F93">
        <v>2011</v>
      </c>
      <c r="G93">
        <f t="shared" si="14"/>
        <v>19</v>
      </c>
      <c r="H93">
        <v>55575.9</v>
      </c>
      <c r="I93" s="1">
        <f t="shared" si="18"/>
        <v>2925.0473684210501</v>
      </c>
      <c r="J93" t="s">
        <v>42</v>
      </c>
      <c r="K93" t="s">
        <v>3</v>
      </c>
      <c r="L93">
        <v>75000</v>
      </c>
      <c r="M93" t="str">
        <f t="shared" si="19"/>
        <v>Not Covered</v>
      </c>
      <c r="N93" t="str">
        <f t="shared" si="20"/>
        <v>GMBlu19PRS</v>
      </c>
    </row>
    <row r="94" spans="1:14">
      <c r="A94" t="s">
        <v>145</v>
      </c>
      <c r="B94" t="str">
        <f t="shared" si="15"/>
        <v>FD</v>
      </c>
      <c r="C94" t="s">
        <v>57</v>
      </c>
      <c r="D94" t="str">
        <f t="shared" si="16"/>
        <v>PRS</v>
      </c>
      <c r="E94" t="str">
        <f t="shared" si="17"/>
        <v>Press</v>
      </c>
      <c r="F94">
        <v>2005</v>
      </c>
      <c r="G94">
        <f t="shared" si="14"/>
        <v>10</v>
      </c>
      <c r="H94">
        <v>55968.7</v>
      </c>
      <c r="I94" s="1">
        <f t="shared" si="18"/>
        <v>5596.87</v>
      </c>
      <c r="J94" t="s">
        <v>45</v>
      </c>
      <c r="K94" t="s">
        <v>2</v>
      </c>
      <c r="L94">
        <v>75000</v>
      </c>
      <c r="M94" t="str">
        <f t="shared" si="19"/>
        <v>Not Covered</v>
      </c>
      <c r="N94" t="str">
        <f t="shared" si="20"/>
        <v>FDBla10PRS</v>
      </c>
    </row>
    <row r="95" spans="1:14">
      <c r="A95" t="s">
        <v>146</v>
      </c>
      <c r="B95" t="str">
        <f t="shared" si="15"/>
        <v>HD</v>
      </c>
      <c r="C95" t="s">
        <v>55</v>
      </c>
      <c r="D95" t="str">
        <f t="shared" si="16"/>
        <v>CMR</v>
      </c>
      <c r="E95" t="str">
        <f t="shared" si="17"/>
        <v>Camero</v>
      </c>
      <c r="F95">
        <v>2010</v>
      </c>
      <c r="G95">
        <f t="shared" si="14"/>
        <v>7</v>
      </c>
      <c r="H95">
        <v>55977.4</v>
      </c>
      <c r="I95" s="1">
        <f t="shared" si="18"/>
        <v>7996.7714285714301</v>
      </c>
      <c r="J95" t="s">
        <v>42</v>
      </c>
      <c r="K95" t="s">
        <v>8</v>
      </c>
      <c r="L95">
        <v>100000</v>
      </c>
      <c r="M95" t="str">
        <f t="shared" si="19"/>
        <v>Not Covered</v>
      </c>
      <c r="N95" t="str">
        <f t="shared" si="20"/>
        <v>HDBlu7CMR</v>
      </c>
    </row>
    <row r="96" spans="1:14">
      <c r="A96" t="s">
        <v>147</v>
      </c>
      <c r="B96" t="str">
        <f t="shared" si="15"/>
        <v>FD</v>
      </c>
      <c r="C96" t="s">
        <v>57</v>
      </c>
      <c r="D96" t="str">
        <f t="shared" si="16"/>
        <v>VTX</v>
      </c>
      <c r="E96" t="str">
        <f t="shared" si="17"/>
        <v>Vitex</v>
      </c>
      <c r="F96">
        <v>2006</v>
      </c>
      <c r="G96">
        <f t="shared" si="14"/>
        <v>18</v>
      </c>
      <c r="H96">
        <v>57229</v>
      </c>
      <c r="I96" s="1">
        <f t="shared" si="18"/>
        <v>3179.3888888888901</v>
      </c>
      <c r="J96" t="s">
        <v>68</v>
      </c>
      <c r="K96" t="s">
        <v>8</v>
      </c>
      <c r="L96">
        <v>50000</v>
      </c>
      <c r="M96" t="str">
        <f t="shared" si="19"/>
        <v>Y</v>
      </c>
      <c r="N96" t="str">
        <f t="shared" si="20"/>
        <v>FDWhi18VTX</v>
      </c>
    </row>
    <row r="97" spans="1:14">
      <c r="A97" t="s">
        <v>148</v>
      </c>
      <c r="B97" t="str">
        <f t="shared" si="15"/>
        <v>GM</v>
      </c>
      <c r="C97" t="s">
        <v>48</v>
      </c>
      <c r="D97" t="str">
        <f t="shared" si="16"/>
        <v>ECO</v>
      </c>
      <c r="E97" t="str">
        <f t="shared" si="17"/>
        <v>Ecolle</v>
      </c>
      <c r="F97">
        <v>2015</v>
      </c>
      <c r="G97">
        <f t="shared" si="14"/>
        <v>14</v>
      </c>
      <c r="H97">
        <v>57477</v>
      </c>
      <c r="I97" s="1">
        <f t="shared" si="18"/>
        <v>4105.5</v>
      </c>
      <c r="J97" t="s">
        <v>77</v>
      </c>
      <c r="K97" t="s">
        <v>11</v>
      </c>
      <c r="L97">
        <v>50000</v>
      </c>
      <c r="M97" t="str">
        <f t="shared" si="19"/>
        <v>Y</v>
      </c>
      <c r="N97" t="str">
        <f t="shared" si="20"/>
        <v>GMSil14ECO</v>
      </c>
    </row>
    <row r="98" spans="1:14">
      <c r="A98" t="s">
        <v>149</v>
      </c>
      <c r="B98" t="str">
        <f t="shared" ref="B98:B129" si="21">LEFT(A98,2)</f>
        <v>NS</v>
      </c>
      <c r="C98" t="s">
        <v>37</v>
      </c>
      <c r="D98" t="str">
        <f t="shared" si="16"/>
        <v>FCS</v>
      </c>
      <c r="E98" t="str">
        <f t="shared" ref="E98:E129" si="22">VLOOKUP(D98,D$107:E$112,2)</f>
        <v>Focus</v>
      </c>
      <c r="F98">
        <v>2018</v>
      </c>
      <c r="G98">
        <f t="shared" si="14"/>
        <v>13</v>
      </c>
      <c r="H98">
        <v>58398.9</v>
      </c>
      <c r="I98" s="1">
        <f t="shared" ref="I98:I129" si="23">H98/G98</f>
        <v>4492.22307692308</v>
      </c>
      <c r="J98" t="s">
        <v>42</v>
      </c>
      <c r="K98" t="s">
        <v>15</v>
      </c>
      <c r="L98">
        <v>100000</v>
      </c>
      <c r="M98" t="str">
        <f t="shared" ref="M98:M129" si="24">IF(H98&gt;=L98,"Y","Not Covered")</f>
        <v>Not Covered</v>
      </c>
      <c r="N98" t="str">
        <f t="shared" si="20"/>
        <v>NSBlu13FCS</v>
      </c>
    </row>
    <row r="99" spans="1:14">
      <c r="A99" t="s">
        <v>150</v>
      </c>
      <c r="B99" t="str">
        <f t="shared" si="21"/>
        <v>GM</v>
      </c>
      <c r="C99" t="s">
        <v>48</v>
      </c>
      <c r="D99" t="str">
        <f t="shared" si="16"/>
        <v>ECO</v>
      </c>
      <c r="E99" t="str">
        <f t="shared" si="22"/>
        <v>Ecolle</v>
      </c>
      <c r="F99">
        <v>2007</v>
      </c>
      <c r="G99">
        <f t="shared" si="14"/>
        <v>2025</v>
      </c>
      <c r="H99">
        <v>58902.8</v>
      </c>
      <c r="I99" s="1">
        <f t="shared" si="23"/>
        <v>29.087802469135799</v>
      </c>
      <c r="J99" t="s">
        <v>68</v>
      </c>
      <c r="K99" t="s">
        <v>3</v>
      </c>
      <c r="L99">
        <v>100000</v>
      </c>
      <c r="M99" t="str">
        <f t="shared" si="24"/>
        <v>Not Covered</v>
      </c>
      <c r="N99" t="str">
        <f t="shared" si="20"/>
        <v>GMWhi2025ECO</v>
      </c>
    </row>
    <row r="100" spans="1:14">
      <c r="A100" t="s">
        <v>151</v>
      </c>
      <c r="B100" t="str">
        <f t="shared" si="21"/>
        <v>FD</v>
      </c>
      <c r="C100" t="s">
        <v>57</v>
      </c>
      <c r="D100" t="str">
        <f t="shared" si="16"/>
        <v>PRS</v>
      </c>
      <c r="E100" t="str">
        <f t="shared" si="22"/>
        <v>Press</v>
      </c>
      <c r="F100">
        <v>2011</v>
      </c>
      <c r="G100">
        <f t="shared" si="14"/>
        <v>2025</v>
      </c>
      <c r="H100">
        <v>58966.5</v>
      </c>
      <c r="I100" s="1">
        <f t="shared" si="23"/>
        <v>29.119259259259302</v>
      </c>
      <c r="J100" t="s">
        <v>45</v>
      </c>
      <c r="K100" t="s">
        <v>7</v>
      </c>
      <c r="L100">
        <v>50000</v>
      </c>
      <c r="M100" t="str">
        <f t="shared" si="24"/>
        <v>Y</v>
      </c>
      <c r="N100" t="str">
        <f t="shared" si="20"/>
        <v>FDBla2025PRS</v>
      </c>
    </row>
    <row r="101" spans="1:14">
      <c r="A101" t="s">
        <v>152</v>
      </c>
      <c r="B101" t="str">
        <f t="shared" si="21"/>
        <v>HD</v>
      </c>
      <c r="C101" t="s">
        <v>55</v>
      </c>
      <c r="D101" t="str">
        <f t="shared" si="16"/>
        <v>VTX</v>
      </c>
      <c r="E101" t="str">
        <f t="shared" si="22"/>
        <v>Vitex</v>
      </c>
      <c r="F101">
        <v>2012</v>
      </c>
      <c r="G101">
        <f t="shared" si="14"/>
        <v>2025</v>
      </c>
      <c r="H101">
        <v>59136.4</v>
      </c>
      <c r="I101" s="1">
        <f t="shared" si="23"/>
        <v>29.203160493827198</v>
      </c>
      <c r="J101" t="s">
        <v>38</v>
      </c>
      <c r="K101" t="s">
        <v>10</v>
      </c>
      <c r="L101">
        <v>75000</v>
      </c>
      <c r="M101" t="str">
        <f t="shared" si="24"/>
        <v>Not Covered</v>
      </c>
      <c r="N101" t="str">
        <f t="shared" si="20"/>
        <v>HDGra2025VTX</v>
      </c>
    </row>
    <row r="107" spans="1:14">
      <c r="D107" t="s">
        <v>153</v>
      </c>
      <c r="E107" t="s">
        <v>154</v>
      </c>
    </row>
    <row r="108" spans="1:14">
      <c r="D108" t="s">
        <v>155</v>
      </c>
      <c r="E108" t="s">
        <v>156</v>
      </c>
    </row>
    <row r="109" spans="1:14">
      <c r="D109" t="s">
        <v>157</v>
      </c>
      <c r="E109" t="s">
        <v>158</v>
      </c>
    </row>
    <row r="110" spans="1:14">
      <c r="D110" t="s">
        <v>159</v>
      </c>
      <c r="E110" t="s">
        <v>160</v>
      </c>
    </row>
    <row r="111" spans="1:14">
      <c r="D111" t="s">
        <v>161</v>
      </c>
      <c r="E111" t="s">
        <v>162</v>
      </c>
    </row>
    <row r="112" spans="1:14">
      <c r="D112" t="s">
        <v>163</v>
      </c>
      <c r="E112" t="s">
        <v>164</v>
      </c>
    </row>
  </sheetData>
  <sortState xmlns:xlrd2="http://schemas.microsoft.com/office/spreadsheetml/2017/richdata2" ref="A2:N101">
    <sortCondition ref="H2:H101"/>
  </sortState>
  <conditionalFormatting sqref="H1:H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car_data_100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Gifty Appiah</cp:lastModifiedBy>
  <dcterms:created xsi:type="dcterms:W3CDTF">2025-10-26T11:18:02Z</dcterms:created>
  <dcterms:modified xsi:type="dcterms:W3CDTF">2026-03-13T02:10:02Z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2D951955D2934EB1BD240E495DEE8FC6_13</vt:lpwstr>
  </property>
  <property fmtid="{D5CDD505-2E9C-101B-9397-08002B2CF9AE}" pid="3" name="KSOProductBuildVer">
    <vt:lpwstr>2057-12.2.0.23147</vt:lpwstr>
  </property>
</Properties>
</file>