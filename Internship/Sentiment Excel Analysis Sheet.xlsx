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ocuments\Coveda Internship\"/>
    </mc:Choice>
  </mc:AlternateContent>
  <xr:revisionPtr revIDLastSave="0" documentId="13_ncr:1_{8B28CABD-DEBD-4CF2-B81F-18683BE16BB1}" xr6:coauthVersionLast="47" xr6:coauthVersionMax="47" xr10:uidLastSave="{00000000-0000-0000-0000-000000000000}"/>
  <bookViews>
    <workbookView xWindow="-108" yWindow="-108" windowWidth="23256" windowHeight="12456" firstSheet="7" activeTab="10" xr2:uid="{00000000-000D-0000-FFFF-FFFF00000000}"/>
  </bookViews>
  <sheets>
    <sheet name="3) Sentiment dataset" sheetId="1" r:id="rId1"/>
    <sheet name="KPI" sheetId="17" r:id="rId2"/>
    <sheet name="Scenario Summary" sheetId="20" r:id="rId3"/>
    <sheet name="Sensitivity Analysis" sheetId="18" r:id="rId4"/>
    <sheet name="platform_Performance" sheetId="4" r:id="rId5"/>
    <sheet name="Country_Insight" sheetId="5" r:id="rId6"/>
    <sheet name="Month_Based_Trends" sheetId="6" r:id="rId7"/>
    <sheet name="Timeline_Activeness" sheetId="8" r:id="rId8"/>
    <sheet name="Time_of_Day by Platform" sheetId="10" r:id="rId9"/>
    <sheet name="Yearly PlatformEngagement Trend" sheetId="12" r:id="rId10"/>
    <sheet name="Continent Engagement" sheetId="15" r:id="rId11"/>
  </sheets>
  <definedNames>
    <definedName name="_xlnm._FilterDatabase" localSheetId="0" hidden="1">'3) Sentiment dataset'!$A$2:$T$734</definedName>
    <definedName name="_xlcn.WorksheetConnection_3Sentimentdataset.xlsxTable11" hidden="1">Table1[]</definedName>
  </definedNames>
  <calcPr calcId="191029"/>
  <pivotCaches>
    <pivotCache cacheId="0" r:id="rId12"/>
    <pivotCache cacheId="1" r:id="rId13"/>
    <pivotCache cacheId="2" r:id="rId14"/>
    <pivotCache cacheId="3" r:id="rId15"/>
    <pivotCache cacheId="4" r:id="rId16"/>
  </pivotCaches>
  <extLst>
    <ext xmlns:x15="http://schemas.microsoft.com/office/spreadsheetml/2010/11/main" uri="{FCE2AD5D-F65C-4FA6-A056-5C36A1767C68}">
      <x15:dataModel>
        <x15:modelTables>
          <x15:modelTable id="Table1" name="Table1" connection="WorksheetConnection_3) Sentiment dataset.xlsx!Table1"/>
        </x15:modelTables>
      </x15:dataModel>
    </ext>
  </extLst>
</workbook>
</file>

<file path=xl/calcChain.xml><?xml version="1.0" encoding="utf-8"?>
<calcChain xmlns="http://schemas.openxmlformats.org/spreadsheetml/2006/main">
  <c r="X6" i="1" l="1"/>
  <c r="B284" i="18"/>
  <c r="C284" i="18"/>
  <c r="B285" i="18"/>
  <c r="C285" i="18"/>
  <c r="B286" i="18"/>
  <c r="C286" i="18"/>
  <c r="B287" i="18"/>
  <c r="C287" i="18"/>
  <c r="B288" i="18"/>
  <c r="C288" i="18"/>
  <c r="B289" i="18"/>
  <c r="C289" i="18"/>
  <c r="B290" i="18"/>
  <c r="C290" i="18"/>
  <c r="B291" i="18"/>
  <c r="C291" i="18"/>
  <c r="B292" i="18"/>
  <c r="C292" i="18"/>
  <c r="B293" i="18"/>
  <c r="C293" i="18"/>
  <c r="B294" i="18"/>
  <c r="C294" i="18"/>
  <c r="B295" i="18"/>
  <c r="C295" i="18"/>
  <c r="B296" i="18"/>
  <c r="C296" i="18"/>
  <c r="B297" i="18"/>
  <c r="C297" i="18"/>
  <c r="B298" i="18"/>
  <c r="C298" i="18"/>
  <c r="B299" i="18"/>
  <c r="C299" i="18"/>
  <c r="B300" i="18"/>
  <c r="C300" i="18"/>
  <c r="B301" i="18"/>
  <c r="C301" i="18"/>
  <c r="B302" i="18"/>
  <c r="C302" i="18"/>
  <c r="B303" i="18"/>
  <c r="C303" i="18"/>
  <c r="B304" i="18"/>
  <c r="C304" i="18"/>
  <c r="B305" i="18"/>
  <c r="C305" i="18"/>
  <c r="B306" i="18"/>
  <c r="C306" i="18"/>
  <c r="B307" i="18"/>
  <c r="C307" i="18"/>
  <c r="B308" i="18"/>
  <c r="C308" i="18"/>
  <c r="B309" i="18"/>
  <c r="C309" i="18"/>
  <c r="B310" i="18"/>
  <c r="C310" i="18"/>
  <c r="B311" i="18"/>
  <c r="C311" i="18"/>
  <c r="B312" i="18"/>
  <c r="C312" i="18"/>
  <c r="B313" i="18"/>
  <c r="C313" i="18"/>
  <c r="B314" i="18"/>
  <c r="C314" i="18"/>
  <c r="B315" i="18"/>
  <c r="C315" i="18"/>
  <c r="B316" i="18"/>
  <c r="C316" i="18"/>
  <c r="B317" i="18"/>
  <c r="C317" i="18"/>
  <c r="B318" i="18"/>
  <c r="C318" i="18"/>
  <c r="B319" i="18"/>
  <c r="C319" i="18"/>
  <c r="B320" i="18"/>
  <c r="C320" i="18"/>
  <c r="B321" i="18"/>
  <c r="C321" i="18"/>
  <c r="B322" i="18"/>
  <c r="C322" i="18"/>
  <c r="B323" i="18"/>
  <c r="C323" i="18"/>
  <c r="B324" i="18"/>
  <c r="C324" i="18"/>
  <c r="B325" i="18"/>
  <c r="C325" i="18"/>
  <c r="B326" i="18"/>
  <c r="C326" i="18"/>
  <c r="B327" i="18"/>
  <c r="C327" i="18"/>
  <c r="B328" i="18"/>
  <c r="C328" i="18"/>
  <c r="B329" i="18"/>
  <c r="C329" i="18"/>
  <c r="B330" i="18"/>
  <c r="C330" i="18"/>
  <c r="B331" i="18"/>
  <c r="C331" i="18"/>
  <c r="B332" i="18"/>
  <c r="C332" i="18"/>
  <c r="B333" i="18"/>
  <c r="C333" i="18"/>
  <c r="B334" i="18"/>
  <c r="C334" i="18"/>
  <c r="B335" i="18"/>
  <c r="C335" i="18"/>
  <c r="B336" i="18"/>
  <c r="C336" i="18"/>
  <c r="B337" i="18"/>
  <c r="C337" i="18"/>
  <c r="B338" i="18"/>
  <c r="C338" i="18"/>
  <c r="B339" i="18"/>
  <c r="C339" i="18"/>
  <c r="B340" i="18"/>
  <c r="C340" i="18"/>
  <c r="B341" i="18"/>
  <c r="C341" i="18"/>
  <c r="B342" i="18"/>
  <c r="C342" i="18"/>
  <c r="B343" i="18"/>
  <c r="C343" i="18"/>
  <c r="B344" i="18"/>
  <c r="C344" i="18"/>
  <c r="B345" i="18"/>
  <c r="C345" i="18"/>
  <c r="B346" i="18"/>
  <c r="C346" i="18"/>
  <c r="B347" i="18"/>
  <c r="C347" i="18"/>
  <c r="B348" i="18"/>
  <c r="C348" i="18"/>
  <c r="B349" i="18"/>
  <c r="C349" i="18"/>
  <c r="B350" i="18"/>
  <c r="C350" i="18"/>
  <c r="B351" i="18"/>
  <c r="C351" i="18"/>
  <c r="B352" i="18"/>
  <c r="C352" i="18"/>
  <c r="B353" i="18"/>
  <c r="C353" i="18"/>
  <c r="B354" i="18"/>
  <c r="C354" i="18"/>
  <c r="B355" i="18"/>
  <c r="C355" i="18"/>
  <c r="B356" i="18"/>
  <c r="C356" i="18"/>
  <c r="B357" i="18"/>
  <c r="C357" i="18"/>
  <c r="B358" i="18"/>
  <c r="C358" i="18"/>
  <c r="B359" i="18"/>
  <c r="C359" i="18"/>
  <c r="B360" i="18"/>
  <c r="C360" i="18"/>
  <c r="B361" i="18"/>
  <c r="C361" i="18"/>
  <c r="B362" i="18"/>
  <c r="C362" i="18"/>
  <c r="B363" i="18"/>
  <c r="C363" i="18"/>
  <c r="B364" i="18"/>
  <c r="C364" i="18"/>
  <c r="B365" i="18"/>
  <c r="C365" i="18"/>
  <c r="B366" i="18"/>
  <c r="C366" i="18"/>
  <c r="B367" i="18"/>
  <c r="C367" i="18"/>
  <c r="B368" i="18"/>
  <c r="C368" i="18"/>
  <c r="B369" i="18"/>
  <c r="C369" i="18"/>
  <c r="B370" i="18"/>
  <c r="C370" i="18"/>
  <c r="B371" i="18"/>
  <c r="C371" i="18"/>
  <c r="B372" i="18"/>
  <c r="C372" i="18"/>
  <c r="B373" i="18"/>
  <c r="C373" i="18"/>
  <c r="B374" i="18"/>
  <c r="C374" i="18"/>
  <c r="B375" i="18"/>
  <c r="C375" i="18"/>
  <c r="B376" i="18"/>
  <c r="C376" i="18"/>
  <c r="B377" i="18"/>
  <c r="C377" i="18"/>
  <c r="B378" i="18"/>
  <c r="C378" i="18"/>
  <c r="B379" i="18"/>
  <c r="C379" i="18"/>
  <c r="B380" i="18"/>
  <c r="C380" i="18"/>
  <c r="B381" i="18"/>
  <c r="C381" i="18"/>
  <c r="B382" i="18"/>
  <c r="C382" i="18"/>
  <c r="B383" i="18"/>
  <c r="C383" i="18"/>
  <c r="B384" i="18"/>
  <c r="C384" i="18"/>
  <c r="B385" i="18"/>
  <c r="C385" i="18"/>
  <c r="B386" i="18"/>
  <c r="C386" i="18"/>
  <c r="B387" i="18"/>
  <c r="C387" i="18"/>
  <c r="B388" i="18"/>
  <c r="C388" i="18"/>
  <c r="B389" i="18"/>
  <c r="C389" i="18"/>
  <c r="B390" i="18"/>
  <c r="C390" i="18"/>
  <c r="B391" i="18"/>
  <c r="C391" i="18"/>
  <c r="B392" i="18"/>
  <c r="C392" i="18"/>
  <c r="B393" i="18"/>
  <c r="C393" i="18"/>
  <c r="B394" i="18"/>
  <c r="C394" i="18"/>
  <c r="B395" i="18"/>
  <c r="C395" i="18"/>
  <c r="B396" i="18"/>
  <c r="C396" i="18"/>
  <c r="B397" i="18"/>
  <c r="C397" i="18"/>
  <c r="B398" i="18"/>
  <c r="C398" i="18"/>
  <c r="B399" i="18"/>
  <c r="C399" i="18"/>
  <c r="B400" i="18"/>
  <c r="C400" i="18"/>
  <c r="B401" i="18"/>
  <c r="C401" i="18"/>
  <c r="B402" i="18"/>
  <c r="C402" i="18"/>
  <c r="B403" i="18"/>
  <c r="C403" i="18"/>
  <c r="B404" i="18"/>
  <c r="C404" i="18"/>
  <c r="B405" i="18"/>
  <c r="C405" i="18"/>
  <c r="B406" i="18"/>
  <c r="C406" i="18"/>
  <c r="B407" i="18"/>
  <c r="C407" i="18"/>
  <c r="B408" i="18"/>
  <c r="C408" i="18"/>
  <c r="B409" i="18"/>
  <c r="C409" i="18"/>
  <c r="B410" i="18"/>
  <c r="C410" i="18"/>
  <c r="B411" i="18"/>
  <c r="C411" i="18"/>
  <c r="B412" i="18"/>
  <c r="C412" i="18"/>
  <c r="B413" i="18"/>
  <c r="C413" i="18"/>
  <c r="B414" i="18"/>
  <c r="C414" i="18"/>
  <c r="B415" i="18"/>
  <c r="C415" i="18"/>
  <c r="B416" i="18"/>
  <c r="C416" i="18"/>
  <c r="B417" i="18"/>
  <c r="C417" i="18"/>
  <c r="B418" i="18"/>
  <c r="C418" i="18"/>
  <c r="B419" i="18"/>
  <c r="C419" i="18"/>
  <c r="B420" i="18"/>
  <c r="C420" i="18"/>
  <c r="B421" i="18"/>
  <c r="C421" i="18"/>
  <c r="B422" i="18"/>
  <c r="C422" i="18"/>
  <c r="B423" i="18"/>
  <c r="C423" i="18"/>
  <c r="B424" i="18"/>
  <c r="C424" i="18"/>
  <c r="B425" i="18"/>
  <c r="C425" i="18"/>
  <c r="B426" i="18"/>
  <c r="C426" i="18"/>
  <c r="B427" i="18"/>
  <c r="C427" i="18"/>
  <c r="B428" i="18"/>
  <c r="C428" i="18"/>
  <c r="B429" i="18"/>
  <c r="C429" i="18"/>
  <c r="B430" i="18"/>
  <c r="C430" i="18"/>
  <c r="B431" i="18"/>
  <c r="C431" i="18"/>
  <c r="B432" i="18"/>
  <c r="C432" i="18"/>
  <c r="B433" i="18"/>
  <c r="C433" i="18"/>
  <c r="B434" i="18"/>
  <c r="C434" i="18"/>
  <c r="B435" i="18"/>
  <c r="C435" i="18"/>
  <c r="B436" i="18"/>
  <c r="C436" i="18"/>
  <c r="B437" i="18"/>
  <c r="C437" i="18"/>
  <c r="B438" i="18"/>
  <c r="C438" i="18"/>
  <c r="B439" i="18"/>
  <c r="C439" i="18"/>
  <c r="B440" i="18"/>
  <c r="C440" i="18"/>
  <c r="B441" i="18"/>
  <c r="C441" i="18"/>
  <c r="B442" i="18"/>
  <c r="C442" i="18"/>
  <c r="B443" i="18"/>
  <c r="C443" i="18"/>
  <c r="B444" i="18"/>
  <c r="C444" i="18"/>
  <c r="B445" i="18"/>
  <c r="C445" i="18"/>
  <c r="B446" i="18"/>
  <c r="C446" i="18"/>
  <c r="B447" i="18"/>
  <c r="C447" i="18"/>
  <c r="B448" i="18"/>
  <c r="C448" i="18"/>
  <c r="B449" i="18"/>
  <c r="C449" i="18"/>
  <c r="B450" i="18"/>
  <c r="C450" i="18"/>
  <c r="B451" i="18"/>
  <c r="C451" i="18"/>
  <c r="B452" i="18"/>
  <c r="C452" i="18"/>
  <c r="B453" i="18"/>
  <c r="C453" i="18"/>
  <c r="B454" i="18"/>
  <c r="C454" i="18"/>
  <c r="B455" i="18"/>
  <c r="C455" i="18"/>
  <c r="B456" i="18"/>
  <c r="C456" i="18"/>
  <c r="B457" i="18"/>
  <c r="C457" i="18"/>
  <c r="B458" i="18"/>
  <c r="C458" i="18"/>
  <c r="B459" i="18"/>
  <c r="C459" i="18"/>
  <c r="B460" i="18"/>
  <c r="C460" i="18"/>
  <c r="B461" i="18"/>
  <c r="C461" i="18"/>
  <c r="B462" i="18"/>
  <c r="C462" i="18"/>
  <c r="B463" i="18"/>
  <c r="C463" i="18"/>
  <c r="B464" i="18"/>
  <c r="C464" i="18"/>
  <c r="B465" i="18"/>
  <c r="C465" i="18"/>
  <c r="B466" i="18"/>
  <c r="C466" i="18"/>
  <c r="B467" i="18"/>
  <c r="C467" i="18"/>
  <c r="B468" i="18"/>
  <c r="C468" i="18"/>
  <c r="B469" i="18"/>
  <c r="C469" i="18"/>
  <c r="B470" i="18"/>
  <c r="C470" i="18"/>
  <c r="B471" i="18"/>
  <c r="C471" i="18"/>
  <c r="B472" i="18"/>
  <c r="C472" i="18"/>
  <c r="B473" i="18"/>
  <c r="C473" i="18"/>
  <c r="B474" i="18"/>
  <c r="C474" i="18"/>
  <c r="B475" i="18"/>
  <c r="C475" i="18"/>
  <c r="B476" i="18"/>
  <c r="C476" i="18"/>
  <c r="B477" i="18"/>
  <c r="C477" i="18"/>
  <c r="B478" i="18"/>
  <c r="C478" i="18"/>
  <c r="B479" i="18"/>
  <c r="C479" i="18"/>
  <c r="B480" i="18"/>
  <c r="C480" i="18"/>
  <c r="B481" i="18"/>
  <c r="C481" i="18"/>
  <c r="B482" i="18"/>
  <c r="C482" i="18"/>
  <c r="B483" i="18"/>
  <c r="C483" i="18"/>
  <c r="B484" i="18"/>
  <c r="C484" i="18"/>
  <c r="B485" i="18"/>
  <c r="C485" i="18"/>
  <c r="B486" i="18"/>
  <c r="C486" i="18"/>
  <c r="B487" i="18"/>
  <c r="C487" i="18"/>
  <c r="B488" i="18"/>
  <c r="C488" i="18"/>
  <c r="B489" i="18"/>
  <c r="C489" i="18"/>
  <c r="B490" i="18"/>
  <c r="C490" i="18"/>
  <c r="B491" i="18"/>
  <c r="C491" i="18"/>
  <c r="B492" i="18"/>
  <c r="C492" i="18"/>
  <c r="B493" i="18"/>
  <c r="C493" i="18"/>
  <c r="B494" i="18"/>
  <c r="C494" i="18"/>
  <c r="B495" i="18"/>
  <c r="C495" i="18"/>
  <c r="B496" i="18"/>
  <c r="C496" i="18"/>
  <c r="B497" i="18"/>
  <c r="C497" i="18"/>
  <c r="B498" i="18"/>
  <c r="C498" i="18"/>
  <c r="B499" i="18"/>
  <c r="C499" i="18"/>
  <c r="B500" i="18"/>
  <c r="C500" i="18"/>
  <c r="B501" i="18"/>
  <c r="C501" i="18"/>
  <c r="B502" i="18"/>
  <c r="C502" i="18"/>
  <c r="B503" i="18"/>
  <c r="C503" i="18"/>
  <c r="B504" i="18"/>
  <c r="C504" i="18"/>
  <c r="B505" i="18"/>
  <c r="C505" i="18"/>
  <c r="B506" i="18"/>
  <c r="C506" i="18"/>
  <c r="B507" i="18"/>
  <c r="C507" i="18"/>
  <c r="B508" i="18"/>
  <c r="C508" i="18"/>
  <c r="B509" i="18"/>
  <c r="C509" i="18"/>
  <c r="B510" i="18"/>
  <c r="C510" i="18"/>
  <c r="B511" i="18"/>
  <c r="C511" i="18"/>
  <c r="B512" i="18"/>
  <c r="C512" i="18"/>
  <c r="B513" i="18"/>
  <c r="C513" i="18"/>
  <c r="B514" i="18"/>
  <c r="C514" i="18"/>
  <c r="B515" i="18"/>
  <c r="C515" i="18"/>
  <c r="B516" i="18"/>
  <c r="C516" i="18"/>
  <c r="B517" i="18"/>
  <c r="C517" i="18"/>
  <c r="B518" i="18"/>
  <c r="C518" i="18"/>
  <c r="B519" i="18"/>
  <c r="C519" i="18"/>
  <c r="B520" i="18"/>
  <c r="C520" i="18"/>
  <c r="B521" i="18"/>
  <c r="C521" i="18"/>
  <c r="B522" i="18"/>
  <c r="C522" i="18"/>
  <c r="B523" i="18"/>
  <c r="C523" i="18"/>
  <c r="B524" i="18"/>
  <c r="C524" i="18"/>
  <c r="B525" i="18"/>
  <c r="C525" i="18"/>
  <c r="B526" i="18"/>
  <c r="C526" i="18"/>
  <c r="B527" i="18"/>
  <c r="C527" i="18"/>
  <c r="B528" i="18"/>
  <c r="C528" i="18"/>
  <c r="B529" i="18"/>
  <c r="C529" i="18"/>
  <c r="B530" i="18"/>
  <c r="C530" i="18"/>
  <c r="B531" i="18"/>
  <c r="C531" i="18"/>
  <c r="B532" i="18"/>
  <c r="C532" i="18"/>
  <c r="B533" i="18"/>
  <c r="C533" i="18"/>
  <c r="B534" i="18"/>
  <c r="C534" i="18"/>
  <c r="B535" i="18"/>
  <c r="C535" i="18"/>
  <c r="B536" i="18"/>
  <c r="C536" i="18"/>
  <c r="B537" i="18"/>
  <c r="C537" i="18"/>
  <c r="B538" i="18"/>
  <c r="C538" i="18"/>
  <c r="B539" i="18"/>
  <c r="C539" i="18"/>
  <c r="B540" i="18"/>
  <c r="C540" i="18"/>
  <c r="B541" i="18"/>
  <c r="C541" i="18"/>
  <c r="B542" i="18"/>
  <c r="C542" i="18"/>
  <c r="B543" i="18"/>
  <c r="C543" i="18"/>
  <c r="B544" i="18"/>
  <c r="C544" i="18"/>
  <c r="B545" i="18"/>
  <c r="C545" i="18"/>
  <c r="B546" i="18"/>
  <c r="C546" i="18"/>
  <c r="B547" i="18"/>
  <c r="C547" i="18"/>
  <c r="B548" i="18"/>
  <c r="C548" i="18"/>
  <c r="B549" i="18"/>
  <c r="C549" i="18"/>
  <c r="B550" i="18"/>
  <c r="C550" i="18"/>
  <c r="B551" i="18"/>
  <c r="C551" i="18"/>
  <c r="B552" i="18"/>
  <c r="C552" i="18"/>
  <c r="B553" i="18"/>
  <c r="C553" i="18"/>
  <c r="B554" i="18"/>
  <c r="C554" i="18"/>
  <c r="B555" i="18"/>
  <c r="C555" i="18"/>
  <c r="B556" i="18"/>
  <c r="C556" i="18"/>
  <c r="B557" i="18"/>
  <c r="C557" i="18"/>
  <c r="B558" i="18"/>
  <c r="C558" i="18"/>
  <c r="B559" i="18"/>
  <c r="C559" i="18"/>
  <c r="B560" i="18"/>
  <c r="C560" i="18"/>
  <c r="B561" i="18"/>
  <c r="C561" i="18"/>
  <c r="B562" i="18"/>
  <c r="C562" i="18"/>
  <c r="B563" i="18"/>
  <c r="C563" i="18"/>
  <c r="B564" i="18"/>
  <c r="C564" i="18"/>
  <c r="B565" i="18"/>
  <c r="C565" i="18"/>
  <c r="B566" i="18"/>
  <c r="C566" i="18"/>
  <c r="B567" i="18"/>
  <c r="C567" i="18"/>
  <c r="B568" i="18"/>
  <c r="C568" i="18"/>
  <c r="B569" i="18"/>
  <c r="C569" i="18"/>
  <c r="B570" i="18"/>
  <c r="C570" i="18"/>
  <c r="B571" i="18"/>
  <c r="C571" i="18"/>
  <c r="B572" i="18"/>
  <c r="C572" i="18"/>
  <c r="B573" i="18"/>
  <c r="C573" i="18"/>
  <c r="B574" i="18"/>
  <c r="C574" i="18"/>
  <c r="B575" i="18"/>
  <c r="C575" i="18"/>
  <c r="B576" i="18"/>
  <c r="C576" i="18"/>
  <c r="B577" i="18"/>
  <c r="C577" i="18"/>
  <c r="B578" i="18"/>
  <c r="C578" i="18"/>
  <c r="B579" i="18"/>
  <c r="C579" i="18"/>
  <c r="B580" i="18"/>
  <c r="C580" i="18"/>
  <c r="B581" i="18"/>
  <c r="C581" i="18"/>
  <c r="B582" i="18"/>
  <c r="C582" i="18"/>
  <c r="B583" i="18"/>
  <c r="C583" i="18"/>
  <c r="B584" i="18"/>
  <c r="C584" i="18"/>
  <c r="B585" i="18"/>
  <c r="C585" i="18"/>
  <c r="B586" i="18"/>
  <c r="C586" i="18"/>
  <c r="B587" i="18"/>
  <c r="C587" i="18"/>
  <c r="B588" i="18"/>
  <c r="C588" i="18"/>
  <c r="B589" i="18"/>
  <c r="C589" i="18"/>
  <c r="B590" i="18"/>
  <c r="C590" i="18"/>
  <c r="B591" i="18"/>
  <c r="C591" i="18"/>
  <c r="B592" i="18"/>
  <c r="C592" i="18"/>
  <c r="B593" i="18"/>
  <c r="C593" i="18"/>
  <c r="B594" i="18"/>
  <c r="C594" i="18"/>
  <c r="B595" i="18"/>
  <c r="C595" i="18"/>
  <c r="B596" i="18"/>
  <c r="C596" i="18"/>
  <c r="B597" i="18"/>
  <c r="C597" i="18"/>
  <c r="B598" i="18"/>
  <c r="C598" i="18"/>
  <c r="B599" i="18"/>
  <c r="C599" i="18"/>
  <c r="B600" i="18"/>
  <c r="C600" i="18"/>
  <c r="B601" i="18"/>
  <c r="C601" i="18"/>
  <c r="B602" i="18"/>
  <c r="C602" i="18"/>
  <c r="B603" i="18"/>
  <c r="C603" i="18"/>
  <c r="B604" i="18"/>
  <c r="C604" i="18"/>
  <c r="B605" i="18"/>
  <c r="C605" i="18"/>
  <c r="B606" i="18"/>
  <c r="C606" i="18"/>
  <c r="B607" i="18"/>
  <c r="C607" i="18"/>
  <c r="B608" i="18"/>
  <c r="C608" i="18"/>
  <c r="B609" i="18"/>
  <c r="C609" i="18"/>
  <c r="B610" i="18"/>
  <c r="C610" i="18"/>
  <c r="B611" i="18"/>
  <c r="C611" i="18"/>
  <c r="B612" i="18"/>
  <c r="C612" i="18"/>
  <c r="B613" i="18"/>
  <c r="C613" i="18"/>
  <c r="B614" i="18"/>
  <c r="C614" i="18"/>
  <c r="B615" i="18"/>
  <c r="C615" i="18"/>
  <c r="B616" i="18"/>
  <c r="C616" i="18"/>
  <c r="B617" i="18"/>
  <c r="C617" i="18"/>
  <c r="B618" i="18"/>
  <c r="C618" i="18"/>
  <c r="B619" i="18"/>
  <c r="C619" i="18"/>
  <c r="B620" i="18"/>
  <c r="C620" i="18"/>
  <c r="B621" i="18"/>
  <c r="C621" i="18"/>
  <c r="B622" i="18"/>
  <c r="C622" i="18"/>
  <c r="B623" i="18"/>
  <c r="C623" i="18"/>
  <c r="B624" i="18"/>
  <c r="C624" i="18"/>
  <c r="B625" i="18"/>
  <c r="C625" i="18"/>
  <c r="B626" i="18"/>
  <c r="C626" i="18"/>
  <c r="B627" i="18"/>
  <c r="C627" i="18"/>
  <c r="B628" i="18"/>
  <c r="C628" i="18"/>
  <c r="B629" i="18"/>
  <c r="C629" i="18"/>
  <c r="B630" i="18"/>
  <c r="C630" i="18"/>
  <c r="B631" i="18"/>
  <c r="C631" i="18"/>
  <c r="B632" i="18"/>
  <c r="C632" i="18"/>
  <c r="B633" i="18"/>
  <c r="C633" i="18"/>
  <c r="B634" i="18"/>
  <c r="C634" i="18"/>
  <c r="B635" i="18"/>
  <c r="C635" i="18"/>
  <c r="B636" i="18"/>
  <c r="C636" i="18"/>
  <c r="B637" i="18"/>
  <c r="C637" i="18"/>
  <c r="B638" i="18"/>
  <c r="C638" i="18"/>
  <c r="B639" i="18"/>
  <c r="C639" i="18"/>
  <c r="B640" i="18"/>
  <c r="C640" i="18"/>
  <c r="B641" i="18"/>
  <c r="C641" i="18"/>
  <c r="B642" i="18"/>
  <c r="C642" i="18"/>
  <c r="B643" i="18"/>
  <c r="C643" i="18"/>
  <c r="B644" i="18"/>
  <c r="C644" i="18"/>
  <c r="B645" i="18"/>
  <c r="C645" i="18"/>
  <c r="B646" i="18"/>
  <c r="C646" i="18"/>
  <c r="B647" i="18"/>
  <c r="C647" i="18"/>
  <c r="B648" i="18"/>
  <c r="C648" i="18"/>
  <c r="B649" i="18"/>
  <c r="C649" i="18"/>
  <c r="B650" i="18"/>
  <c r="C650" i="18"/>
  <c r="B651" i="18"/>
  <c r="C651" i="18"/>
  <c r="B652" i="18"/>
  <c r="C652" i="18"/>
  <c r="B653" i="18"/>
  <c r="C653" i="18"/>
  <c r="B654" i="18"/>
  <c r="C654" i="18"/>
  <c r="B655" i="18"/>
  <c r="C655" i="18"/>
  <c r="B656" i="18"/>
  <c r="C656" i="18"/>
  <c r="B657" i="18"/>
  <c r="C657" i="18"/>
  <c r="B658" i="18"/>
  <c r="C658" i="18"/>
  <c r="B659" i="18"/>
  <c r="C659" i="18"/>
  <c r="B660" i="18"/>
  <c r="C660" i="18"/>
  <c r="B661" i="18"/>
  <c r="C661" i="18"/>
  <c r="B662" i="18"/>
  <c r="C662" i="18"/>
  <c r="B663" i="18"/>
  <c r="C663" i="18"/>
  <c r="B664" i="18"/>
  <c r="C664" i="18"/>
  <c r="B665" i="18"/>
  <c r="C665" i="18"/>
  <c r="B666" i="18"/>
  <c r="C666" i="18"/>
  <c r="B667" i="18"/>
  <c r="C667" i="18"/>
  <c r="B668" i="18"/>
  <c r="C668" i="18"/>
  <c r="B669" i="18"/>
  <c r="C669" i="18"/>
  <c r="B670" i="18"/>
  <c r="C670" i="18"/>
  <c r="B671" i="18"/>
  <c r="C671" i="18"/>
  <c r="B672" i="18"/>
  <c r="C672" i="18"/>
  <c r="B673" i="18"/>
  <c r="C673" i="18"/>
  <c r="B674" i="18"/>
  <c r="C674" i="18"/>
  <c r="B675" i="18"/>
  <c r="C675" i="18"/>
  <c r="B676" i="18"/>
  <c r="C676" i="18"/>
  <c r="B677" i="18"/>
  <c r="C677" i="18"/>
  <c r="B678" i="18"/>
  <c r="C678" i="18"/>
  <c r="B679" i="18"/>
  <c r="C679" i="18"/>
  <c r="B680" i="18"/>
  <c r="C680" i="18"/>
  <c r="B681" i="18"/>
  <c r="C681" i="18"/>
  <c r="B682" i="18"/>
  <c r="C682" i="18"/>
  <c r="B683" i="18"/>
  <c r="C683" i="18"/>
  <c r="B684" i="18"/>
  <c r="C684" i="18"/>
  <c r="B685" i="18"/>
  <c r="C685" i="18"/>
  <c r="B686" i="18"/>
  <c r="C686" i="18"/>
  <c r="B687" i="18"/>
  <c r="C687" i="18"/>
  <c r="B688" i="18"/>
  <c r="C688" i="18"/>
  <c r="B689" i="18"/>
  <c r="C689" i="18"/>
  <c r="B690" i="18"/>
  <c r="C690" i="18"/>
  <c r="B691" i="18"/>
  <c r="C691" i="18"/>
  <c r="B692" i="18"/>
  <c r="C692" i="18"/>
  <c r="B693" i="18"/>
  <c r="C693" i="18"/>
  <c r="B694" i="18"/>
  <c r="C694" i="18"/>
  <c r="B695" i="18"/>
  <c r="C695" i="18"/>
  <c r="B696" i="18"/>
  <c r="C696" i="18"/>
  <c r="B697" i="18"/>
  <c r="C697" i="18"/>
  <c r="B698" i="18"/>
  <c r="C698" i="18"/>
  <c r="B699" i="18"/>
  <c r="C699" i="18"/>
  <c r="B700" i="18"/>
  <c r="C700" i="18"/>
  <c r="B701" i="18"/>
  <c r="C701" i="18"/>
  <c r="B702" i="18"/>
  <c r="C702" i="18"/>
  <c r="B703" i="18"/>
  <c r="C703" i="18"/>
  <c r="B704" i="18"/>
  <c r="C704" i="18"/>
  <c r="B705" i="18"/>
  <c r="C705" i="18"/>
  <c r="B706" i="18"/>
  <c r="C706" i="18"/>
  <c r="B707" i="18"/>
  <c r="C707" i="18"/>
  <c r="B708" i="18"/>
  <c r="C708" i="18"/>
  <c r="B709" i="18"/>
  <c r="C709" i="18"/>
  <c r="B710" i="18"/>
  <c r="C710" i="18"/>
  <c r="B711" i="18"/>
  <c r="C711" i="18"/>
  <c r="B712" i="18"/>
  <c r="C712" i="18"/>
  <c r="B713" i="18"/>
  <c r="C713" i="18"/>
  <c r="B714" i="18"/>
  <c r="C714" i="18"/>
  <c r="B715" i="18"/>
  <c r="C715" i="18"/>
  <c r="B716" i="18"/>
  <c r="C716" i="18"/>
  <c r="B717" i="18"/>
  <c r="C717" i="18"/>
  <c r="B718" i="18"/>
  <c r="C718" i="18"/>
  <c r="B719" i="18"/>
  <c r="C719" i="18"/>
  <c r="B720" i="18"/>
  <c r="C720" i="18"/>
  <c r="B721" i="18"/>
  <c r="C721" i="18"/>
  <c r="B722" i="18"/>
  <c r="C722" i="18"/>
  <c r="B723" i="18"/>
  <c r="C723" i="18"/>
  <c r="B724" i="18"/>
  <c r="C724" i="18"/>
  <c r="B725" i="18"/>
  <c r="C725" i="18"/>
  <c r="B726" i="18"/>
  <c r="C726" i="18"/>
  <c r="B727" i="18"/>
  <c r="C727" i="18"/>
  <c r="B728" i="18"/>
  <c r="C728" i="18"/>
  <c r="B729" i="18"/>
  <c r="C729" i="18"/>
  <c r="B730" i="18"/>
  <c r="C730" i="18"/>
  <c r="B731" i="18"/>
  <c r="C731" i="18"/>
  <c r="B732" i="18"/>
  <c r="C732" i="18"/>
  <c r="B733" i="18"/>
  <c r="C733" i="18"/>
  <c r="B734" i="18"/>
  <c r="C734" i="18"/>
  <c r="B735" i="18"/>
  <c r="C735" i="18"/>
  <c r="B736" i="18"/>
  <c r="C736" i="18"/>
  <c r="B737" i="18"/>
  <c r="C737" i="18"/>
  <c r="B738" i="18"/>
  <c r="C738" i="18"/>
  <c r="B739" i="18"/>
  <c r="C739" i="18"/>
  <c r="B740" i="18"/>
  <c r="C740" i="18"/>
  <c r="B741" i="18"/>
  <c r="C741" i="18"/>
  <c r="B742" i="18"/>
  <c r="C742" i="18"/>
  <c r="B743" i="18"/>
  <c r="C743" i="18"/>
  <c r="B744" i="18"/>
  <c r="C744" i="18"/>
  <c r="B745" i="18"/>
  <c r="C745" i="18"/>
  <c r="B746" i="18"/>
  <c r="C746" i="18"/>
  <c r="B747" i="18"/>
  <c r="C747" i="18"/>
  <c r="B748" i="18"/>
  <c r="C748" i="18"/>
  <c r="B749" i="18"/>
  <c r="C749" i="18"/>
  <c r="B750" i="18"/>
  <c r="C750" i="18"/>
  <c r="B751" i="18"/>
  <c r="C751" i="18"/>
  <c r="B752" i="18"/>
  <c r="C752" i="18"/>
  <c r="B753" i="18"/>
  <c r="C753" i="18"/>
  <c r="B754" i="18"/>
  <c r="C754" i="18"/>
  <c r="B755" i="18"/>
  <c r="C755" i="18"/>
  <c r="B756" i="18"/>
  <c r="C756" i="18"/>
  <c r="B757" i="18"/>
  <c r="C757" i="18"/>
  <c r="B758" i="18"/>
  <c r="C758" i="18"/>
  <c r="B759" i="18"/>
  <c r="C759" i="18"/>
  <c r="B760" i="18"/>
  <c r="C760" i="18"/>
  <c r="B761" i="18"/>
  <c r="C761" i="18"/>
  <c r="B762" i="18"/>
  <c r="C762" i="18"/>
  <c r="B763" i="18"/>
  <c r="C763" i="18"/>
  <c r="B764" i="18"/>
  <c r="C764" i="18"/>
  <c r="B765" i="18"/>
  <c r="C765" i="18"/>
  <c r="B766" i="18"/>
  <c r="C766" i="18"/>
  <c r="B767" i="18"/>
  <c r="C767" i="18"/>
  <c r="B768" i="18"/>
  <c r="C768" i="18"/>
  <c r="B769" i="18"/>
  <c r="C769" i="18"/>
  <c r="B770" i="18"/>
  <c r="C770" i="18"/>
  <c r="B771" i="18"/>
  <c r="C771" i="18"/>
  <c r="B772" i="18"/>
  <c r="C772" i="18"/>
  <c r="B773" i="18"/>
  <c r="C773" i="18"/>
  <c r="B774" i="18"/>
  <c r="C774" i="18"/>
  <c r="B775" i="18"/>
  <c r="C775" i="18"/>
  <c r="B776" i="18"/>
  <c r="C776" i="18"/>
  <c r="B777" i="18"/>
  <c r="C777" i="18"/>
  <c r="B778" i="18"/>
  <c r="C778" i="18"/>
  <c r="B779" i="18"/>
  <c r="C779" i="18"/>
  <c r="B780" i="18"/>
  <c r="C780" i="18"/>
  <c r="B781" i="18"/>
  <c r="C781" i="18"/>
  <c r="B782" i="18"/>
  <c r="C782" i="18"/>
  <c r="B783" i="18"/>
  <c r="C783" i="18"/>
  <c r="B784" i="18"/>
  <c r="C784" i="18"/>
  <c r="B785" i="18"/>
  <c r="C785" i="18"/>
  <c r="B786" i="18"/>
  <c r="C786" i="18"/>
  <c r="B787" i="18"/>
  <c r="C787" i="18"/>
  <c r="B788" i="18"/>
  <c r="C788" i="18"/>
  <c r="B789" i="18"/>
  <c r="C789" i="18"/>
  <c r="B790" i="18"/>
  <c r="C790" i="18"/>
  <c r="B791" i="18"/>
  <c r="C791" i="18"/>
  <c r="B792" i="18"/>
  <c r="C792" i="18"/>
  <c r="B793" i="18"/>
  <c r="C793" i="18"/>
  <c r="B794" i="18"/>
  <c r="C794" i="18"/>
  <c r="B795" i="18"/>
  <c r="C795" i="18"/>
  <c r="B796" i="18"/>
  <c r="C796" i="18"/>
  <c r="B797" i="18"/>
  <c r="C797" i="18"/>
  <c r="B798" i="18"/>
  <c r="C798" i="18"/>
  <c r="B799" i="18"/>
  <c r="C799" i="18"/>
  <c r="B800" i="18"/>
  <c r="C800" i="18"/>
  <c r="B801" i="18"/>
  <c r="C801" i="18"/>
  <c r="B802" i="18"/>
  <c r="C802" i="18"/>
  <c r="B803" i="18"/>
  <c r="C803" i="18"/>
  <c r="B804" i="18"/>
  <c r="C804" i="18"/>
  <c r="B805" i="18"/>
  <c r="C805" i="18"/>
  <c r="B806" i="18"/>
  <c r="C806" i="18"/>
  <c r="B807" i="18"/>
  <c r="C807" i="18"/>
  <c r="B808" i="18"/>
  <c r="C808" i="18"/>
  <c r="B809" i="18"/>
  <c r="C809" i="18"/>
  <c r="B810" i="18"/>
  <c r="C810" i="18"/>
  <c r="B811" i="18"/>
  <c r="C811" i="18"/>
  <c r="B812" i="18"/>
  <c r="C812" i="18"/>
  <c r="B813" i="18"/>
  <c r="C813" i="18"/>
  <c r="B814" i="18"/>
  <c r="C814" i="18"/>
  <c r="B815" i="18"/>
  <c r="C815" i="18"/>
  <c r="B816" i="18"/>
  <c r="C816" i="18"/>
  <c r="B817" i="18"/>
  <c r="C817" i="18"/>
  <c r="B818" i="18"/>
  <c r="C818" i="18"/>
  <c r="B819" i="18"/>
  <c r="C819" i="18"/>
  <c r="B820" i="18"/>
  <c r="C820" i="18"/>
  <c r="B821" i="18"/>
  <c r="C821" i="18"/>
  <c r="B822" i="18"/>
  <c r="C822" i="18"/>
  <c r="B823" i="18"/>
  <c r="C823" i="18"/>
  <c r="B824" i="18"/>
  <c r="C824" i="18"/>
  <c r="B825" i="18"/>
  <c r="C825" i="18"/>
  <c r="B826" i="18"/>
  <c r="C826" i="18"/>
  <c r="B827" i="18"/>
  <c r="C827" i="18"/>
  <c r="B828" i="18"/>
  <c r="C828" i="18"/>
  <c r="B829" i="18"/>
  <c r="C829" i="18"/>
  <c r="B830" i="18"/>
  <c r="C830" i="18"/>
  <c r="B831" i="18"/>
  <c r="C831" i="18"/>
  <c r="B832" i="18"/>
  <c r="C832" i="18"/>
  <c r="B833" i="18"/>
  <c r="C833" i="18"/>
  <c r="B834" i="18"/>
  <c r="C834" i="18"/>
  <c r="B835" i="18"/>
  <c r="C835" i="18"/>
  <c r="B836" i="18"/>
  <c r="C836" i="18"/>
  <c r="B837" i="18"/>
  <c r="C837" i="18"/>
  <c r="B838" i="18"/>
  <c r="C838" i="18"/>
  <c r="B839" i="18"/>
  <c r="C839" i="18"/>
  <c r="B840" i="18"/>
  <c r="C840" i="18"/>
  <c r="B841" i="18"/>
  <c r="C841" i="18"/>
  <c r="B842" i="18"/>
  <c r="C842" i="18"/>
  <c r="B843" i="18"/>
  <c r="C843" i="18"/>
  <c r="B844" i="18"/>
  <c r="C844" i="18"/>
  <c r="B845" i="18"/>
  <c r="C845" i="18"/>
  <c r="B846" i="18"/>
  <c r="C846" i="18"/>
  <c r="B847" i="18"/>
  <c r="C847" i="18"/>
  <c r="B848" i="18"/>
  <c r="C848" i="18"/>
  <c r="B849" i="18"/>
  <c r="C849" i="18"/>
  <c r="B850" i="18"/>
  <c r="C850" i="18"/>
  <c r="B851" i="18"/>
  <c r="C851" i="18"/>
  <c r="B852" i="18"/>
  <c r="C852" i="18"/>
  <c r="B853" i="18"/>
  <c r="C853" i="18"/>
  <c r="B854" i="18"/>
  <c r="C854" i="18"/>
  <c r="B855" i="18"/>
  <c r="C855" i="18"/>
  <c r="B856" i="18"/>
  <c r="C856" i="18"/>
  <c r="B857" i="18"/>
  <c r="C857" i="18"/>
  <c r="B858" i="18"/>
  <c r="C858" i="18"/>
  <c r="B859" i="18"/>
  <c r="C859" i="18"/>
  <c r="B860" i="18"/>
  <c r="C860" i="18"/>
  <c r="B861" i="18"/>
  <c r="C861" i="18"/>
  <c r="B862" i="18"/>
  <c r="C862" i="18"/>
  <c r="B863" i="18"/>
  <c r="C863" i="18"/>
  <c r="B864" i="18"/>
  <c r="C864" i="18"/>
  <c r="B865" i="18"/>
  <c r="C865" i="18"/>
  <c r="B866" i="18"/>
  <c r="C866" i="18"/>
  <c r="B867" i="18"/>
  <c r="C867" i="18"/>
  <c r="B868" i="18"/>
  <c r="C868" i="18"/>
  <c r="B869" i="18"/>
  <c r="C869" i="18"/>
  <c r="B870" i="18"/>
  <c r="C870" i="18"/>
  <c r="B871" i="18"/>
  <c r="C871" i="18"/>
  <c r="B872" i="18"/>
  <c r="C872" i="18"/>
  <c r="B873" i="18"/>
  <c r="C873" i="18"/>
  <c r="B874" i="18"/>
  <c r="C874" i="18"/>
  <c r="B875" i="18"/>
  <c r="C875" i="18"/>
  <c r="B876" i="18"/>
  <c r="C876" i="18"/>
  <c r="B877" i="18"/>
  <c r="C877" i="18"/>
  <c r="B878" i="18"/>
  <c r="C878" i="18"/>
  <c r="B879" i="18"/>
  <c r="C879" i="18"/>
  <c r="B880" i="18"/>
  <c r="C880" i="18"/>
  <c r="B881" i="18"/>
  <c r="C881" i="18"/>
  <c r="B882" i="18"/>
  <c r="C882" i="18"/>
  <c r="B883" i="18"/>
  <c r="C883" i="18"/>
  <c r="B884" i="18"/>
  <c r="C884" i="18"/>
  <c r="B885" i="18"/>
  <c r="C885" i="18"/>
  <c r="B886" i="18"/>
  <c r="C886" i="18"/>
  <c r="B887" i="18"/>
  <c r="C887" i="18"/>
  <c r="B888" i="18"/>
  <c r="C888" i="18"/>
  <c r="B889" i="18"/>
  <c r="C889" i="18"/>
  <c r="B890" i="18"/>
  <c r="C890" i="18"/>
  <c r="B891" i="18"/>
  <c r="C891" i="18"/>
  <c r="B892" i="18"/>
  <c r="C892" i="18"/>
  <c r="B893" i="18"/>
  <c r="C893" i="18"/>
  <c r="B894" i="18"/>
  <c r="C894" i="18"/>
  <c r="B895" i="18"/>
  <c r="C895" i="18"/>
  <c r="B896" i="18"/>
  <c r="C896" i="18"/>
  <c r="B897" i="18"/>
  <c r="C897" i="18"/>
  <c r="B898" i="18"/>
  <c r="C898" i="18"/>
  <c r="B899" i="18"/>
  <c r="C899" i="18"/>
  <c r="B900" i="18"/>
  <c r="C900" i="18"/>
  <c r="B901" i="18"/>
  <c r="C901" i="18"/>
  <c r="B902" i="18"/>
  <c r="C902" i="18"/>
  <c r="B903" i="18"/>
  <c r="C903" i="18"/>
  <c r="B904" i="18"/>
  <c r="C904" i="18"/>
  <c r="B905" i="18"/>
  <c r="C905" i="18"/>
  <c r="B906" i="18"/>
  <c r="C906" i="18"/>
  <c r="B907" i="18"/>
  <c r="C907" i="18"/>
  <c r="B908" i="18"/>
  <c r="C908" i="18"/>
  <c r="B909" i="18"/>
  <c r="C909" i="18"/>
  <c r="B910" i="18"/>
  <c r="C910" i="18"/>
  <c r="B911" i="18"/>
  <c r="C911" i="18"/>
  <c r="B912" i="18"/>
  <c r="C912" i="18"/>
  <c r="B913" i="18"/>
  <c r="C913" i="18"/>
  <c r="B914" i="18"/>
  <c r="C914" i="18"/>
  <c r="B915" i="18"/>
  <c r="C915" i="18"/>
  <c r="B916" i="18"/>
  <c r="C916" i="18"/>
  <c r="B917" i="18"/>
  <c r="C917" i="18"/>
  <c r="B918" i="18"/>
  <c r="C918" i="18"/>
  <c r="B919" i="18"/>
  <c r="C919" i="18"/>
  <c r="B920" i="18"/>
  <c r="C920" i="18"/>
  <c r="B921" i="18"/>
  <c r="C921" i="18"/>
  <c r="B922" i="18"/>
  <c r="C922" i="18"/>
  <c r="B923" i="18"/>
  <c r="C923" i="18"/>
  <c r="B924" i="18"/>
  <c r="C924" i="18"/>
  <c r="B925" i="18"/>
  <c r="C925" i="18"/>
  <c r="B926" i="18"/>
  <c r="C926" i="18"/>
  <c r="B927" i="18"/>
  <c r="C927" i="18"/>
  <c r="B928" i="18"/>
  <c r="C928" i="18"/>
  <c r="B929" i="18"/>
  <c r="C929" i="18"/>
  <c r="B930" i="18"/>
  <c r="C930" i="18"/>
  <c r="B931" i="18"/>
  <c r="C931" i="18"/>
  <c r="B932" i="18"/>
  <c r="C932" i="18"/>
  <c r="B933" i="18"/>
  <c r="C933" i="18"/>
  <c r="B934" i="18"/>
  <c r="C934" i="18"/>
  <c r="B935" i="18"/>
  <c r="C935" i="18"/>
  <c r="B936" i="18"/>
  <c r="C936" i="18"/>
  <c r="B937" i="18"/>
  <c r="C937" i="18"/>
  <c r="B938" i="18"/>
  <c r="C938" i="18"/>
  <c r="B939" i="18"/>
  <c r="C939" i="18"/>
  <c r="B940" i="18"/>
  <c r="C940" i="18"/>
  <c r="B941" i="18"/>
  <c r="C941" i="18"/>
  <c r="B942" i="18"/>
  <c r="C942" i="18"/>
  <c r="B943" i="18"/>
  <c r="C943" i="18"/>
  <c r="B944" i="18"/>
  <c r="C944" i="18"/>
  <c r="B945" i="18"/>
  <c r="C945" i="18"/>
  <c r="B946" i="18"/>
  <c r="C946" i="18"/>
  <c r="B947" i="18"/>
  <c r="C947" i="18"/>
  <c r="B948" i="18"/>
  <c r="C948" i="18"/>
  <c r="B949" i="18"/>
  <c r="C949" i="18"/>
  <c r="B950" i="18"/>
  <c r="C950" i="18"/>
  <c r="B951" i="18"/>
  <c r="C951" i="18"/>
  <c r="B952" i="18"/>
  <c r="C952" i="18"/>
  <c r="B953" i="18"/>
  <c r="C953" i="18"/>
  <c r="B954" i="18"/>
  <c r="C954" i="18"/>
  <c r="B955" i="18"/>
  <c r="C955" i="18"/>
  <c r="B956" i="18"/>
  <c r="C956" i="18"/>
  <c r="B957" i="18"/>
  <c r="C957" i="18"/>
  <c r="B958" i="18"/>
  <c r="C958" i="18"/>
  <c r="B959" i="18"/>
  <c r="C959" i="18"/>
  <c r="B960" i="18"/>
  <c r="C960" i="18"/>
  <c r="B961" i="18"/>
  <c r="C961" i="18"/>
  <c r="B962" i="18"/>
  <c r="C962" i="18"/>
  <c r="B963" i="18"/>
  <c r="C963" i="18"/>
  <c r="B964" i="18"/>
  <c r="C964" i="18"/>
  <c r="B965" i="18"/>
  <c r="C965" i="18"/>
  <c r="B966" i="18"/>
  <c r="C966" i="18"/>
  <c r="B967" i="18"/>
  <c r="C967" i="18"/>
  <c r="B968" i="18"/>
  <c r="C968" i="18"/>
  <c r="B969" i="18"/>
  <c r="C969" i="18"/>
  <c r="B970" i="18"/>
  <c r="C970" i="18"/>
  <c r="B971" i="18"/>
  <c r="C971" i="18"/>
  <c r="B972" i="18"/>
  <c r="C972" i="18"/>
  <c r="B973" i="18"/>
  <c r="C973" i="18"/>
  <c r="B974" i="18"/>
  <c r="C974" i="18"/>
  <c r="B975" i="18"/>
  <c r="C975" i="18"/>
  <c r="B976" i="18"/>
  <c r="C976" i="18"/>
  <c r="B977" i="18"/>
  <c r="C977" i="18"/>
  <c r="B978" i="18"/>
  <c r="C978" i="18"/>
  <c r="B979" i="18"/>
  <c r="C979" i="18"/>
  <c r="B980" i="18"/>
  <c r="C980" i="18"/>
  <c r="B981" i="18"/>
  <c r="C981" i="18"/>
  <c r="B982" i="18"/>
  <c r="C982" i="18"/>
  <c r="B983" i="18"/>
  <c r="C983" i="18"/>
  <c r="B984" i="18"/>
  <c r="C984" i="18"/>
  <c r="B985" i="18"/>
  <c r="C985" i="18"/>
  <c r="B986" i="18"/>
  <c r="C986" i="18"/>
  <c r="B987" i="18"/>
  <c r="C987" i="18"/>
  <c r="B988" i="18"/>
  <c r="C988" i="18"/>
  <c r="B989" i="18"/>
  <c r="C989" i="18"/>
  <c r="B990" i="18"/>
  <c r="C990" i="18"/>
  <c r="B991" i="18"/>
  <c r="C991" i="18"/>
  <c r="B992" i="18"/>
  <c r="C992" i="18"/>
  <c r="B993" i="18"/>
  <c r="C993" i="18"/>
  <c r="B994" i="18"/>
  <c r="C994" i="18"/>
  <c r="B995" i="18"/>
  <c r="C995" i="18"/>
  <c r="B996" i="18"/>
  <c r="C996" i="18"/>
  <c r="B997" i="18"/>
  <c r="C997" i="18"/>
  <c r="B998" i="18"/>
  <c r="C998" i="18"/>
  <c r="B999" i="18"/>
  <c r="C999" i="18"/>
  <c r="B1000" i="18"/>
  <c r="C1000" i="18"/>
  <c r="B1001" i="18"/>
  <c r="C1001" i="18"/>
  <c r="B1002" i="18"/>
  <c r="C1002" i="18"/>
  <c r="B1003" i="18"/>
  <c r="C1003" i="18"/>
  <c r="B1004" i="18"/>
  <c r="C1004" i="18"/>
  <c r="B1005" i="18"/>
  <c r="C1005" i="18"/>
  <c r="B1006" i="18"/>
  <c r="C1006" i="18"/>
  <c r="B1007" i="18"/>
  <c r="C1007" i="18"/>
  <c r="B1008" i="18"/>
  <c r="C1008" i="18"/>
  <c r="B1009" i="18"/>
  <c r="C1009" i="18"/>
  <c r="B1010" i="18"/>
  <c r="C1010" i="18"/>
  <c r="B1011" i="18"/>
  <c r="C1011" i="18"/>
  <c r="B1012" i="18"/>
  <c r="C1012" i="18"/>
  <c r="B1013" i="18"/>
  <c r="C1013" i="18"/>
  <c r="B1014" i="18"/>
  <c r="C1014" i="18"/>
  <c r="B1015" i="18"/>
  <c r="C1015" i="18"/>
  <c r="B1016" i="18"/>
  <c r="C1016" i="18"/>
  <c r="B1017" i="18"/>
  <c r="C1017" i="18"/>
  <c r="B1018" i="18"/>
  <c r="C1018" i="18"/>
  <c r="B1019" i="18"/>
  <c r="C1019" i="18"/>
  <c r="B1020" i="18"/>
  <c r="C1020" i="18"/>
  <c r="B1021" i="18"/>
  <c r="C1021" i="18"/>
  <c r="B1022" i="18"/>
  <c r="C1022" i="18"/>
  <c r="B1023" i="18"/>
  <c r="C1023" i="18"/>
  <c r="B1024" i="18"/>
  <c r="C1024" i="18"/>
  <c r="B1025" i="18"/>
  <c r="C1025" i="18"/>
  <c r="B1026" i="18"/>
  <c r="C1026" i="18"/>
  <c r="B40" i="18"/>
  <c r="C40" i="18"/>
  <c r="B41" i="18"/>
  <c r="C41" i="18"/>
  <c r="B42" i="18"/>
  <c r="C42" i="18"/>
  <c r="B43" i="18"/>
  <c r="C43" i="18"/>
  <c r="B44" i="18"/>
  <c r="C44" i="18"/>
  <c r="B45" i="18"/>
  <c r="C45" i="18"/>
  <c r="B46" i="18"/>
  <c r="C46" i="18"/>
  <c r="B47" i="18"/>
  <c r="C47" i="18"/>
  <c r="B48" i="18"/>
  <c r="C48" i="18"/>
  <c r="B49" i="18"/>
  <c r="C49" i="18"/>
  <c r="B50" i="18"/>
  <c r="C50" i="18"/>
  <c r="B51" i="18"/>
  <c r="C51" i="18"/>
  <c r="B52" i="18"/>
  <c r="C52" i="18"/>
  <c r="B53" i="18"/>
  <c r="C53" i="18"/>
  <c r="B54" i="18"/>
  <c r="C54" i="18"/>
  <c r="B55" i="18"/>
  <c r="C55" i="18"/>
  <c r="B56" i="18"/>
  <c r="C56" i="18"/>
  <c r="B57" i="18"/>
  <c r="C57" i="18"/>
  <c r="B58" i="18"/>
  <c r="C58" i="18"/>
  <c r="B59" i="18"/>
  <c r="C59" i="18"/>
  <c r="B60" i="18"/>
  <c r="C60" i="18"/>
  <c r="B61" i="18"/>
  <c r="C61" i="18"/>
  <c r="B62" i="18"/>
  <c r="C62" i="18"/>
  <c r="B63" i="18"/>
  <c r="C63" i="18"/>
  <c r="B64" i="18"/>
  <c r="C64" i="18"/>
  <c r="B65" i="18"/>
  <c r="C65" i="18"/>
  <c r="B66" i="18"/>
  <c r="C66" i="18"/>
  <c r="B67" i="18"/>
  <c r="C67" i="18"/>
  <c r="B68" i="18"/>
  <c r="C68" i="18"/>
  <c r="B69" i="18"/>
  <c r="C69" i="18"/>
  <c r="B70" i="18"/>
  <c r="C70" i="18"/>
  <c r="B71" i="18"/>
  <c r="C71" i="18"/>
  <c r="B72" i="18"/>
  <c r="C72" i="18"/>
  <c r="B73" i="18"/>
  <c r="C73" i="18"/>
  <c r="B74" i="18"/>
  <c r="C74" i="18"/>
  <c r="B75" i="18"/>
  <c r="C75" i="18"/>
  <c r="B76" i="18"/>
  <c r="C76" i="18"/>
  <c r="B77" i="18"/>
  <c r="C77" i="18"/>
  <c r="B78" i="18"/>
  <c r="C78" i="18"/>
  <c r="B79" i="18"/>
  <c r="C79" i="18"/>
  <c r="B80" i="18"/>
  <c r="C80" i="18"/>
  <c r="B81" i="18"/>
  <c r="C81" i="18"/>
  <c r="B82" i="18"/>
  <c r="C82" i="18"/>
  <c r="B83" i="18"/>
  <c r="C83" i="18"/>
  <c r="B84" i="18"/>
  <c r="C84" i="18"/>
  <c r="B85" i="18"/>
  <c r="C85" i="18"/>
  <c r="B86" i="18"/>
  <c r="C86" i="18"/>
  <c r="B87" i="18"/>
  <c r="C87" i="18"/>
  <c r="B88" i="18"/>
  <c r="C88" i="18"/>
  <c r="B89" i="18"/>
  <c r="C89" i="18"/>
  <c r="B90" i="18"/>
  <c r="C90" i="18"/>
  <c r="B91" i="18"/>
  <c r="C91" i="18"/>
  <c r="B92" i="18"/>
  <c r="C92" i="18"/>
  <c r="B93" i="18"/>
  <c r="C93" i="18"/>
  <c r="B94" i="18"/>
  <c r="C94" i="18"/>
  <c r="B95" i="18"/>
  <c r="C95" i="18"/>
  <c r="B96" i="18"/>
  <c r="C96" i="18"/>
  <c r="B97" i="18"/>
  <c r="C97" i="18"/>
  <c r="B98" i="18"/>
  <c r="C98" i="18"/>
  <c r="B99" i="18"/>
  <c r="C99" i="18"/>
  <c r="B100" i="18"/>
  <c r="C100" i="18"/>
  <c r="B101" i="18"/>
  <c r="C101" i="18"/>
  <c r="B102" i="18"/>
  <c r="C102" i="18"/>
  <c r="B103" i="18"/>
  <c r="C103" i="18"/>
  <c r="B104" i="18"/>
  <c r="C104" i="18"/>
  <c r="B105" i="18"/>
  <c r="C105" i="18"/>
  <c r="B106" i="18"/>
  <c r="C106" i="18"/>
  <c r="B107" i="18"/>
  <c r="C107" i="18"/>
  <c r="B108" i="18"/>
  <c r="C108" i="18"/>
  <c r="B109" i="18"/>
  <c r="C109" i="18"/>
  <c r="B110" i="18"/>
  <c r="C110" i="18"/>
  <c r="B111" i="18"/>
  <c r="C111" i="18"/>
  <c r="B112" i="18"/>
  <c r="C112" i="18"/>
  <c r="B113" i="18"/>
  <c r="C113" i="18"/>
  <c r="B114" i="18"/>
  <c r="C114" i="18"/>
  <c r="B115" i="18"/>
  <c r="C115" i="18"/>
  <c r="B116" i="18"/>
  <c r="C116" i="18"/>
  <c r="B117" i="18"/>
  <c r="C117" i="18"/>
  <c r="B118" i="18"/>
  <c r="C118" i="18"/>
  <c r="B119" i="18"/>
  <c r="C119" i="18"/>
  <c r="B120" i="18"/>
  <c r="C120" i="18"/>
  <c r="B121" i="18"/>
  <c r="C121" i="18"/>
  <c r="B122" i="18"/>
  <c r="C122" i="18"/>
  <c r="B123" i="18"/>
  <c r="C123" i="18"/>
  <c r="B124" i="18"/>
  <c r="C124" i="18"/>
  <c r="B125" i="18"/>
  <c r="C125" i="18"/>
  <c r="B126" i="18"/>
  <c r="C126" i="18"/>
  <c r="B127" i="18"/>
  <c r="C127" i="18"/>
  <c r="B128" i="18"/>
  <c r="C128" i="18"/>
  <c r="B129" i="18"/>
  <c r="C129" i="18"/>
  <c r="B130" i="18"/>
  <c r="C130" i="18"/>
  <c r="B131" i="18"/>
  <c r="C131" i="18"/>
  <c r="B132" i="18"/>
  <c r="C132" i="18"/>
  <c r="B133" i="18"/>
  <c r="C133" i="18"/>
  <c r="B134" i="18"/>
  <c r="C134" i="18"/>
  <c r="B135" i="18"/>
  <c r="C135" i="18"/>
  <c r="B136" i="18"/>
  <c r="C136" i="18"/>
  <c r="B137" i="18"/>
  <c r="C137" i="18"/>
  <c r="B138" i="18"/>
  <c r="C138" i="18"/>
  <c r="B139" i="18"/>
  <c r="C139" i="18"/>
  <c r="B140" i="18"/>
  <c r="C140" i="18"/>
  <c r="B141" i="18"/>
  <c r="C141" i="18"/>
  <c r="B142" i="18"/>
  <c r="C142" i="18"/>
  <c r="B143" i="18"/>
  <c r="C143" i="18"/>
  <c r="B144" i="18"/>
  <c r="C144" i="18"/>
  <c r="B145" i="18"/>
  <c r="C145" i="18"/>
  <c r="B146" i="18"/>
  <c r="C146" i="18"/>
  <c r="B147" i="18"/>
  <c r="C147" i="18"/>
  <c r="B148" i="18"/>
  <c r="C148" i="18"/>
  <c r="B149" i="18"/>
  <c r="C149" i="18"/>
  <c r="B150" i="18"/>
  <c r="C150" i="18"/>
  <c r="B151" i="18"/>
  <c r="C151" i="18"/>
  <c r="B152" i="18"/>
  <c r="C152" i="18"/>
  <c r="B153" i="18"/>
  <c r="C153" i="18"/>
  <c r="B154" i="18"/>
  <c r="C154" i="18"/>
  <c r="B155" i="18"/>
  <c r="C155" i="18"/>
  <c r="B156" i="18"/>
  <c r="C156" i="18"/>
  <c r="B157" i="18"/>
  <c r="C157" i="18"/>
  <c r="B158" i="18"/>
  <c r="C158" i="18"/>
  <c r="B159" i="18"/>
  <c r="C159" i="18"/>
  <c r="B160" i="18"/>
  <c r="C160" i="18"/>
  <c r="B161" i="18"/>
  <c r="C161" i="18"/>
  <c r="B162" i="18"/>
  <c r="C162" i="18"/>
  <c r="B163" i="18"/>
  <c r="C163" i="18"/>
  <c r="B164" i="18"/>
  <c r="C164" i="18"/>
  <c r="B165" i="18"/>
  <c r="C165" i="18"/>
  <c r="B166" i="18"/>
  <c r="C166" i="18"/>
  <c r="B167" i="18"/>
  <c r="C167" i="18"/>
  <c r="B168" i="18"/>
  <c r="C168" i="18"/>
  <c r="B169" i="18"/>
  <c r="C169" i="18"/>
  <c r="B170" i="18"/>
  <c r="C170" i="18"/>
  <c r="B171" i="18"/>
  <c r="C171" i="18"/>
  <c r="B172" i="18"/>
  <c r="C172" i="18"/>
  <c r="B173" i="18"/>
  <c r="C173" i="18"/>
  <c r="B174" i="18"/>
  <c r="C174" i="18"/>
  <c r="B175" i="18"/>
  <c r="C175" i="18"/>
  <c r="B176" i="18"/>
  <c r="C176" i="18"/>
  <c r="B177" i="18"/>
  <c r="C177" i="18"/>
  <c r="B178" i="18"/>
  <c r="C178" i="18"/>
  <c r="B179" i="18"/>
  <c r="C179" i="18"/>
  <c r="B180" i="18"/>
  <c r="C180" i="18"/>
  <c r="B181" i="18"/>
  <c r="C181" i="18"/>
  <c r="B182" i="18"/>
  <c r="C182" i="18"/>
  <c r="B183" i="18"/>
  <c r="C183" i="18"/>
  <c r="B184" i="18"/>
  <c r="C184" i="18"/>
  <c r="B185" i="18"/>
  <c r="C185" i="18"/>
  <c r="B186" i="18"/>
  <c r="C186" i="18"/>
  <c r="B187" i="18"/>
  <c r="C187" i="18"/>
  <c r="B188" i="18"/>
  <c r="C188" i="18"/>
  <c r="B189" i="18"/>
  <c r="C189" i="18"/>
  <c r="B190" i="18"/>
  <c r="C190" i="18"/>
  <c r="B191" i="18"/>
  <c r="C191" i="18"/>
  <c r="B192" i="18"/>
  <c r="C192" i="18"/>
  <c r="B193" i="18"/>
  <c r="C193" i="18"/>
  <c r="B194" i="18"/>
  <c r="C194" i="18"/>
  <c r="B195" i="18"/>
  <c r="C195" i="18"/>
  <c r="B196" i="18"/>
  <c r="C196" i="18"/>
  <c r="B197" i="18"/>
  <c r="C197" i="18"/>
  <c r="B198" i="18"/>
  <c r="C198" i="18"/>
  <c r="B199" i="18"/>
  <c r="C199" i="18"/>
  <c r="B200" i="18"/>
  <c r="C200" i="18"/>
  <c r="B201" i="18"/>
  <c r="C201" i="18"/>
  <c r="B202" i="18"/>
  <c r="C202" i="18"/>
  <c r="B203" i="18"/>
  <c r="C203" i="18"/>
  <c r="B204" i="18"/>
  <c r="C204" i="18"/>
  <c r="B205" i="18"/>
  <c r="C205" i="18"/>
  <c r="B206" i="18"/>
  <c r="C206" i="18"/>
  <c r="B207" i="18"/>
  <c r="C207" i="18"/>
  <c r="B208" i="18"/>
  <c r="C208" i="18"/>
  <c r="B209" i="18"/>
  <c r="C209" i="18"/>
  <c r="B210" i="18"/>
  <c r="C210" i="18"/>
  <c r="B211" i="18"/>
  <c r="C211" i="18"/>
  <c r="B212" i="18"/>
  <c r="C212" i="18"/>
  <c r="B213" i="18"/>
  <c r="C213" i="18"/>
  <c r="B214" i="18"/>
  <c r="C214" i="18"/>
  <c r="B215" i="18"/>
  <c r="C215" i="18"/>
  <c r="B216" i="18"/>
  <c r="C216" i="18"/>
  <c r="B217" i="18"/>
  <c r="C217" i="18"/>
  <c r="B218" i="18"/>
  <c r="C218" i="18"/>
  <c r="B219" i="18"/>
  <c r="C219" i="18"/>
  <c r="B220" i="18"/>
  <c r="C220" i="18"/>
  <c r="B221" i="18"/>
  <c r="C221" i="18"/>
  <c r="B222" i="18"/>
  <c r="C222" i="18"/>
  <c r="B223" i="18"/>
  <c r="C223" i="18"/>
  <c r="B224" i="18"/>
  <c r="C224" i="18"/>
  <c r="B225" i="18"/>
  <c r="C225" i="18"/>
  <c r="B226" i="18"/>
  <c r="C226" i="18"/>
  <c r="B227" i="18"/>
  <c r="C227" i="18"/>
  <c r="B228" i="18"/>
  <c r="C228" i="18"/>
  <c r="B229" i="18"/>
  <c r="C229" i="18"/>
  <c r="B230" i="18"/>
  <c r="C230" i="18"/>
  <c r="B231" i="18"/>
  <c r="C231" i="18"/>
  <c r="B232" i="18"/>
  <c r="C232" i="18"/>
  <c r="B233" i="18"/>
  <c r="C233" i="18"/>
  <c r="B234" i="18"/>
  <c r="C234" i="18"/>
  <c r="B235" i="18"/>
  <c r="C235" i="18"/>
  <c r="B236" i="18"/>
  <c r="C236" i="18"/>
  <c r="B237" i="18"/>
  <c r="C237" i="18"/>
  <c r="B238" i="18"/>
  <c r="C238" i="18"/>
  <c r="B239" i="18"/>
  <c r="C239" i="18"/>
  <c r="B240" i="18"/>
  <c r="C240" i="18"/>
  <c r="B241" i="18"/>
  <c r="C241" i="18"/>
  <c r="B242" i="18"/>
  <c r="C242" i="18"/>
  <c r="B243" i="18"/>
  <c r="C243" i="18"/>
  <c r="B244" i="18"/>
  <c r="C244" i="18"/>
  <c r="B245" i="18"/>
  <c r="C245" i="18"/>
  <c r="B246" i="18"/>
  <c r="C246" i="18"/>
  <c r="B247" i="18"/>
  <c r="C247" i="18"/>
  <c r="B248" i="18"/>
  <c r="C248" i="18"/>
  <c r="B249" i="18"/>
  <c r="C249" i="18"/>
  <c r="B250" i="18"/>
  <c r="C250" i="18"/>
  <c r="B251" i="18"/>
  <c r="C251" i="18"/>
  <c r="B252" i="18"/>
  <c r="C252" i="18"/>
  <c r="B253" i="18"/>
  <c r="C253" i="18"/>
  <c r="B254" i="18"/>
  <c r="C254" i="18"/>
  <c r="B255" i="18"/>
  <c r="C255" i="18"/>
  <c r="B256" i="18"/>
  <c r="C256" i="18"/>
  <c r="B257" i="18"/>
  <c r="C257" i="18"/>
  <c r="B258" i="18"/>
  <c r="C258" i="18"/>
  <c r="B259" i="18"/>
  <c r="C259" i="18"/>
  <c r="B260" i="18"/>
  <c r="C260" i="18"/>
  <c r="B261" i="18"/>
  <c r="C261" i="18"/>
  <c r="B262" i="18"/>
  <c r="C262" i="18"/>
  <c r="B263" i="18"/>
  <c r="C263" i="18"/>
  <c r="B264" i="18"/>
  <c r="C264" i="18"/>
  <c r="B265" i="18"/>
  <c r="C265" i="18"/>
  <c r="B266" i="18"/>
  <c r="C266" i="18"/>
  <c r="B267" i="18"/>
  <c r="C267" i="18"/>
  <c r="B268" i="18"/>
  <c r="C268" i="18"/>
  <c r="B269" i="18"/>
  <c r="C269" i="18"/>
  <c r="B270" i="18"/>
  <c r="C270" i="18"/>
  <c r="B271" i="18"/>
  <c r="C271" i="18"/>
  <c r="B272" i="18"/>
  <c r="C272" i="18"/>
  <c r="B273" i="18"/>
  <c r="C273" i="18"/>
  <c r="B274" i="18"/>
  <c r="C274" i="18"/>
  <c r="B275" i="18"/>
  <c r="C275" i="18"/>
  <c r="B276" i="18"/>
  <c r="C276" i="18"/>
  <c r="B277" i="18"/>
  <c r="C277" i="18"/>
  <c r="B278" i="18"/>
  <c r="C278" i="18"/>
  <c r="B279" i="18"/>
  <c r="C279" i="18"/>
  <c r="B280" i="18"/>
  <c r="C280" i="18"/>
  <c r="B281" i="18"/>
  <c r="C281" i="18"/>
  <c r="B282" i="18"/>
  <c r="C282" i="18"/>
  <c r="B283" i="18"/>
  <c r="C283" i="18"/>
  <c r="B28" i="18"/>
  <c r="C28" i="18"/>
  <c r="B29" i="18"/>
  <c r="C29" i="18"/>
  <c r="B30" i="18"/>
  <c r="C30" i="18"/>
  <c r="B31" i="18"/>
  <c r="C31" i="18"/>
  <c r="B32" i="18"/>
  <c r="C32" i="18"/>
  <c r="B33" i="18"/>
  <c r="C33" i="18"/>
  <c r="B34" i="18"/>
  <c r="C34" i="18"/>
  <c r="B35" i="18"/>
  <c r="C35" i="18"/>
  <c r="B36" i="18"/>
  <c r="C36" i="18"/>
  <c r="B37" i="18"/>
  <c r="C37" i="18"/>
  <c r="B38" i="18"/>
  <c r="C38" i="18"/>
  <c r="B39" i="18"/>
  <c r="C39" i="18"/>
  <c r="C27" i="18"/>
  <c r="B27" i="18"/>
  <c r="B14" i="18"/>
  <c r="A18" i="18" s="1"/>
  <c r="B5" i="18"/>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4" i="1"/>
  <c r="S5" i="1"/>
  <c r="S6" i="1"/>
  <c r="S7" i="1"/>
  <c r="S8" i="1"/>
  <c r="S9" i="1"/>
  <c r="S10" i="1"/>
  <c r="S11" i="1"/>
  <c r="S12" i="1"/>
  <c r="S13" i="1"/>
  <c r="S14" i="1"/>
  <c r="S15" i="1"/>
  <c r="S16" i="1"/>
  <c r="S17" i="1"/>
  <c r="S18" i="1"/>
  <c r="S19" i="1"/>
  <c r="S20" i="1"/>
  <c r="S3" i="1"/>
  <c r="W27" i="1"/>
  <c r="X49" i="1"/>
  <c r="X48" i="1"/>
  <c r="Y38" i="1"/>
  <c r="X37" i="1"/>
  <c r="X41" i="1"/>
  <c r="Y34" i="1"/>
  <c r="Y35" i="1"/>
  <c r="Y36" i="1"/>
  <c r="Y37" i="1"/>
  <c r="Y39" i="1"/>
  <c r="Y40" i="1"/>
  <c r="Y41" i="1"/>
  <c r="X40" i="1"/>
  <c r="X39" i="1"/>
  <c r="X38" i="1"/>
  <c r="X36" i="1"/>
  <c r="X35" i="1"/>
  <c r="X34" i="1"/>
  <c r="R724" i="1"/>
  <c r="X7" i="1"/>
  <c r="X14" i="1"/>
  <c r="P25"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4" i="1"/>
  <c r="T5" i="1"/>
  <c r="T6" i="1"/>
  <c r="T7" i="1"/>
  <c r="T8" i="1"/>
  <c r="T9" i="1"/>
  <c r="T10" i="1"/>
  <c r="T11" i="1"/>
  <c r="T12" i="1"/>
  <c r="T13" i="1"/>
  <c r="T14" i="1"/>
  <c r="T15" i="1"/>
  <c r="T16" i="1"/>
  <c r="T17" i="1"/>
  <c r="T18" i="1"/>
  <c r="T19" i="1"/>
  <c r="T20" i="1"/>
  <c r="T21" i="1"/>
  <c r="T22" i="1"/>
  <c r="T3" i="1"/>
  <c r="X5" i="1"/>
  <c r="Q12" i="1"/>
  <c r="Q4" i="1"/>
  <c r="Q5" i="1"/>
  <c r="Q6" i="1"/>
  <c r="Q7" i="1"/>
  <c r="Q8" i="1"/>
  <c r="Q9" i="1"/>
  <c r="Q10" i="1"/>
  <c r="Q11"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3" i="1"/>
  <c r="R715" i="1"/>
  <c r="R72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6" i="1"/>
  <c r="R717" i="1"/>
  <c r="R718" i="1"/>
  <c r="R719" i="1"/>
  <c r="R720" i="1"/>
  <c r="R721" i="1"/>
  <c r="R722" i="1"/>
  <c r="R725" i="1"/>
  <c r="R726" i="1"/>
  <c r="R727" i="1"/>
  <c r="R728" i="1"/>
  <c r="R729" i="1"/>
  <c r="R730" i="1"/>
  <c r="R731" i="1"/>
  <c r="R732" i="1"/>
  <c r="R733" i="1"/>
  <c r="R734" i="1"/>
  <c r="R3" i="1"/>
  <c r="P4" i="1"/>
  <c r="P5" i="1"/>
  <c r="P6" i="1"/>
  <c r="P7" i="1"/>
  <c r="P8" i="1"/>
  <c r="P9" i="1"/>
  <c r="P10" i="1"/>
  <c r="P11" i="1"/>
  <c r="P12" i="1"/>
  <c r="P13" i="1"/>
  <c r="P14" i="1"/>
  <c r="P15" i="1"/>
  <c r="P16" i="1"/>
  <c r="P17" i="1"/>
  <c r="P18" i="1"/>
  <c r="P19" i="1"/>
  <c r="P20" i="1"/>
  <c r="P21" i="1"/>
  <c r="P22" i="1"/>
  <c r="P23" i="1"/>
  <c r="P24"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3" i="1"/>
  <c r="N5" i="1"/>
  <c r="O5" i="1" s="1"/>
  <c r="N4" i="1"/>
  <c r="O4"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3" i="1"/>
  <c r="O3" i="1" s="1"/>
  <c r="X22" i="1"/>
  <c r="D1015" i="18" l="1"/>
  <c r="E1015" i="18" s="1"/>
  <c r="D1011" i="18"/>
  <c r="E1011" i="18" s="1"/>
  <c r="D967" i="18"/>
  <c r="E967" i="18" s="1"/>
  <c r="D919" i="18"/>
  <c r="E919" i="18" s="1"/>
  <c r="D915" i="18"/>
  <c r="E915" i="18" s="1"/>
  <c r="D899" i="18"/>
  <c r="E899" i="18" s="1"/>
  <c r="D883" i="18"/>
  <c r="E883" i="18" s="1"/>
  <c r="D823" i="18"/>
  <c r="E823" i="18" s="1"/>
  <c r="D819" i="18"/>
  <c r="E819" i="18" s="1"/>
  <c r="D627" i="18"/>
  <c r="E627" i="18" s="1"/>
  <c r="D615" i="18"/>
  <c r="E615" i="18" s="1"/>
  <c r="D611" i="18"/>
  <c r="E611" i="18" s="1"/>
  <c r="D595" i="18"/>
  <c r="E595" i="18" s="1"/>
  <c r="D555" i="18"/>
  <c r="E555" i="18" s="1"/>
  <c r="D1002" i="18"/>
  <c r="E1002" i="18" s="1"/>
  <c r="D970" i="18"/>
  <c r="E970" i="18" s="1"/>
  <c r="D547" i="18"/>
  <c r="E547" i="18" s="1"/>
  <c r="D515" i="18"/>
  <c r="E515" i="18" s="1"/>
  <c r="D507" i="18"/>
  <c r="E507" i="18" s="1"/>
  <c r="D491" i="18"/>
  <c r="E491" i="18" s="1"/>
  <c r="D475" i="18"/>
  <c r="E475" i="18" s="1"/>
  <c r="D179" i="18"/>
  <c r="E179" i="18" s="1"/>
  <c r="D175" i="18"/>
  <c r="E175" i="18" s="1"/>
  <c r="D171" i="18"/>
  <c r="E171" i="18" s="1"/>
  <c r="D167" i="18"/>
  <c r="E167" i="18" s="1"/>
  <c r="D163" i="18"/>
  <c r="E163" i="18" s="1"/>
  <c r="D111" i="18"/>
  <c r="E111" i="18" s="1"/>
  <c r="D63" i="18"/>
  <c r="E63" i="18" s="1"/>
  <c r="D569" i="18"/>
  <c r="E569" i="18" s="1"/>
  <c r="D441" i="18"/>
  <c r="E441" i="18" s="1"/>
  <c r="D437" i="18"/>
  <c r="E437" i="18" s="1"/>
  <c r="D433" i="18"/>
  <c r="E433" i="18" s="1"/>
  <c r="D429" i="18"/>
  <c r="E429" i="18" s="1"/>
  <c r="D425" i="18"/>
  <c r="E425" i="18" s="1"/>
  <c r="D421" i="18"/>
  <c r="E421" i="18" s="1"/>
  <c r="D409" i="18"/>
  <c r="E409" i="18" s="1"/>
  <c r="D405" i="18"/>
  <c r="E405" i="18" s="1"/>
  <c r="D401" i="18"/>
  <c r="E401" i="18" s="1"/>
  <c r="D397" i="18"/>
  <c r="E397" i="18" s="1"/>
  <c r="D393" i="18"/>
  <c r="E393" i="18" s="1"/>
  <c r="D313" i="18"/>
  <c r="E313" i="18" s="1"/>
  <c r="D305" i="18"/>
  <c r="E305" i="18" s="1"/>
  <c r="D297" i="18"/>
  <c r="E297" i="18" s="1"/>
  <c r="D293" i="18"/>
  <c r="E293" i="18" s="1"/>
  <c r="D928" i="18"/>
  <c r="E928" i="18" s="1"/>
  <c r="D920" i="18"/>
  <c r="E920" i="18" s="1"/>
  <c r="D912" i="18"/>
  <c r="E912" i="18" s="1"/>
  <c r="D880" i="18"/>
  <c r="E880" i="18" s="1"/>
  <c r="D868" i="18"/>
  <c r="E868" i="18" s="1"/>
  <c r="D860" i="18"/>
  <c r="E860" i="18" s="1"/>
  <c r="D856" i="18"/>
  <c r="E856" i="18" s="1"/>
  <c r="D844" i="18"/>
  <c r="E844" i="18" s="1"/>
  <c r="D472" i="18"/>
  <c r="E472" i="18" s="1"/>
  <c r="D468" i="18"/>
  <c r="E468" i="18" s="1"/>
  <c r="D464" i="18"/>
  <c r="E464" i="18" s="1"/>
  <c r="D460" i="18"/>
  <c r="E460" i="18" s="1"/>
  <c r="D440" i="18"/>
  <c r="E440" i="18" s="1"/>
  <c r="D432" i="18"/>
  <c r="E432" i="18" s="1"/>
  <c r="D428" i="18"/>
  <c r="E428" i="18" s="1"/>
  <c r="D420" i="18"/>
  <c r="E420" i="18" s="1"/>
  <c r="D416" i="18"/>
  <c r="E416" i="18" s="1"/>
  <c r="D388" i="18"/>
  <c r="E388" i="18" s="1"/>
  <c r="D384" i="18"/>
  <c r="E384" i="18" s="1"/>
  <c r="D380" i="18"/>
  <c r="E380" i="18" s="1"/>
  <c r="D356" i="18"/>
  <c r="E356" i="18" s="1"/>
  <c r="D344" i="18"/>
  <c r="E344" i="18" s="1"/>
  <c r="D336" i="18"/>
  <c r="E336" i="18" s="1"/>
  <c r="D292" i="18"/>
  <c r="E292" i="18" s="1"/>
  <c r="D288" i="18"/>
  <c r="E288" i="18" s="1"/>
  <c r="D284" i="18"/>
  <c r="E284" i="18" s="1"/>
  <c r="D283" i="18"/>
  <c r="E283" i="18" s="1"/>
  <c r="D275" i="18"/>
  <c r="E275" i="18" s="1"/>
  <c r="D267" i="18"/>
  <c r="E267" i="18" s="1"/>
  <c r="D726" i="18"/>
  <c r="E726" i="18" s="1"/>
  <c r="D714" i="18"/>
  <c r="E714" i="18" s="1"/>
  <c r="D698" i="18"/>
  <c r="E698" i="18" s="1"/>
  <c r="D690" i="18"/>
  <c r="E690" i="18" s="1"/>
  <c r="D682" i="18"/>
  <c r="E682" i="18" s="1"/>
  <c r="D674" i="18"/>
  <c r="E674" i="18" s="1"/>
  <c r="D666" i="18"/>
  <c r="E666" i="18" s="1"/>
  <c r="D650" i="18"/>
  <c r="E650" i="18" s="1"/>
  <c r="D646" i="18"/>
  <c r="E646" i="18" s="1"/>
  <c r="D642" i="18"/>
  <c r="E642" i="18" s="1"/>
  <c r="D582" i="18"/>
  <c r="E582" i="18" s="1"/>
  <c r="D578" i="18"/>
  <c r="E578" i="18" s="1"/>
  <c r="D546" i="18"/>
  <c r="E546" i="18" s="1"/>
  <c r="D498" i="18"/>
  <c r="E498" i="18" s="1"/>
  <c r="D490" i="18"/>
  <c r="E490" i="18" s="1"/>
  <c r="D78" i="18"/>
  <c r="E78" i="18" s="1"/>
  <c r="D74" i="18"/>
  <c r="E74" i="18" s="1"/>
  <c r="D957" i="18"/>
  <c r="E957" i="18" s="1"/>
  <c r="D953" i="18"/>
  <c r="E953" i="18" s="1"/>
  <c r="D277" i="18"/>
  <c r="E277" i="18" s="1"/>
  <c r="D265" i="18"/>
  <c r="E265" i="18" s="1"/>
  <c r="D261" i="18"/>
  <c r="E261" i="18" s="1"/>
  <c r="D257" i="18"/>
  <c r="E257" i="18" s="1"/>
  <c r="D249" i="18"/>
  <c r="E249" i="18" s="1"/>
  <c r="D201" i="18"/>
  <c r="E201" i="18" s="1"/>
  <c r="D792" i="18"/>
  <c r="E792" i="18" s="1"/>
  <c r="D748" i="18"/>
  <c r="E748" i="18" s="1"/>
  <c r="D744" i="18"/>
  <c r="E744" i="18" s="1"/>
  <c r="D732" i="18"/>
  <c r="E732" i="18" s="1"/>
  <c r="D724" i="18"/>
  <c r="E724" i="18" s="1"/>
  <c r="D668" i="18"/>
  <c r="E668" i="18" s="1"/>
  <c r="D656" i="18"/>
  <c r="E656" i="18" s="1"/>
  <c r="D648" i="18"/>
  <c r="E648" i="18" s="1"/>
  <c r="D612" i="18"/>
  <c r="E612" i="18" s="1"/>
  <c r="D596" i="18"/>
  <c r="E596" i="18" s="1"/>
  <c r="D252" i="18"/>
  <c r="E252" i="18" s="1"/>
  <c r="D160" i="18"/>
  <c r="E160" i="18" s="1"/>
  <c r="D68" i="18"/>
  <c r="E68" i="18" s="1"/>
  <c r="D166" i="18"/>
  <c r="E166" i="18" s="1"/>
  <c r="D94" i="18"/>
  <c r="E94" i="18" s="1"/>
  <c r="D62" i="18"/>
  <c r="E62" i="18" s="1"/>
  <c r="D1014" i="18"/>
  <c r="E1014" i="18" s="1"/>
  <c r="D938" i="18"/>
  <c r="E938" i="18" s="1"/>
  <c r="D842" i="18"/>
  <c r="E842" i="18" s="1"/>
  <c r="D826" i="18"/>
  <c r="E826" i="18" s="1"/>
  <c r="D802" i="18"/>
  <c r="E802" i="18" s="1"/>
  <c r="D794" i="18"/>
  <c r="E794" i="18" s="1"/>
  <c r="D459" i="18"/>
  <c r="E459" i="18" s="1"/>
  <c r="D451" i="18"/>
  <c r="E451" i="18" s="1"/>
  <c r="D443" i="18"/>
  <c r="E443" i="18" s="1"/>
  <c r="D419" i="18"/>
  <c r="E419" i="18" s="1"/>
  <c r="D387" i="18"/>
  <c r="E387" i="18" s="1"/>
  <c r="D379" i="18"/>
  <c r="E379" i="18" s="1"/>
  <c r="D363" i="18"/>
  <c r="E363" i="18" s="1"/>
  <c r="D347" i="18"/>
  <c r="E347" i="18" s="1"/>
  <c r="D323" i="18"/>
  <c r="E323" i="18" s="1"/>
  <c r="D315" i="18"/>
  <c r="E315" i="18" s="1"/>
  <c r="D291" i="18"/>
  <c r="E291" i="18" s="1"/>
  <c r="D287" i="18"/>
  <c r="E287" i="18" s="1"/>
  <c r="D1013" i="18"/>
  <c r="E1013" i="18" s="1"/>
  <c r="D1005" i="18"/>
  <c r="E1005" i="18" s="1"/>
  <c r="D973" i="18"/>
  <c r="E973" i="18" s="1"/>
  <c r="D969" i="18"/>
  <c r="E969" i="18" s="1"/>
  <c r="D929" i="18"/>
  <c r="E929" i="18" s="1"/>
  <c r="D925" i="18"/>
  <c r="E925" i="18" s="1"/>
  <c r="D921" i="18"/>
  <c r="E921" i="18" s="1"/>
  <c r="D917" i="18"/>
  <c r="E917" i="18" s="1"/>
  <c r="D913" i="18"/>
  <c r="E913" i="18" s="1"/>
  <c r="D905" i="18"/>
  <c r="E905" i="18" s="1"/>
  <c r="D901" i="18"/>
  <c r="E901" i="18" s="1"/>
  <c r="D841" i="18"/>
  <c r="E841" i="18" s="1"/>
  <c r="D833" i="18"/>
  <c r="E833" i="18" s="1"/>
  <c r="D825" i="18"/>
  <c r="E825" i="18" s="1"/>
  <c r="D805" i="18"/>
  <c r="E805" i="18" s="1"/>
  <c r="D801" i="18"/>
  <c r="E801" i="18" s="1"/>
  <c r="D797" i="18"/>
  <c r="E797" i="18" s="1"/>
  <c r="D450" i="18"/>
  <c r="E450" i="18" s="1"/>
  <c r="D418" i="18"/>
  <c r="E418" i="18" s="1"/>
  <c r="D402" i="18"/>
  <c r="E402" i="18" s="1"/>
  <c r="D394" i="18"/>
  <c r="E394" i="18" s="1"/>
  <c r="D322" i="18"/>
  <c r="E322" i="18" s="1"/>
  <c r="D290" i="18"/>
  <c r="E290" i="18" s="1"/>
  <c r="D240" i="18"/>
  <c r="E240" i="18" s="1"/>
  <c r="D208" i="18"/>
  <c r="E208" i="18" s="1"/>
  <c r="D180" i="18"/>
  <c r="E180" i="18" s="1"/>
  <c r="D173" i="18"/>
  <c r="E173" i="18" s="1"/>
  <c r="D169" i="18"/>
  <c r="E169" i="18" s="1"/>
  <c r="D65" i="18"/>
  <c r="E65" i="18" s="1"/>
  <c r="D972" i="18"/>
  <c r="E972" i="18" s="1"/>
  <c r="D940" i="18"/>
  <c r="E940" i="18" s="1"/>
  <c r="D936" i="18"/>
  <c r="E936" i="18" s="1"/>
  <c r="D892" i="18"/>
  <c r="E892" i="18" s="1"/>
  <c r="D808" i="18"/>
  <c r="E808" i="18" s="1"/>
  <c r="D796" i="18"/>
  <c r="E796" i="18" s="1"/>
  <c r="D789" i="18"/>
  <c r="E789" i="18" s="1"/>
  <c r="D785" i="18"/>
  <c r="E785" i="18" s="1"/>
  <c r="D765" i="18"/>
  <c r="E765" i="18" s="1"/>
  <c r="D757" i="18"/>
  <c r="E757" i="18" s="1"/>
  <c r="D749" i="18"/>
  <c r="E749" i="18" s="1"/>
  <c r="D637" i="18"/>
  <c r="E637" i="18" s="1"/>
  <c r="D629" i="18"/>
  <c r="E629" i="18" s="1"/>
  <c r="D621" i="18"/>
  <c r="E621" i="18" s="1"/>
  <c r="D617" i="18"/>
  <c r="E617" i="18" s="1"/>
  <c r="D593" i="18"/>
  <c r="E593" i="18" s="1"/>
  <c r="D581" i="18"/>
  <c r="E581" i="18" s="1"/>
  <c r="D537" i="18"/>
  <c r="E537" i="18" s="1"/>
  <c r="D533" i="18"/>
  <c r="E533" i="18" s="1"/>
  <c r="D529" i="18"/>
  <c r="E529" i="18" s="1"/>
  <c r="D525" i="18"/>
  <c r="E525" i="18" s="1"/>
  <c r="D521" i="18"/>
  <c r="E521" i="18" s="1"/>
  <c r="D517" i="18"/>
  <c r="E517" i="18" s="1"/>
  <c r="D505" i="18"/>
  <c r="E505" i="18" s="1"/>
  <c r="D501" i="18"/>
  <c r="E501" i="18" s="1"/>
  <c r="D247" i="18"/>
  <c r="E247" i="18" s="1"/>
  <c r="D187" i="18"/>
  <c r="E187" i="18" s="1"/>
  <c r="D176" i="18"/>
  <c r="E176" i="18" s="1"/>
  <c r="D168" i="18"/>
  <c r="E168" i="18" s="1"/>
  <c r="D96" i="18"/>
  <c r="E96" i="18" s="1"/>
  <c r="D975" i="18"/>
  <c r="E975" i="18" s="1"/>
  <c r="D971" i="18"/>
  <c r="E971" i="18" s="1"/>
  <c r="D963" i="18"/>
  <c r="E963" i="18" s="1"/>
  <c r="D867" i="18"/>
  <c r="E867" i="18" s="1"/>
  <c r="D740" i="18"/>
  <c r="E740" i="18" s="1"/>
  <c r="D640" i="18"/>
  <c r="E640" i="18" s="1"/>
  <c r="D636" i="18"/>
  <c r="E636" i="18" s="1"/>
  <c r="D628" i="18"/>
  <c r="E628" i="18" s="1"/>
  <c r="D580" i="18"/>
  <c r="E580" i="18" s="1"/>
  <c r="D568" i="18"/>
  <c r="E568" i="18" s="1"/>
  <c r="D560" i="18"/>
  <c r="E560" i="18" s="1"/>
  <c r="D556" i="18"/>
  <c r="E556" i="18" s="1"/>
  <c r="D548" i="18"/>
  <c r="E548" i="18" s="1"/>
  <c r="D544" i="18"/>
  <c r="E544" i="18" s="1"/>
  <c r="D536" i="18"/>
  <c r="E536" i="18" s="1"/>
  <c r="D532" i="18"/>
  <c r="E532" i="18" s="1"/>
  <c r="D528" i="18"/>
  <c r="E528" i="18" s="1"/>
  <c r="D524" i="18"/>
  <c r="E524" i="18" s="1"/>
  <c r="D516" i="18"/>
  <c r="E516" i="18" s="1"/>
  <c r="D512" i="18"/>
  <c r="E512" i="18" s="1"/>
  <c r="D484" i="18"/>
  <c r="E484" i="18" s="1"/>
  <c r="D47" i="18"/>
  <c r="E47" i="18" s="1"/>
  <c r="D1026" i="18"/>
  <c r="E1026" i="18" s="1"/>
  <c r="D739" i="18"/>
  <c r="E739" i="18" s="1"/>
  <c r="D587" i="18"/>
  <c r="E587" i="18" s="1"/>
  <c r="D332" i="18"/>
  <c r="E332" i="18" s="1"/>
  <c r="D255" i="18"/>
  <c r="E255" i="18" s="1"/>
  <c r="D235" i="18"/>
  <c r="E235" i="18" s="1"/>
  <c r="D211" i="18"/>
  <c r="E211" i="18" s="1"/>
  <c r="D141" i="18"/>
  <c r="E141" i="18" s="1"/>
  <c r="D129" i="18"/>
  <c r="E129" i="18" s="1"/>
  <c r="D125" i="18"/>
  <c r="E125" i="18" s="1"/>
  <c r="D121" i="18"/>
  <c r="E121" i="18" s="1"/>
  <c r="D1007" i="18"/>
  <c r="E1007" i="18" s="1"/>
  <c r="D995" i="18"/>
  <c r="E995" i="18" s="1"/>
  <c r="D983" i="18"/>
  <c r="E983" i="18" s="1"/>
  <c r="D979" i="18"/>
  <c r="E979" i="18" s="1"/>
  <c r="D896" i="18"/>
  <c r="E896" i="18" s="1"/>
  <c r="D889" i="18"/>
  <c r="E889" i="18" s="1"/>
  <c r="D885" i="18"/>
  <c r="E885" i="18" s="1"/>
  <c r="D878" i="18"/>
  <c r="E878" i="18" s="1"/>
  <c r="D771" i="18"/>
  <c r="E771" i="18" s="1"/>
  <c r="D755" i="18"/>
  <c r="E755" i="18" s="1"/>
  <c r="D743" i="18"/>
  <c r="E743" i="18" s="1"/>
  <c r="D736" i="18"/>
  <c r="E736" i="18" s="1"/>
  <c r="D716" i="18"/>
  <c r="E716" i="18" s="1"/>
  <c r="D712" i="18"/>
  <c r="E712" i="18" s="1"/>
  <c r="D708" i="18"/>
  <c r="E708" i="18" s="1"/>
  <c r="D704" i="18"/>
  <c r="E704" i="18" s="1"/>
  <c r="D696" i="18"/>
  <c r="E696" i="18" s="1"/>
  <c r="D688" i="18"/>
  <c r="E688" i="18" s="1"/>
  <c r="D684" i="18"/>
  <c r="E684" i="18" s="1"/>
  <c r="D680" i="18"/>
  <c r="E680" i="18" s="1"/>
  <c r="D676" i="18"/>
  <c r="E676" i="18" s="1"/>
  <c r="D672" i="18"/>
  <c r="E672" i="18" s="1"/>
  <c r="D664" i="18"/>
  <c r="E664" i="18" s="1"/>
  <c r="D660" i="18"/>
  <c r="E660" i="18" s="1"/>
  <c r="D624" i="18"/>
  <c r="E624" i="18" s="1"/>
  <c r="D616" i="18"/>
  <c r="E616" i="18" s="1"/>
  <c r="D601" i="18"/>
  <c r="E601" i="18" s="1"/>
  <c r="D482" i="18"/>
  <c r="E482" i="18" s="1"/>
  <c r="D470" i="18"/>
  <c r="E470" i="18" s="1"/>
  <c r="D438" i="18"/>
  <c r="E438" i="18" s="1"/>
  <c r="D374" i="18"/>
  <c r="E374" i="18" s="1"/>
  <c r="D339" i="18"/>
  <c r="E339" i="18" s="1"/>
  <c r="D335" i="18"/>
  <c r="E335" i="18" s="1"/>
  <c r="D307" i="18"/>
  <c r="E307" i="18" s="1"/>
  <c r="D30" i="18"/>
  <c r="E30" i="18" s="1"/>
  <c r="D152" i="18"/>
  <c r="E152" i="18" s="1"/>
  <c r="D136" i="18"/>
  <c r="E136" i="18" s="1"/>
  <c r="D128" i="18"/>
  <c r="E128" i="18" s="1"/>
  <c r="D112" i="18"/>
  <c r="E112" i="18" s="1"/>
  <c r="D58" i="18"/>
  <c r="E58" i="18" s="1"/>
  <c r="D54" i="18"/>
  <c r="E54" i="18" s="1"/>
  <c r="D46" i="18"/>
  <c r="E46" i="18" s="1"/>
  <c r="D42" i="18"/>
  <c r="E42" i="18" s="1"/>
  <c r="D1025" i="18"/>
  <c r="E1025" i="18" s="1"/>
  <c r="D1021" i="18"/>
  <c r="E1021" i="18" s="1"/>
  <c r="D1006" i="18"/>
  <c r="E1006" i="18" s="1"/>
  <c r="D955" i="18"/>
  <c r="E955" i="18" s="1"/>
  <c r="D951" i="18"/>
  <c r="E951" i="18" s="1"/>
  <c r="D943" i="18"/>
  <c r="E943" i="18" s="1"/>
  <c r="D939" i="18"/>
  <c r="E939" i="18" s="1"/>
  <c r="D931" i="18"/>
  <c r="E931" i="18" s="1"/>
  <c r="D927" i="18"/>
  <c r="E927" i="18" s="1"/>
  <c r="D888" i="18"/>
  <c r="E888" i="18" s="1"/>
  <c r="D877" i="18"/>
  <c r="E877" i="18" s="1"/>
  <c r="D861" i="18"/>
  <c r="E861" i="18" s="1"/>
  <c r="D857" i="18"/>
  <c r="E857" i="18" s="1"/>
  <c r="D778" i="18"/>
  <c r="E778" i="18" s="1"/>
  <c r="D774" i="18"/>
  <c r="E774" i="18" s="1"/>
  <c r="D770" i="18"/>
  <c r="E770" i="18" s="1"/>
  <c r="D758" i="18"/>
  <c r="E758" i="18" s="1"/>
  <c r="D742" i="18"/>
  <c r="E742" i="18" s="1"/>
  <c r="D727" i="18"/>
  <c r="E727" i="18" s="1"/>
  <c r="D723" i="18"/>
  <c r="E723" i="18" s="1"/>
  <c r="D711" i="18"/>
  <c r="E711" i="18" s="1"/>
  <c r="D695" i="18"/>
  <c r="E695" i="18" s="1"/>
  <c r="D691" i="18"/>
  <c r="E691" i="18" s="1"/>
  <c r="D659" i="18"/>
  <c r="E659" i="18" s="1"/>
  <c r="D643" i="18"/>
  <c r="E643" i="18" s="1"/>
  <c r="D604" i="18"/>
  <c r="E604" i="18" s="1"/>
  <c r="D588" i="18"/>
  <c r="E588" i="18" s="1"/>
  <c r="D572" i="18"/>
  <c r="E572" i="18" s="1"/>
  <c r="D354" i="18"/>
  <c r="E354" i="18" s="1"/>
  <c r="D342" i="18"/>
  <c r="E342" i="18" s="1"/>
  <c r="D310" i="18"/>
  <c r="E310" i="18" s="1"/>
  <c r="D123" i="18"/>
  <c r="E123" i="18" s="1"/>
  <c r="D997" i="18"/>
  <c r="E997" i="18" s="1"/>
  <c r="D981" i="18"/>
  <c r="E981" i="18" s="1"/>
  <c r="D891" i="18"/>
  <c r="E891" i="18" s="1"/>
  <c r="D876" i="18"/>
  <c r="E876" i="18" s="1"/>
  <c r="D848" i="18"/>
  <c r="E848" i="18" s="1"/>
  <c r="D603" i="18"/>
  <c r="E603" i="18" s="1"/>
  <c r="D563" i="18"/>
  <c r="E563" i="18" s="1"/>
  <c r="D539" i="18"/>
  <c r="E539" i="18" s="1"/>
  <c r="D531" i="18"/>
  <c r="E531" i="18" s="1"/>
  <c r="D527" i="18"/>
  <c r="E527" i="18" s="1"/>
  <c r="D480" i="18"/>
  <c r="E480" i="18" s="1"/>
  <c r="D452" i="18"/>
  <c r="E452" i="18" s="1"/>
  <c r="D444" i="18"/>
  <c r="E444" i="18" s="1"/>
  <c r="D404" i="18"/>
  <c r="E404" i="18" s="1"/>
  <c r="D372" i="18"/>
  <c r="E372" i="18" s="1"/>
  <c r="D241" i="18"/>
  <c r="E241" i="18" s="1"/>
  <c r="D99" i="18"/>
  <c r="E99" i="18" s="1"/>
  <c r="D965" i="18"/>
  <c r="E965" i="18" s="1"/>
  <c r="D840" i="18"/>
  <c r="E840" i="18" s="1"/>
  <c r="D836" i="18"/>
  <c r="E836" i="18" s="1"/>
  <c r="D832" i="18"/>
  <c r="E832" i="18" s="1"/>
  <c r="D824" i="18"/>
  <c r="E824" i="18" s="1"/>
  <c r="D816" i="18"/>
  <c r="E816" i="18" s="1"/>
  <c r="D630" i="18"/>
  <c r="E630" i="18" s="1"/>
  <c r="D626" i="18"/>
  <c r="E626" i="18" s="1"/>
  <c r="D614" i="18"/>
  <c r="E614" i="18" s="1"/>
  <c r="D579" i="18"/>
  <c r="E579" i="18" s="1"/>
  <c r="D571" i="18"/>
  <c r="E571" i="18" s="1"/>
  <c r="D36" i="18"/>
  <c r="E36" i="18" s="1"/>
  <c r="D280" i="18"/>
  <c r="E280" i="18" s="1"/>
  <c r="D276" i="18"/>
  <c r="E276" i="18" s="1"/>
  <c r="D272" i="18"/>
  <c r="E272" i="18" s="1"/>
  <c r="D256" i="18"/>
  <c r="E256" i="18" s="1"/>
  <c r="D197" i="18"/>
  <c r="E197" i="18" s="1"/>
  <c r="D193" i="18"/>
  <c r="E193" i="18" s="1"/>
  <c r="D185" i="18"/>
  <c r="E185" i="18" s="1"/>
  <c r="D158" i="18"/>
  <c r="E158" i="18" s="1"/>
  <c r="D150" i="18"/>
  <c r="E150" i="18" s="1"/>
  <c r="D146" i="18"/>
  <c r="E146" i="18" s="1"/>
  <c r="D142" i="18"/>
  <c r="E142" i="18" s="1"/>
  <c r="D130" i="18"/>
  <c r="E130" i="18" s="1"/>
  <c r="D95" i="18"/>
  <c r="E95" i="18" s="1"/>
  <c r="D71" i="18"/>
  <c r="E71" i="18" s="1"/>
  <c r="D1019" i="18"/>
  <c r="E1019" i="18" s="1"/>
  <c r="D976" i="18"/>
  <c r="E976" i="18" s="1"/>
  <c r="D964" i="18"/>
  <c r="E964" i="18" s="1"/>
  <c r="D937" i="18"/>
  <c r="E937" i="18" s="1"/>
  <c r="D933" i="18"/>
  <c r="E933" i="18" s="1"/>
  <c r="D886" i="18"/>
  <c r="E886" i="18" s="1"/>
  <c r="D875" i="18"/>
  <c r="E875" i="18" s="1"/>
  <c r="D855" i="18"/>
  <c r="E855" i="18" s="1"/>
  <c r="D851" i="18"/>
  <c r="E851" i="18" s="1"/>
  <c r="D843" i="18"/>
  <c r="E843" i="18" s="1"/>
  <c r="D835" i="18"/>
  <c r="E835" i="18" s="1"/>
  <c r="D827" i="18"/>
  <c r="E827" i="18" s="1"/>
  <c r="D788" i="18"/>
  <c r="E788" i="18" s="1"/>
  <c r="D784" i="18"/>
  <c r="E784" i="18" s="1"/>
  <c r="D780" i="18"/>
  <c r="E780" i="18" s="1"/>
  <c r="D772" i="18"/>
  <c r="E772" i="18" s="1"/>
  <c r="D768" i="18"/>
  <c r="E768" i="18" s="1"/>
  <c r="D756" i="18"/>
  <c r="E756" i="18" s="1"/>
  <c r="D729" i="18"/>
  <c r="E729" i="18" s="1"/>
  <c r="D721" i="18"/>
  <c r="E721" i="18" s="1"/>
  <c r="D669" i="18"/>
  <c r="E669" i="18" s="1"/>
  <c r="D661" i="18"/>
  <c r="E661" i="18" s="1"/>
  <c r="D657" i="18"/>
  <c r="E657" i="18" s="1"/>
  <c r="D598" i="18"/>
  <c r="E598" i="18" s="1"/>
  <c r="D566" i="18"/>
  <c r="E566" i="18" s="1"/>
  <c r="D534" i="18"/>
  <c r="E534" i="18" s="1"/>
  <c r="D435" i="18"/>
  <c r="E435" i="18" s="1"/>
  <c r="D431" i="18"/>
  <c r="E431" i="18" s="1"/>
  <c r="D411" i="18"/>
  <c r="E411" i="18" s="1"/>
  <c r="D403" i="18"/>
  <c r="E403" i="18" s="1"/>
  <c r="D399" i="18"/>
  <c r="E399" i="18" s="1"/>
  <c r="D352" i="18"/>
  <c r="E352" i="18" s="1"/>
  <c r="D348" i="18"/>
  <c r="E348" i="18" s="1"/>
  <c r="D324" i="18"/>
  <c r="E324" i="18" s="1"/>
  <c r="D308" i="18"/>
  <c r="E308" i="18" s="1"/>
  <c r="D281" i="18"/>
  <c r="E281" i="18" s="1"/>
  <c r="D231" i="18"/>
  <c r="E231" i="18" s="1"/>
  <c r="D223" i="18"/>
  <c r="E223" i="18" s="1"/>
  <c r="D215" i="18"/>
  <c r="E215" i="18" s="1"/>
  <c r="D203" i="18"/>
  <c r="E203" i="18" s="1"/>
  <c r="D192" i="18"/>
  <c r="E192" i="18" s="1"/>
  <c r="D184" i="18"/>
  <c r="E184" i="18" s="1"/>
  <c r="D172" i="18"/>
  <c r="E172" i="18" s="1"/>
  <c r="D161" i="18"/>
  <c r="E161" i="18" s="1"/>
  <c r="D137" i="18"/>
  <c r="E137" i="18" s="1"/>
  <c r="D102" i="18"/>
  <c r="E102" i="18" s="1"/>
  <c r="D98" i="18"/>
  <c r="E98" i="18" s="1"/>
  <c r="D91" i="18"/>
  <c r="E91" i="18" s="1"/>
  <c r="D83" i="18"/>
  <c r="E83" i="18" s="1"/>
  <c r="D75" i="18"/>
  <c r="E75" i="18" s="1"/>
  <c r="D57" i="18"/>
  <c r="E57" i="18" s="1"/>
  <c r="D49" i="18"/>
  <c r="E49" i="18" s="1"/>
  <c r="D45" i="18"/>
  <c r="E45" i="18" s="1"/>
  <c r="D1024" i="18"/>
  <c r="E1024" i="18" s="1"/>
  <c r="D1003" i="18"/>
  <c r="E1003" i="18" s="1"/>
  <c r="D999" i="18"/>
  <c r="E999" i="18" s="1"/>
  <c r="D991" i="18"/>
  <c r="E991" i="18" s="1"/>
  <c r="D987" i="18"/>
  <c r="E987" i="18" s="1"/>
  <c r="D924" i="18"/>
  <c r="E924" i="18" s="1"/>
  <c r="D900" i="18"/>
  <c r="E900" i="18" s="1"/>
  <c r="D897" i="18"/>
  <c r="E897" i="18" s="1"/>
  <c r="D871" i="18"/>
  <c r="E871" i="18" s="1"/>
  <c r="D864" i="18"/>
  <c r="E864" i="18" s="1"/>
  <c r="D852" i="18"/>
  <c r="E852" i="18" s="1"/>
  <c r="D849" i="18"/>
  <c r="E849" i="18" s="1"/>
  <c r="D818" i="18"/>
  <c r="E818" i="18" s="1"/>
  <c r="D810" i="18"/>
  <c r="E810" i="18" s="1"/>
  <c r="D787" i="18"/>
  <c r="E787" i="18" s="1"/>
  <c r="D764" i="18"/>
  <c r="E764" i="18" s="1"/>
  <c r="D752" i="18"/>
  <c r="E752" i="18" s="1"/>
  <c r="D745" i="18"/>
  <c r="E745" i="18" s="1"/>
  <c r="D715" i="18"/>
  <c r="E715" i="18" s="1"/>
  <c r="D707" i="18"/>
  <c r="E707" i="18" s="1"/>
  <c r="D699" i="18"/>
  <c r="E699" i="18" s="1"/>
  <c r="D675" i="18"/>
  <c r="E675" i="18" s="1"/>
  <c r="D653" i="18"/>
  <c r="E653" i="18" s="1"/>
  <c r="D645" i="18"/>
  <c r="E645" i="18" s="1"/>
  <c r="D600" i="18"/>
  <c r="E600" i="18" s="1"/>
  <c r="D592" i="18"/>
  <c r="E592" i="18" s="1"/>
  <c r="D508" i="18"/>
  <c r="E508" i="18" s="1"/>
  <c r="D497" i="18"/>
  <c r="E497" i="18" s="1"/>
  <c r="D493" i="18"/>
  <c r="E493" i="18" s="1"/>
  <c r="D489" i="18"/>
  <c r="E489" i="18" s="1"/>
  <c r="D485" i="18"/>
  <c r="E485" i="18" s="1"/>
  <c r="D466" i="18"/>
  <c r="E466" i="18" s="1"/>
  <c r="D458" i="18"/>
  <c r="E458" i="18" s="1"/>
  <c r="D427" i="18"/>
  <c r="E427" i="18" s="1"/>
  <c r="D408" i="18"/>
  <c r="E408" i="18" s="1"/>
  <c r="D400" i="18"/>
  <c r="E400" i="18" s="1"/>
  <c r="D396" i="18"/>
  <c r="E396" i="18" s="1"/>
  <c r="D377" i="18"/>
  <c r="E377" i="18" s="1"/>
  <c r="D373" i="18"/>
  <c r="E373" i="18" s="1"/>
  <c r="D369" i="18"/>
  <c r="E369" i="18" s="1"/>
  <c r="D365" i="18"/>
  <c r="E365" i="18" s="1"/>
  <c r="D361" i="18"/>
  <c r="E361" i="18" s="1"/>
  <c r="D357" i="18"/>
  <c r="E357" i="18" s="1"/>
  <c r="D338" i="18"/>
  <c r="E338" i="18" s="1"/>
  <c r="D330" i="18"/>
  <c r="E330" i="18" s="1"/>
  <c r="D311" i="18"/>
  <c r="E311" i="18" s="1"/>
  <c r="D299" i="18"/>
  <c r="E299" i="18" s="1"/>
  <c r="D295" i="18"/>
  <c r="E295" i="18" s="1"/>
  <c r="D214" i="18"/>
  <c r="E214" i="18" s="1"/>
  <c r="D210" i="18"/>
  <c r="E210" i="18" s="1"/>
  <c r="D199" i="18"/>
  <c r="E199" i="18" s="1"/>
  <c r="D191" i="18"/>
  <c r="E191" i="18" s="1"/>
  <c r="D183" i="18"/>
  <c r="E183" i="18" s="1"/>
  <c r="D148" i="18"/>
  <c r="E148" i="18" s="1"/>
  <c r="D120" i="18"/>
  <c r="E120" i="18" s="1"/>
  <c r="D116" i="18"/>
  <c r="E116" i="18" s="1"/>
  <c r="D109" i="18"/>
  <c r="E109" i="18" s="1"/>
  <c r="D105" i="18"/>
  <c r="E105" i="18" s="1"/>
  <c r="D67" i="18"/>
  <c r="E67" i="18" s="1"/>
  <c r="D60" i="18"/>
  <c r="E60" i="18" s="1"/>
  <c r="D52" i="18"/>
  <c r="E52" i="18" s="1"/>
  <c r="D48" i="18"/>
  <c r="E48" i="18" s="1"/>
  <c r="D40" i="18"/>
  <c r="E40" i="18" s="1"/>
  <c r="D1023" i="18"/>
  <c r="E1023" i="18" s="1"/>
  <c r="D1016" i="18"/>
  <c r="E1016" i="18" s="1"/>
  <c r="D1012" i="18"/>
  <c r="E1012" i="18" s="1"/>
  <c r="D998" i="18"/>
  <c r="E998" i="18" s="1"/>
  <c r="D994" i="18"/>
  <c r="E994" i="18" s="1"/>
  <c r="D960" i="18"/>
  <c r="E960" i="18" s="1"/>
  <c r="D949" i="18"/>
  <c r="E949" i="18" s="1"/>
  <c r="D945" i="18"/>
  <c r="E945" i="18" s="1"/>
  <c r="D941" i="18"/>
  <c r="E941" i="18" s="1"/>
  <c r="D903" i="18"/>
  <c r="E903" i="18" s="1"/>
  <c r="D884" i="18"/>
  <c r="E884" i="18" s="1"/>
  <c r="D870" i="18"/>
  <c r="E870" i="18" s="1"/>
  <c r="D859" i="18"/>
  <c r="E859" i="18" s="1"/>
  <c r="D828" i="18"/>
  <c r="E828" i="18" s="1"/>
  <c r="D821" i="18"/>
  <c r="E821" i="18" s="1"/>
  <c r="D817" i="18"/>
  <c r="E817" i="18" s="1"/>
  <c r="D809" i="18"/>
  <c r="E809" i="18" s="1"/>
  <c r="D790" i="18"/>
  <c r="E790" i="18" s="1"/>
  <c r="D786" i="18"/>
  <c r="E786" i="18" s="1"/>
  <c r="D759" i="18"/>
  <c r="E759" i="18" s="1"/>
  <c r="D733" i="18"/>
  <c r="E733" i="18" s="1"/>
  <c r="D652" i="18"/>
  <c r="E652" i="18" s="1"/>
  <c r="D644" i="18"/>
  <c r="E644" i="18" s="1"/>
  <c r="D632" i="18"/>
  <c r="E632" i="18" s="1"/>
  <c r="D599" i="18"/>
  <c r="E599" i="18" s="1"/>
  <c r="D584" i="18"/>
  <c r="E584" i="18" s="1"/>
  <c r="D562" i="18"/>
  <c r="E562" i="18" s="1"/>
  <c r="D554" i="18"/>
  <c r="E554" i="18" s="1"/>
  <c r="D523" i="18"/>
  <c r="E523" i="18" s="1"/>
  <c r="D504" i="18"/>
  <c r="E504" i="18" s="1"/>
  <c r="D496" i="18"/>
  <c r="E496" i="18" s="1"/>
  <c r="D492" i="18"/>
  <c r="E492" i="18" s="1"/>
  <c r="D476" i="18"/>
  <c r="E476" i="18" s="1"/>
  <c r="D473" i="18"/>
  <c r="E473" i="18" s="1"/>
  <c r="D469" i="18"/>
  <c r="E469" i="18" s="1"/>
  <c r="D465" i="18"/>
  <c r="E465" i="18" s="1"/>
  <c r="D461" i="18"/>
  <c r="E461" i="18" s="1"/>
  <c r="D457" i="18"/>
  <c r="E457" i="18" s="1"/>
  <c r="D453" i="18"/>
  <c r="E453" i="18" s="1"/>
  <c r="D434" i="18"/>
  <c r="E434" i="18" s="1"/>
  <c r="D426" i="18"/>
  <c r="E426" i="18" s="1"/>
  <c r="D395" i="18"/>
  <c r="E395" i="18" s="1"/>
  <c r="D376" i="18"/>
  <c r="E376" i="18" s="1"/>
  <c r="D368" i="18"/>
  <c r="E368" i="18" s="1"/>
  <c r="D364" i="18"/>
  <c r="E364" i="18" s="1"/>
  <c r="D345" i="18"/>
  <c r="E345" i="18" s="1"/>
  <c r="D341" i="18"/>
  <c r="E341" i="18" s="1"/>
  <c r="D337" i="18"/>
  <c r="E337" i="18" s="1"/>
  <c r="D333" i="18"/>
  <c r="E333" i="18" s="1"/>
  <c r="D329" i="18"/>
  <c r="E329" i="18" s="1"/>
  <c r="D317" i="18"/>
  <c r="E317" i="18" s="1"/>
  <c r="D306" i="18"/>
  <c r="E306" i="18" s="1"/>
  <c r="D298" i="18"/>
  <c r="E298" i="18" s="1"/>
  <c r="D820" i="18"/>
  <c r="E820" i="18" s="1"/>
  <c r="D499" i="18"/>
  <c r="E499" i="18" s="1"/>
  <c r="D495" i="18"/>
  <c r="E495" i="18" s="1"/>
  <c r="D406" i="18"/>
  <c r="E406" i="18" s="1"/>
  <c r="D371" i="18"/>
  <c r="E371" i="18" s="1"/>
  <c r="D367" i="18"/>
  <c r="E367" i="18" s="1"/>
  <c r="D340" i="18"/>
  <c r="E340" i="18" s="1"/>
  <c r="D233" i="18"/>
  <c r="E233" i="18" s="1"/>
  <c r="D229" i="18"/>
  <c r="E229" i="18" s="1"/>
  <c r="D225" i="18"/>
  <c r="E225" i="18" s="1"/>
  <c r="D217" i="18"/>
  <c r="E217" i="18" s="1"/>
  <c r="D213" i="18"/>
  <c r="E213" i="18" s="1"/>
  <c r="D209" i="18"/>
  <c r="E209" i="18" s="1"/>
  <c r="D182" i="18"/>
  <c r="E182" i="18" s="1"/>
  <c r="D81" i="18"/>
  <c r="E81" i="18" s="1"/>
  <c r="D70" i="18"/>
  <c r="E70" i="18" s="1"/>
  <c r="D59" i="18"/>
  <c r="E59" i="18" s="1"/>
  <c r="D1008" i="18"/>
  <c r="E1008" i="18" s="1"/>
  <c r="D952" i="18"/>
  <c r="E952" i="18" s="1"/>
  <c r="D944" i="18"/>
  <c r="E944" i="18" s="1"/>
  <c r="D565" i="18"/>
  <c r="E565" i="18" s="1"/>
  <c r="D561" i="18"/>
  <c r="E561" i="18" s="1"/>
  <c r="D557" i="18"/>
  <c r="E557" i="18" s="1"/>
  <c r="D553" i="18"/>
  <c r="E553" i="18" s="1"/>
  <c r="D549" i="18"/>
  <c r="E549" i="18" s="1"/>
  <c r="D530" i="18"/>
  <c r="E530" i="18" s="1"/>
  <c r="D522" i="18"/>
  <c r="E522" i="18" s="1"/>
  <c r="D263" i="18"/>
  <c r="E263" i="18" s="1"/>
  <c r="D248" i="18"/>
  <c r="E248" i="18" s="1"/>
  <c r="D228" i="18"/>
  <c r="E228" i="18" s="1"/>
  <c r="D220" i="18"/>
  <c r="E220" i="18" s="1"/>
  <c r="D151" i="18"/>
  <c r="E151" i="18" s="1"/>
  <c r="D147" i="18"/>
  <c r="E147" i="18" s="1"/>
  <c r="D143" i="18"/>
  <c r="E143" i="18" s="1"/>
  <c r="D139" i="18"/>
  <c r="E139" i="18" s="1"/>
  <c r="D135" i="18"/>
  <c r="E135" i="18" s="1"/>
  <c r="D131" i="18"/>
  <c r="E131" i="18" s="1"/>
  <c r="D127" i="18"/>
  <c r="E127" i="18" s="1"/>
  <c r="D119" i="18"/>
  <c r="E119" i="18" s="1"/>
  <c r="D115" i="18"/>
  <c r="E115" i="18" s="1"/>
  <c r="D103" i="18"/>
  <c r="E103" i="18" s="1"/>
  <c r="D77" i="18"/>
  <c r="E77" i="18" s="1"/>
  <c r="D73" i="18"/>
  <c r="E73" i="18" s="1"/>
  <c r="D1018" i="18"/>
  <c r="E1018" i="18" s="1"/>
  <c r="D1004" i="18"/>
  <c r="E1004" i="18" s="1"/>
  <c r="D993" i="18"/>
  <c r="E993" i="18" s="1"/>
  <c r="D989" i="18"/>
  <c r="E989" i="18" s="1"/>
  <c r="D977" i="18"/>
  <c r="E977" i="18" s="1"/>
  <c r="D966" i="18"/>
  <c r="E966" i="18" s="1"/>
  <c r="D947" i="18"/>
  <c r="E947" i="18" s="1"/>
  <c r="D914" i="18"/>
  <c r="E914" i="18" s="1"/>
  <c r="D902" i="18"/>
  <c r="E902" i="18" s="1"/>
  <c r="D872" i="18"/>
  <c r="E872" i="18" s="1"/>
  <c r="D854" i="18"/>
  <c r="E854" i="18" s="1"/>
  <c r="D839" i="18"/>
  <c r="E839" i="18" s="1"/>
  <c r="D804" i="18"/>
  <c r="E804" i="18" s="1"/>
  <c r="D800" i="18"/>
  <c r="E800" i="18" s="1"/>
  <c r="D781" i="18"/>
  <c r="E781" i="18" s="1"/>
  <c r="D773" i="18"/>
  <c r="E773" i="18" s="1"/>
  <c r="D754" i="18"/>
  <c r="E754" i="18" s="1"/>
  <c r="D728" i="18"/>
  <c r="E728" i="18" s="1"/>
  <c r="D720" i="18"/>
  <c r="E720" i="18" s="1"/>
  <c r="D713" i="18"/>
  <c r="E713" i="18" s="1"/>
  <c r="D705" i="18"/>
  <c r="E705" i="18" s="1"/>
  <c r="D697" i="18"/>
  <c r="E697" i="18" s="1"/>
  <c r="D693" i="18"/>
  <c r="E693" i="18" s="1"/>
  <c r="D689" i="18"/>
  <c r="E689" i="18" s="1"/>
  <c r="D681" i="18"/>
  <c r="E681" i="18" s="1"/>
  <c r="D677" i="18"/>
  <c r="E677" i="18" s="1"/>
  <c r="D673" i="18"/>
  <c r="E673" i="18" s="1"/>
  <c r="D662" i="18"/>
  <c r="E662" i="18" s="1"/>
  <c r="D658" i="18"/>
  <c r="E658" i="18" s="1"/>
  <c r="D631" i="18"/>
  <c r="E631" i="18" s="1"/>
  <c r="D620" i="18"/>
  <c r="E620" i="18" s="1"/>
  <c r="D605" i="18"/>
  <c r="E605" i="18" s="1"/>
  <c r="D576" i="18"/>
  <c r="E576" i="18" s="1"/>
  <c r="D564" i="18"/>
  <c r="E564" i="18" s="1"/>
  <c r="D514" i="18"/>
  <c r="E514" i="18" s="1"/>
  <c r="D502" i="18"/>
  <c r="E502" i="18" s="1"/>
  <c r="D483" i="18"/>
  <c r="E483" i="18" s="1"/>
  <c r="D467" i="18"/>
  <c r="E467" i="18" s="1"/>
  <c r="D463" i="18"/>
  <c r="E463" i="18" s="1"/>
  <c r="D448" i="18"/>
  <c r="E448" i="18" s="1"/>
  <c r="D436" i="18"/>
  <c r="E436" i="18" s="1"/>
  <c r="D386" i="18"/>
  <c r="E386" i="18" s="1"/>
  <c r="D355" i="18"/>
  <c r="E355" i="18" s="1"/>
  <c r="D320" i="18"/>
  <c r="E320" i="18" s="1"/>
  <c r="D316" i="18"/>
  <c r="E316" i="18" s="1"/>
  <c r="D72" i="18"/>
  <c r="E72" i="18" s="1"/>
  <c r="D980" i="18"/>
  <c r="E980" i="18" s="1"/>
  <c r="D803" i="18"/>
  <c r="E803" i="18" s="1"/>
  <c r="D776" i="18"/>
  <c r="E776" i="18" s="1"/>
  <c r="D731" i="18"/>
  <c r="E731" i="18" s="1"/>
  <c r="D700" i="18"/>
  <c r="E700" i="18" s="1"/>
  <c r="D692" i="18"/>
  <c r="E692" i="18" s="1"/>
  <c r="D608" i="18"/>
  <c r="E608" i="18" s="1"/>
  <c r="D540" i="18"/>
  <c r="E540" i="18" s="1"/>
  <c r="D412" i="18"/>
  <c r="E412" i="18" s="1"/>
  <c r="D389" i="18"/>
  <c r="E389" i="18" s="1"/>
  <c r="D370" i="18"/>
  <c r="E370" i="18" s="1"/>
  <c r="D362" i="18"/>
  <c r="E362" i="18" s="1"/>
  <c r="D331" i="18"/>
  <c r="E331" i="18" s="1"/>
  <c r="D327" i="18"/>
  <c r="E327" i="18" s="1"/>
  <c r="D312" i="18"/>
  <c r="E312" i="18" s="1"/>
  <c r="D304" i="18"/>
  <c r="E304" i="18" s="1"/>
  <c r="D300" i="18"/>
  <c r="E300" i="18" s="1"/>
  <c r="D559" i="18"/>
  <c r="E559" i="18" s="1"/>
  <c r="D35" i="18"/>
  <c r="E35" i="18" s="1"/>
  <c r="D236" i="18"/>
  <c r="E236" i="18" s="1"/>
  <c r="D164" i="18"/>
  <c r="E164" i="18" s="1"/>
  <c r="D108" i="18"/>
  <c r="E108" i="18" s="1"/>
  <c r="D87" i="18"/>
  <c r="E87" i="18" s="1"/>
  <c r="D996" i="18"/>
  <c r="E996" i="18" s="1"/>
  <c r="D986" i="18"/>
  <c r="E986" i="18" s="1"/>
  <c r="D232" i="18"/>
  <c r="E232" i="18" s="1"/>
  <c r="D224" i="18"/>
  <c r="E224" i="18" s="1"/>
  <c r="D216" i="18"/>
  <c r="E216" i="18" s="1"/>
  <c r="D177" i="18"/>
  <c r="E177" i="18" s="1"/>
  <c r="D174" i="18"/>
  <c r="E174" i="18" s="1"/>
  <c r="D153" i="18"/>
  <c r="E153" i="18" s="1"/>
  <c r="D118" i="18"/>
  <c r="E118" i="18" s="1"/>
  <c r="D104" i="18"/>
  <c r="E104" i="18" s="1"/>
  <c r="D76" i="18"/>
  <c r="E76" i="18" s="1"/>
  <c r="D55" i="18"/>
  <c r="E55" i="18" s="1"/>
  <c r="D51" i="18"/>
  <c r="E51" i="18" s="1"/>
  <c r="D43" i="18"/>
  <c r="E43" i="18" s="1"/>
  <c r="D1009" i="18"/>
  <c r="E1009" i="18" s="1"/>
  <c r="D992" i="18"/>
  <c r="E992" i="18" s="1"/>
  <c r="D982" i="18"/>
  <c r="E982" i="18" s="1"/>
  <c r="D962" i="18"/>
  <c r="E962" i="18" s="1"/>
  <c r="D908" i="18"/>
  <c r="E908" i="18" s="1"/>
  <c r="D904" i="18"/>
  <c r="E904" i="18" s="1"/>
  <c r="D500" i="18"/>
  <c r="E500" i="18" s="1"/>
  <c r="D279" i="18"/>
  <c r="E279" i="18" s="1"/>
  <c r="D271" i="18"/>
  <c r="E271" i="18" s="1"/>
  <c r="D246" i="18"/>
  <c r="E246" i="18" s="1"/>
  <c r="D242" i="18"/>
  <c r="E242" i="18" s="1"/>
  <c r="D239" i="18"/>
  <c r="E239" i="18" s="1"/>
  <c r="D219" i="18"/>
  <c r="E219" i="18" s="1"/>
  <c r="D204" i="18"/>
  <c r="E204" i="18" s="1"/>
  <c r="D190" i="18"/>
  <c r="E190" i="18" s="1"/>
  <c r="D145" i="18"/>
  <c r="E145" i="18" s="1"/>
  <c r="D134" i="18"/>
  <c r="E134" i="18" s="1"/>
  <c r="D107" i="18"/>
  <c r="E107" i="18" s="1"/>
  <c r="D100" i="18"/>
  <c r="E100" i="18" s="1"/>
  <c r="D97" i="18"/>
  <c r="E97" i="18" s="1"/>
  <c r="D86" i="18"/>
  <c r="E86" i="18" s="1"/>
  <c r="D79" i="18"/>
  <c r="E79" i="18" s="1"/>
  <c r="D1022" i="18"/>
  <c r="E1022" i="18" s="1"/>
  <c r="D988" i="18"/>
  <c r="E988" i="18" s="1"/>
  <c r="D985" i="18"/>
  <c r="E985" i="18" s="1"/>
  <c r="D978" i="18"/>
  <c r="E978" i="18" s="1"/>
  <c r="D968" i="18"/>
  <c r="E968" i="18" s="1"/>
  <c r="D961" i="18"/>
  <c r="E961" i="18" s="1"/>
  <c r="D954" i="18"/>
  <c r="E954" i="18" s="1"/>
  <c r="D907" i="18"/>
  <c r="E907" i="18" s="1"/>
  <c r="D881" i="18"/>
  <c r="E881" i="18" s="1"/>
  <c r="D760" i="18"/>
  <c r="E760" i="18" s="1"/>
  <c r="D264" i="18"/>
  <c r="E264" i="18" s="1"/>
  <c r="D39" i="18"/>
  <c r="E39" i="18" s="1"/>
  <c r="D278" i="18"/>
  <c r="E278" i="18" s="1"/>
  <c r="D274" i="18"/>
  <c r="E274" i="18" s="1"/>
  <c r="D270" i="18"/>
  <c r="E270" i="18" s="1"/>
  <c r="D200" i="18"/>
  <c r="E200" i="18" s="1"/>
  <c r="D159" i="18"/>
  <c r="E159" i="18" s="1"/>
  <c r="D144" i="18"/>
  <c r="E144" i="18" s="1"/>
  <c r="D113" i="18"/>
  <c r="E113" i="18" s="1"/>
  <c r="D110" i="18"/>
  <c r="E110" i="18" s="1"/>
  <c r="D89" i="18"/>
  <c r="E89" i="18" s="1"/>
  <c r="D85" i="18"/>
  <c r="E85" i="18" s="1"/>
  <c r="D61" i="18"/>
  <c r="E61" i="18" s="1"/>
  <c r="D1001" i="18"/>
  <c r="E1001" i="18" s="1"/>
  <c r="D984" i="18"/>
  <c r="E984" i="18" s="1"/>
  <c r="D974" i="18"/>
  <c r="E974" i="18" s="1"/>
  <c r="D873" i="18"/>
  <c r="E873" i="18" s="1"/>
  <c r="D812" i="18"/>
  <c r="E812" i="18" s="1"/>
  <c r="D251" i="18"/>
  <c r="E251" i="18" s="1"/>
  <c r="D230" i="18"/>
  <c r="E230" i="18" s="1"/>
  <c r="D226" i="18"/>
  <c r="E226" i="18" s="1"/>
  <c r="D207" i="18"/>
  <c r="E207" i="18" s="1"/>
  <c r="D162" i="18"/>
  <c r="E162" i="18" s="1"/>
  <c r="D155" i="18"/>
  <c r="E155" i="18" s="1"/>
  <c r="D132" i="18"/>
  <c r="E132" i="18" s="1"/>
  <c r="D126" i="18"/>
  <c r="E126" i="18" s="1"/>
  <c r="D948" i="18"/>
  <c r="E948" i="18" s="1"/>
  <c r="D887" i="18"/>
  <c r="E887" i="18" s="1"/>
  <c r="D188" i="18"/>
  <c r="E188" i="18" s="1"/>
  <c r="D44" i="18"/>
  <c r="E44" i="18" s="1"/>
  <c r="D1020" i="18"/>
  <c r="E1020" i="18" s="1"/>
  <c r="D1017" i="18"/>
  <c r="E1017" i="18" s="1"/>
  <c r="D1010" i="18"/>
  <c r="E1010" i="18" s="1"/>
  <c r="D1000" i="18"/>
  <c r="E1000" i="18" s="1"/>
  <c r="D990" i="18"/>
  <c r="E990" i="18" s="1"/>
  <c r="D930" i="18"/>
  <c r="E930" i="18" s="1"/>
  <c r="D923" i="18"/>
  <c r="E923" i="18" s="1"/>
  <c r="D916" i="18"/>
  <c r="E916" i="18" s="1"/>
  <c r="D893" i="18"/>
  <c r="E893" i="18" s="1"/>
  <c r="D869" i="18"/>
  <c r="E869" i="18" s="1"/>
  <c r="D866" i="18"/>
  <c r="E866" i="18" s="1"/>
  <c r="D845" i="18"/>
  <c r="E845" i="18" s="1"/>
  <c r="D838" i="18"/>
  <c r="E838" i="18" s="1"/>
  <c r="D807" i="18"/>
  <c r="E807" i="18" s="1"/>
  <c r="D793" i="18"/>
  <c r="E793" i="18" s="1"/>
  <c r="D779" i="18"/>
  <c r="E779" i="18" s="1"/>
  <c r="D769" i="18"/>
  <c r="E769" i="18" s="1"/>
  <c r="D762" i="18"/>
  <c r="E762" i="18" s="1"/>
  <c r="D741" i="18"/>
  <c r="E741" i="18" s="1"/>
  <c r="D738" i="18"/>
  <c r="E738" i="18" s="1"/>
  <c r="D717" i="18"/>
  <c r="E717" i="18" s="1"/>
  <c r="D710" i="18"/>
  <c r="E710" i="18" s="1"/>
  <c r="D679" i="18"/>
  <c r="E679" i="18" s="1"/>
  <c r="D665" i="18"/>
  <c r="E665" i="18" s="1"/>
  <c r="D651" i="18"/>
  <c r="E651" i="18" s="1"/>
  <c r="D641" i="18"/>
  <c r="E641" i="18" s="1"/>
  <c r="D634" i="18"/>
  <c r="E634" i="18" s="1"/>
  <c r="D613" i="18"/>
  <c r="E613" i="18" s="1"/>
  <c r="D610" i="18"/>
  <c r="E610" i="18" s="1"/>
  <c r="D589" i="18"/>
  <c r="E589" i="18" s="1"/>
  <c r="D586" i="18"/>
  <c r="E586" i="18" s="1"/>
  <c r="D575" i="18"/>
  <c r="E575" i="18" s="1"/>
  <c r="D550" i="18"/>
  <c r="E550" i="18" s="1"/>
  <c r="D543" i="18"/>
  <c r="E543" i="18" s="1"/>
  <c r="D518" i="18"/>
  <c r="E518" i="18" s="1"/>
  <c r="D511" i="18"/>
  <c r="E511" i="18" s="1"/>
  <c r="D486" i="18"/>
  <c r="E486" i="18" s="1"/>
  <c r="D479" i="18"/>
  <c r="E479" i="18" s="1"/>
  <c r="D454" i="18"/>
  <c r="E454" i="18" s="1"/>
  <c r="D447" i="18"/>
  <c r="E447" i="18" s="1"/>
  <c r="D422" i="18"/>
  <c r="E422" i="18" s="1"/>
  <c r="D415" i="18"/>
  <c r="E415" i="18" s="1"/>
  <c r="D390" i="18"/>
  <c r="E390" i="18" s="1"/>
  <c r="D383" i="18"/>
  <c r="E383" i="18" s="1"/>
  <c r="D358" i="18"/>
  <c r="E358" i="18" s="1"/>
  <c r="D351" i="18"/>
  <c r="E351" i="18" s="1"/>
  <c r="D326" i="18"/>
  <c r="E326" i="18" s="1"/>
  <c r="D301" i="18"/>
  <c r="E301" i="18" s="1"/>
  <c r="D294" i="18"/>
  <c r="E294" i="18" s="1"/>
  <c r="D956" i="18"/>
  <c r="E956" i="18" s="1"/>
  <c r="D946" i="18"/>
  <c r="E946" i="18" s="1"/>
  <c r="D932" i="18"/>
  <c r="E932" i="18" s="1"/>
  <c r="D909" i="18"/>
  <c r="E909" i="18" s="1"/>
  <c r="D882" i="18"/>
  <c r="E882" i="18" s="1"/>
  <c r="D879" i="18"/>
  <c r="E879" i="18" s="1"/>
  <c r="D865" i="18"/>
  <c r="E865" i="18" s="1"/>
  <c r="D858" i="18"/>
  <c r="E858" i="18" s="1"/>
  <c r="D837" i="18"/>
  <c r="E837" i="18" s="1"/>
  <c r="D834" i="18"/>
  <c r="E834" i="18" s="1"/>
  <c r="D813" i="18"/>
  <c r="E813" i="18" s="1"/>
  <c r="D806" i="18"/>
  <c r="E806" i="18" s="1"/>
  <c r="D775" i="18"/>
  <c r="E775" i="18" s="1"/>
  <c r="D761" i="18"/>
  <c r="E761" i="18" s="1"/>
  <c r="D747" i="18"/>
  <c r="E747" i="18" s="1"/>
  <c r="D737" i="18"/>
  <c r="E737" i="18" s="1"/>
  <c r="D730" i="18"/>
  <c r="E730" i="18" s="1"/>
  <c r="D709" i="18"/>
  <c r="E709" i="18" s="1"/>
  <c r="D706" i="18"/>
  <c r="E706" i="18" s="1"/>
  <c r="D685" i="18"/>
  <c r="E685" i="18" s="1"/>
  <c r="D678" i="18"/>
  <c r="E678" i="18" s="1"/>
  <c r="D647" i="18"/>
  <c r="E647" i="18" s="1"/>
  <c r="D633" i="18"/>
  <c r="E633" i="18" s="1"/>
  <c r="D619" i="18"/>
  <c r="E619" i="18" s="1"/>
  <c r="D609" i="18"/>
  <c r="E609" i="18" s="1"/>
  <c r="D602" i="18"/>
  <c r="E602" i="18" s="1"/>
  <c r="D585" i="18"/>
  <c r="E585" i="18" s="1"/>
  <c r="D574" i="18"/>
  <c r="E574" i="18" s="1"/>
  <c r="D567" i="18"/>
  <c r="E567" i="18" s="1"/>
  <c r="D542" i="18"/>
  <c r="E542" i="18" s="1"/>
  <c r="D535" i="18"/>
  <c r="E535" i="18" s="1"/>
  <c r="D510" i="18"/>
  <c r="E510" i="18" s="1"/>
  <c r="D503" i="18"/>
  <c r="E503" i="18" s="1"/>
  <c r="D478" i="18"/>
  <c r="E478" i="18" s="1"/>
  <c r="D471" i="18"/>
  <c r="E471" i="18" s="1"/>
  <c r="D446" i="18"/>
  <c r="E446" i="18" s="1"/>
  <c r="D439" i="18"/>
  <c r="E439" i="18" s="1"/>
  <c r="D414" i="18"/>
  <c r="E414" i="18" s="1"/>
  <c r="D407" i="18"/>
  <c r="E407" i="18" s="1"/>
  <c r="D382" i="18"/>
  <c r="E382" i="18" s="1"/>
  <c r="D375" i="18"/>
  <c r="E375" i="18" s="1"/>
  <c r="D350" i="18"/>
  <c r="E350" i="18" s="1"/>
  <c r="D343" i="18"/>
  <c r="E343" i="18" s="1"/>
  <c r="D325" i="18"/>
  <c r="E325" i="18" s="1"/>
  <c r="D318" i="18"/>
  <c r="E318" i="18" s="1"/>
  <c r="D286" i="18"/>
  <c r="E286" i="18" s="1"/>
  <c r="D959" i="18"/>
  <c r="E959" i="18" s="1"/>
  <c r="D935" i="18"/>
  <c r="E935" i="18" s="1"/>
  <c r="D895" i="18"/>
  <c r="E895" i="18" s="1"/>
  <c r="D795" i="18"/>
  <c r="E795" i="18" s="1"/>
  <c r="D667" i="18"/>
  <c r="E667" i="18" s="1"/>
  <c r="D591" i="18"/>
  <c r="E591" i="18" s="1"/>
  <c r="D918" i="18"/>
  <c r="E918" i="18" s="1"/>
  <c r="D911" i="18"/>
  <c r="E911" i="18" s="1"/>
  <c r="D898" i="18"/>
  <c r="E898" i="18" s="1"/>
  <c r="D874" i="18"/>
  <c r="E874" i="18" s="1"/>
  <c r="D853" i="18"/>
  <c r="E853" i="18" s="1"/>
  <c r="D850" i="18"/>
  <c r="E850" i="18" s="1"/>
  <c r="D829" i="18"/>
  <c r="E829" i="18" s="1"/>
  <c r="D822" i="18"/>
  <c r="E822" i="18" s="1"/>
  <c r="D791" i="18"/>
  <c r="E791" i="18" s="1"/>
  <c r="D777" i="18"/>
  <c r="E777" i="18" s="1"/>
  <c r="D763" i="18"/>
  <c r="E763" i="18" s="1"/>
  <c r="D753" i="18"/>
  <c r="E753" i="18" s="1"/>
  <c r="D746" i="18"/>
  <c r="E746" i="18" s="1"/>
  <c r="D725" i="18"/>
  <c r="E725" i="18" s="1"/>
  <c r="D722" i="18"/>
  <c r="E722" i="18" s="1"/>
  <c r="D701" i="18"/>
  <c r="E701" i="18" s="1"/>
  <c r="D694" i="18"/>
  <c r="E694" i="18" s="1"/>
  <c r="D663" i="18"/>
  <c r="E663" i="18" s="1"/>
  <c r="D649" i="18"/>
  <c r="E649" i="18" s="1"/>
  <c r="D635" i="18"/>
  <c r="E635" i="18" s="1"/>
  <c r="D625" i="18"/>
  <c r="E625" i="18" s="1"/>
  <c r="D618" i="18"/>
  <c r="E618" i="18" s="1"/>
  <c r="D597" i="18"/>
  <c r="E597" i="18" s="1"/>
  <c r="D594" i="18"/>
  <c r="E594" i="18" s="1"/>
  <c r="D577" i="18"/>
  <c r="E577" i="18" s="1"/>
  <c r="D573" i="18"/>
  <c r="E573" i="18" s="1"/>
  <c r="D570" i="18"/>
  <c r="E570" i="18" s="1"/>
  <c r="D552" i="18"/>
  <c r="E552" i="18" s="1"/>
  <c r="D545" i="18"/>
  <c r="E545" i="18" s="1"/>
  <c r="D541" i="18"/>
  <c r="E541" i="18" s="1"/>
  <c r="D538" i="18"/>
  <c r="E538" i="18" s="1"/>
  <c r="D520" i="18"/>
  <c r="E520" i="18" s="1"/>
  <c r="D513" i="18"/>
  <c r="E513" i="18" s="1"/>
  <c r="D509" i="18"/>
  <c r="E509" i="18" s="1"/>
  <c r="D506" i="18"/>
  <c r="E506" i="18" s="1"/>
  <c r="D488" i="18"/>
  <c r="E488" i="18" s="1"/>
  <c r="D481" i="18"/>
  <c r="E481" i="18" s="1"/>
  <c r="D477" i="18"/>
  <c r="E477" i="18" s="1"/>
  <c r="D474" i="18"/>
  <c r="E474" i="18" s="1"/>
  <c r="D456" i="18"/>
  <c r="E456" i="18" s="1"/>
  <c r="D449" i="18"/>
  <c r="E449" i="18" s="1"/>
  <c r="D445" i="18"/>
  <c r="E445" i="18" s="1"/>
  <c r="D442" i="18"/>
  <c r="E442" i="18" s="1"/>
  <c r="D424" i="18"/>
  <c r="E424" i="18" s="1"/>
  <c r="D417" i="18"/>
  <c r="E417" i="18" s="1"/>
  <c r="D413" i="18"/>
  <c r="E413" i="18" s="1"/>
  <c r="D410" i="18"/>
  <c r="E410" i="18" s="1"/>
  <c r="D392" i="18"/>
  <c r="E392" i="18" s="1"/>
  <c r="D385" i="18"/>
  <c r="E385" i="18" s="1"/>
  <c r="D381" i="18"/>
  <c r="E381" i="18" s="1"/>
  <c r="D378" i="18"/>
  <c r="E378" i="18" s="1"/>
  <c r="D360" i="18"/>
  <c r="E360" i="18" s="1"/>
  <c r="D353" i="18"/>
  <c r="E353" i="18" s="1"/>
  <c r="D349" i="18"/>
  <c r="E349" i="18" s="1"/>
  <c r="D346" i="18"/>
  <c r="E346" i="18" s="1"/>
  <c r="D328" i="18"/>
  <c r="E328" i="18" s="1"/>
  <c r="D321" i="18"/>
  <c r="E321" i="18" s="1"/>
  <c r="D314" i="18"/>
  <c r="E314" i="18" s="1"/>
  <c r="D303" i="18"/>
  <c r="E303" i="18" s="1"/>
  <c r="D296" i="18"/>
  <c r="E296" i="18" s="1"/>
  <c r="D289" i="18"/>
  <c r="E289" i="18" s="1"/>
  <c r="D285" i="18"/>
  <c r="E285" i="18" s="1"/>
  <c r="D811" i="18"/>
  <c r="E811" i="18" s="1"/>
  <c r="D683" i="18"/>
  <c r="E683" i="18" s="1"/>
  <c r="D583" i="18"/>
  <c r="E583" i="18" s="1"/>
  <c r="D558" i="18"/>
  <c r="E558" i="18" s="1"/>
  <c r="D551" i="18"/>
  <c r="E551" i="18" s="1"/>
  <c r="D526" i="18"/>
  <c r="E526" i="18" s="1"/>
  <c r="D519" i="18"/>
  <c r="E519" i="18" s="1"/>
  <c r="D494" i="18"/>
  <c r="E494" i="18" s="1"/>
  <c r="D487" i="18"/>
  <c r="E487" i="18" s="1"/>
  <c r="D462" i="18"/>
  <c r="E462" i="18" s="1"/>
  <c r="D455" i="18"/>
  <c r="E455" i="18" s="1"/>
  <c r="D430" i="18"/>
  <c r="E430" i="18" s="1"/>
  <c r="D423" i="18"/>
  <c r="E423" i="18" s="1"/>
  <c r="D398" i="18"/>
  <c r="E398" i="18" s="1"/>
  <c r="D391" i="18"/>
  <c r="E391" i="18" s="1"/>
  <c r="D366" i="18"/>
  <c r="E366" i="18" s="1"/>
  <c r="D359" i="18"/>
  <c r="E359" i="18" s="1"/>
  <c r="D334" i="18"/>
  <c r="E334" i="18" s="1"/>
  <c r="D309" i="18"/>
  <c r="E309" i="18" s="1"/>
  <c r="D302" i="18"/>
  <c r="E302" i="18" s="1"/>
  <c r="D38" i="18"/>
  <c r="E38" i="18" s="1"/>
  <c r="D266" i="18"/>
  <c r="E266" i="18" s="1"/>
  <c r="D259" i="18"/>
  <c r="E259" i="18" s="1"/>
  <c r="D253" i="18"/>
  <c r="E253" i="18" s="1"/>
  <c r="D212" i="18"/>
  <c r="E212" i="18" s="1"/>
  <c r="D206" i="18"/>
  <c r="E206" i="18" s="1"/>
  <c r="D202" i="18"/>
  <c r="E202" i="18" s="1"/>
  <c r="D195" i="18"/>
  <c r="E195" i="18" s="1"/>
  <c r="D189" i="18"/>
  <c r="E189" i="18" s="1"/>
  <c r="D170" i="18"/>
  <c r="E170" i="18" s="1"/>
  <c r="D149" i="18"/>
  <c r="E149" i="18" s="1"/>
  <c r="D124" i="18"/>
  <c r="E124" i="18" s="1"/>
  <c r="D106" i="18"/>
  <c r="E106" i="18" s="1"/>
  <c r="D84" i="18"/>
  <c r="E84" i="18" s="1"/>
  <c r="D69" i="18"/>
  <c r="E69" i="18" s="1"/>
  <c r="D66" i="18"/>
  <c r="E66" i="18" s="1"/>
  <c r="D41" i="18"/>
  <c r="E41" i="18" s="1"/>
  <c r="D942" i="18"/>
  <c r="E942" i="18" s="1"/>
  <c r="D906" i="18"/>
  <c r="E906" i="18" s="1"/>
  <c r="D894" i="18"/>
  <c r="E894" i="18" s="1"/>
  <c r="D862" i="18"/>
  <c r="E862" i="18" s="1"/>
  <c r="D815" i="18"/>
  <c r="E815" i="18" s="1"/>
  <c r="D798" i="18"/>
  <c r="E798" i="18" s="1"/>
  <c r="D751" i="18"/>
  <c r="E751" i="18" s="1"/>
  <c r="D734" i="18"/>
  <c r="E734" i="18" s="1"/>
  <c r="D687" i="18"/>
  <c r="E687" i="18" s="1"/>
  <c r="D670" i="18"/>
  <c r="E670" i="18" s="1"/>
  <c r="D623" i="18"/>
  <c r="E623" i="18" s="1"/>
  <c r="D606" i="18"/>
  <c r="E606" i="18" s="1"/>
  <c r="D319" i="18"/>
  <c r="E319" i="18" s="1"/>
  <c r="D282" i="18"/>
  <c r="E282" i="18" s="1"/>
  <c r="D269" i="18"/>
  <c r="E269" i="18" s="1"/>
  <c r="D222" i="18"/>
  <c r="E222" i="18" s="1"/>
  <c r="D218" i="18"/>
  <c r="E218" i="18" s="1"/>
  <c r="D205" i="18"/>
  <c r="E205" i="18" s="1"/>
  <c r="D154" i="18"/>
  <c r="E154" i="18" s="1"/>
  <c r="D133" i="18"/>
  <c r="E133" i="18" s="1"/>
  <c r="D90" i="18"/>
  <c r="E90" i="18" s="1"/>
  <c r="D80" i="18"/>
  <c r="E80" i="18" s="1"/>
  <c r="D56" i="18"/>
  <c r="E56" i="18" s="1"/>
  <c r="D53" i="18"/>
  <c r="E53" i="18" s="1"/>
  <c r="D50" i="18"/>
  <c r="E50" i="18" s="1"/>
  <c r="D950" i="18"/>
  <c r="E950" i="18" s="1"/>
  <c r="D890" i="18"/>
  <c r="E890" i="18" s="1"/>
  <c r="D831" i="18"/>
  <c r="E831" i="18" s="1"/>
  <c r="D814" i="18"/>
  <c r="E814" i="18" s="1"/>
  <c r="D767" i="18"/>
  <c r="E767" i="18" s="1"/>
  <c r="D750" i="18"/>
  <c r="E750" i="18" s="1"/>
  <c r="D703" i="18"/>
  <c r="E703" i="18" s="1"/>
  <c r="D686" i="18"/>
  <c r="E686" i="18" s="1"/>
  <c r="D639" i="18"/>
  <c r="E639" i="18" s="1"/>
  <c r="D622" i="18"/>
  <c r="E622" i="18" s="1"/>
  <c r="D262" i="18"/>
  <c r="E262" i="18" s="1"/>
  <c r="D258" i="18"/>
  <c r="E258" i="18" s="1"/>
  <c r="D245" i="18"/>
  <c r="E245" i="18" s="1"/>
  <c r="D198" i="18"/>
  <c r="E198" i="18" s="1"/>
  <c r="D194" i="18"/>
  <c r="E194" i="18" s="1"/>
  <c r="D178" i="18"/>
  <c r="E178" i="18" s="1"/>
  <c r="D157" i="18"/>
  <c r="E157" i="18" s="1"/>
  <c r="D114" i="18"/>
  <c r="E114" i="18" s="1"/>
  <c r="D93" i="18"/>
  <c r="E93" i="18" s="1"/>
  <c r="D268" i="18"/>
  <c r="E268" i="18" s="1"/>
  <c r="D244" i="18"/>
  <c r="E244" i="18" s="1"/>
  <c r="D238" i="18"/>
  <c r="E238" i="18" s="1"/>
  <c r="D234" i="18"/>
  <c r="E234" i="18" s="1"/>
  <c r="D227" i="18"/>
  <c r="E227" i="18" s="1"/>
  <c r="D221" i="18"/>
  <c r="E221" i="18" s="1"/>
  <c r="D181" i="18"/>
  <c r="E181" i="18" s="1"/>
  <c r="D156" i="18"/>
  <c r="E156" i="18" s="1"/>
  <c r="D138" i="18"/>
  <c r="E138" i="18" s="1"/>
  <c r="D117" i="18"/>
  <c r="E117" i="18" s="1"/>
  <c r="D92" i="18"/>
  <c r="E92" i="18" s="1"/>
  <c r="D64" i="18"/>
  <c r="E64" i="18" s="1"/>
  <c r="D958" i="18"/>
  <c r="E958" i="18" s="1"/>
  <c r="D926" i="18"/>
  <c r="E926" i="18" s="1"/>
  <c r="D847" i="18"/>
  <c r="E847" i="18" s="1"/>
  <c r="D830" i="18"/>
  <c r="E830" i="18" s="1"/>
  <c r="D783" i="18"/>
  <c r="E783" i="18" s="1"/>
  <c r="D766" i="18"/>
  <c r="E766" i="18" s="1"/>
  <c r="D719" i="18"/>
  <c r="E719" i="18" s="1"/>
  <c r="D702" i="18"/>
  <c r="E702" i="18" s="1"/>
  <c r="D655" i="18"/>
  <c r="E655" i="18" s="1"/>
  <c r="D638" i="18"/>
  <c r="E638" i="18" s="1"/>
  <c r="D31" i="18"/>
  <c r="E31" i="18" s="1"/>
  <c r="D28" i="18"/>
  <c r="E28" i="18" s="1"/>
  <c r="D273" i="18"/>
  <c r="E273" i="18" s="1"/>
  <c r="D260" i="18"/>
  <c r="E260" i="18" s="1"/>
  <c r="D254" i="18"/>
  <c r="E254" i="18" s="1"/>
  <c r="D250" i="18"/>
  <c r="E250" i="18" s="1"/>
  <c r="D243" i="18"/>
  <c r="E243" i="18" s="1"/>
  <c r="D237" i="18"/>
  <c r="E237" i="18" s="1"/>
  <c r="D196" i="18"/>
  <c r="E196" i="18" s="1"/>
  <c r="D186" i="18"/>
  <c r="E186" i="18" s="1"/>
  <c r="D165" i="18"/>
  <c r="E165" i="18" s="1"/>
  <c r="D140" i="18"/>
  <c r="E140" i="18" s="1"/>
  <c r="D122" i="18"/>
  <c r="E122" i="18" s="1"/>
  <c r="D101" i="18"/>
  <c r="E101" i="18" s="1"/>
  <c r="D88" i="18"/>
  <c r="E88" i="18" s="1"/>
  <c r="D82" i="18"/>
  <c r="E82" i="18" s="1"/>
  <c r="D934" i="18"/>
  <c r="E934" i="18" s="1"/>
  <c r="D922" i="18"/>
  <c r="E922" i="18" s="1"/>
  <c r="D910" i="18"/>
  <c r="E910" i="18" s="1"/>
  <c r="D863" i="18"/>
  <c r="E863" i="18" s="1"/>
  <c r="D846" i="18"/>
  <c r="E846" i="18" s="1"/>
  <c r="D799" i="18"/>
  <c r="E799" i="18" s="1"/>
  <c r="D782" i="18"/>
  <c r="E782" i="18" s="1"/>
  <c r="D735" i="18"/>
  <c r="E735" i="18" s="1"/>
  <c r="D718" i="18"/>
  <c r="E718" i="18" s="1"/>
  <c r="D671" i="18"/>
  <c r="E671" i="18" s="1"/>
  <c r="D654" i="18"/>
  <c r="E654" i="18" s="1"/>
  <c r="D607" i="18"/>
  <c r="E607" i="18" s="1"/>
  <c r="D590" i="18"/>
  <c r="E590" i="18" s="1"/>
  <c r="D32" i="18"/>
  <c r="E32" i="18" s="1"/>
  <c r="D29" i="18"/>
  <c r="E29" i="18" s="1"/>
  <c r="D34" i="18"/>
  <c r="E34" i="18" s="1"/>
  <c r="D37" i="18"/>
  <c r="E37" i="18" s="1"/>
  <c r="D33" i="18"/>
  <c r="E33" i="18" s="1"/>
  <c r="D27" i="18"/>
  <c r="E27" i="18" s="1"/>
  <c r="E1027"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A10A0-623C-4E2F-931B-22E0A352029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18AD257-2688-4D0F-A63F-65A3CF93B84E}" name="WorksheetConnection_3) Sentiment dataset.xlsx!Table1" type="102" refreshedVersion="8" minRefreshableVersion="5">
    <extLst>
      <ext xmlns:x15="http://schemas.microsoft.com/office/spreadsheetml/2010/11/main" uri="{DE250136-89BD-433C-8126-D09CA5730AF9}">
        <x15:connection id="Table1">
          <x15:rangePr sourceName="_xlcn.WorksheetConnection_3Sentimentdataset.xlsxTable11"/>
        </x15:connection>
      </ext>
    </extLst>
  </connection>
</connections>
</file>

<file path=xl/sharedStrings.xml><?xml version="1.0" encoding="utf-8"?>
<sst xmlns="http://schemas.openxmlformats.org/spreadsheetml/2006/main" count="4602" uniqueCount="2397">
  <si>
    <t>Sentiment</t>
  </si>
  <si>
    <t>Timestamp</t>
  </si>
  <si>
    <t>User</t>
  </si>
  <si>
    <t>Platform</t>
  </si>
  <si>
    <t>Hashtags</t>
  </si>
  <si>
    <t>Retweets</t>
  </si>
  <si>
    <t>Likes</t>
  </si>
  <si>
    <t>Country</t>
  </si>
  <si>
    <t>Year</t>
  </si>
  <si>
    <t>Month</t>
  </si>
  <si>
    <t>Day</t>
  </si>
  <si>
    <t>Hour</t>
  </si>
  <si>
    <t>Engagement</t>
  </si>
  <si>
    <t>High_Engagement</t>
  </si>
  <si>
    <t>Wide_Reach</t>
  </si>
  <si>
    <t>Time_Of_Day</t>
  </si>
  <si>
    <t xml:space="preserve"> #Nature #Park                            </t>
  </si>
  <si>
    <t>Afternoon</t>
  </si>
  <si>
    <t xml:space="preserve"> #Traffic #Morning                        </t>
  </si>
  <si>
    <t>Morning</t>
  </si>
  <si>
    <t xml:space="preserve"> #Fitness #Workout                        </t>
  </si>
  <si>
    <t xml:space="preserve"> #Travel #Adventure                       </t>
  </si>
  <si>
    <t>Evening</t>
  </si>
  <si>
    <t xml:space="preserve"> #Cooking #Food                           </t>
  </si>
  <si>
    <t xml:space="preserve"> #Gratitude #PositiveVibes              </t>
  </si>
  <si>
    <t xml:space="preserve"> #RainyDays #Cozy                         </t>
  </si>
  <si>
    <t xml:space="preserve"> #MovieNight #MustWatch                  </t>
  </si>
  <si>
    <t xml:space="preserve"> #Politics #Debate                       </t>
  </si>
  <si>
    <t xml:space="preserve"> #Summer #BeachDays                      </t>
  </si>
  <si>
    <t xml:space="preserve"> #Blogging #NewPost                      </t>
  </si>
  <si>
    <t>USA</t>
  </si>
  <si>
    <t xml:space="preserve"> #SickDay #Health                        </t>
  </si>
  <si>
    <t xml:space="preserve"> #CityExplore #HiddenGems                </t>
  </si>
  <si>
    <t xml:space="preserve"> #NewYear #FitnessGoals                  </t>
  </si>
  <si>
    <t xml:space="preserve"> #Tech #Innovation                       </t>
  </si>
  <si>
    <t xml:space="preserve"> #Reflection #Future                     </t>
  </si>
  <si>
    <t xml:space="preserve"> #PetAdoption #FurryFriend               </t>
  </si>
  <si>
    <t xml:space="preserve"> #Gaming #LateNight                      </t>
  </si>
  <si>
    <t>Night</t>
  </si>
  <si>
    <t xml:space="preserve"> #AI #TechConference                     </t>
  </si>
  <si>
    <t xml:space="preserve"> #WinterBlues #Mood                      </t>
  </si>
  <si>
    <t xml:space="preserve"> #Reading #CoffeeTime                    </t>
  </si>
  <si>
    <t xml:space="preserve"> #VR #VirtualReality                     </t>
  </si>
  <si>
    <t xml:space="preserve"> #Productivity #WorkFromHome           </t>
  </si>
  <si>
    <t xml:space="preserve"> #Fitness #ChallengeAccepted             </t>
  </si>
  <si>
    <t xml:space="preserve"> #Career #Milestone                      </t>
  </si>
  <si>
    <t xml:space="preserve"> #Brunch #Friends                       </t>
  </si>
  <si>
    <t xml:space="preserve"> #LanguageLearning #PersonalGrowth       </t>
  </si>
  <si>
    <t xml:space="preserve"> #Reading #QuietTime                     </t>
  </si>
  <si>
    <t xml:space="preserve"> #MentalHealth #SelfCare                 </t>
  </si>
  <si>
    <t xml:space="preserve"> #Art #PaintingInProgress             </t>
  </si>
  <si>
    <t xml:space="preserve"> #RoadTrip #ScenicViews                  </t>
  </si>
  <si>
    <t xml:space="preserve"> #TeaTime #Sunset                       </t>
  </si>
  <si>
    <t xml:space="preserve"> #Coding #Enthusiasm                   </t>
  </si>
  <si>
    <t xml:space="preserve"> #Inspiration #Workshop                  </t>
  </si>
  <si>
    <t xml:space="preserve"> #WinterSports #Fun                     </t>
  </si>
  <si>
    <t xml:space="preserve"> #FamilyTime #Weekend                    </t>
  </si>
  <si>
    <t xml:space="preserve"> #Music #ConcertNight                  </t>
  </si>
  <si>
    <t xml:space="preserve"> #Mindfulness #Meditation               </t>
  </si>
  <si>
    <t xml:space="preserve"> #Dessert #Cooking                      </t>
  </si>
  <si>
    <t xml:space="preserve"> #Gaming #Tournament                     </t>
  </si>
  <si>
    <t xml:space="preserve"> #Gardening #Spring                     </t>
  </si>
  <si>
    <t xml:space="preserve"> #Birthday #Celebration                  </t>
  </si>
  <si>
    <t xml:space="preserve"> #Accomplished #Success               </t>
  </si>
  <si>
    <t xml:space="preserve"> #CozyNight #MovieTime                   </t>
  </si>
  <si>
    <t xml:space="preserve"> #Art #GalleryExplore                    </t>
  </si>
  <si>
    <t xml:space="preserve"> #BookRelease #FavoriteAuthor           </t>
  </si>
  <si>
    <t xml:space="preserve"> #VRMeetup #VirtualReality               </t>
  </si>
  <si>
    <t xml:space="preserve"> #Nature #Reflection                     </t>
  </si>
  <si>
    <t xml:space="preserve"> #Cooking #SpecialDinner                </t>
  </si>
  <si>
    <t xml:space="preserve"> #Optimism #NewWeek                     </t>
  </si>
  <si>
    <t xml:space="preserve"> #FitnessChallenge #NewBeginnings       </t>
  </si>
  <si>
    <t xml:space="preserve"> #BikeRide #ScenicTrails                </t>
  </si>
  <si>
    <t xml:space="preserve"> #Injustice #Angry                            </t>
  </si>
  <si>
    <t xml:space="preserve"> #Fear #ThrillerMovie                         </t>
  </si>
  <si>
    <t xml:space="preserve"> #Sadness #NaturalDisaster                    </t>
  </si>
  <si>
    <t xml:space="preserve"> #Disgust #Environment                        </t>
  </si>
  <si>
    <t xml:space="preserve"> #Happiness #Celebration                   </t>
  </si>
  <si>
    <t xml:space="preserve"> #Joy #ComedyShow                             </t>
  </si>
  <si>
    <t xml:space="preserve"> #Love #SpreadLove                            </t>
  </si>
  <si>
    <t xml:space="preserve"> #Amusement #FunTimes                         </t>
  </si>
  <si>
    <t xml:space="preserve"> #Enjoyment #BookTime                         </t>
  </si>
  <si>
    <t xml:space="preserve"> #Admiration #Nature                         </t>
  </si>
  <si>
    <t xml:space="preserve"> #Affection #PositiveVibes                   </t>
  </si>
  <si>
    <t xml:space="preserve"> #Awe #Breathtaking                          </t>
  </si>
  <si>
    <t xml:space="preserve"> #Disappointed #BadService                   </t>
  </si>
  <si>
    <t xml:space="preserve"> #Surprise #Gift                              </t>
  </si>
  <si>
    <t xml:space="preserve"> #Acceptance #Challenges                     </t>
  </si>
  <si>
    <t xml:space="preserve"> #Adoration #PetLove                         </t>
  </si>
  <si>
    <t xml:space="preserve"> #Anticipation #Adventure                    </t>
  </si>
  <si>
    <t xml:space="preserve"> #BitterLesson #Growth                      </t>
  </si>
  <si>
    <t xml:space="preserve"> #Calmness #PeacefulMind                    </t>
  </si>
  <si>
    <t xml:space="preserve"> #Confusion #DecisionMaking                 </t>
  </si>
  <si>
    <t xml:space="preserve"> #Excitement #TravelPlans                   </t>
  </si>
  <si>
    <t xml:space="preserve"> #Kindness #Humanity                        </t>
  </si>
  <si>
    <t xml:space="preserve"> #Pride #Milestone                           </t>
  </si>
  <si>
    <t xml:space="preserve"> #Shame #Injustice                           </t>
  </si>
  <si>
    <t xml:space="preserve"> #Anger #Argument                             </t>
  </si>
  <si>
    <t xml:space="preserve"> #Fear #Unknown                               </t>
  </si>
  <si>
    <t xml:space="preserve"> #Sadness #Farewell                          </t>
  </si>
  <si>
    <t xml:space="preserve"> #Disgust #Corruption                         </t>
  </si>
  <si>
    <t xml:space="preserve"> #Happiness #NewFamilyMember                 </t>
  </si>
  <si>
    <t xml:space="preserve"> #Joy #StandUpComedy                         </t>
  </si>
  <si>
    <t xml:space="preserve"> #Amusement #PetAntics                       </t>
  </si>
  <si>
    <t xml:space="preserve"> #Enjoyment #Travel                           </t>
  </si>
  <si>
    <t xml:space="preserve"> #Admiration #Volunteers                     </t>
  </si>
  <si>
    <t xml:space="preserve"> #Affection #FamilyLove                      </t>
  </si>
  <si>
    <t xml:space="preserve"> #Awe #StarryNight                        </t>
  </si>
  <si>
    <t xml:space="preserve"> #Disappointed #Project                     </t>
  </si>
  <si>
    <t xml:space="preserve"> #Surprise #OldFriends                       </t>
  </si>
  <si>
    <t xml:space="preserve"> #Acceptance #LifeJourney                   </t>
  </si>
  <si>
    <t xml:space="preserve"> #Adoration #PuppyLove                       </t>
  </si>
  <si>
    <t xml:space="preserve"> #Anticipation #MovieRelease                 </t>
  </si>
  <si>
    <t xml:space="preserve"> #BitterExperience #CustomerService         </t>
  </si>
  <si>
    <t xml:space="preserve"> #Calmness #InnerPeace                      </t>
  </si>
  <si>
    <t xml:space="preserve"> #Confusion #MakingSense                    </t>
  </si>
  <si>
    <t xml:space="preserve"> #Excitement #SurpriseParty                 </t>
  </si>
  <si>
    <t xml:space="preserve"> #Kindness #ActsOfKindness                  </t>
  </si>
  <si>
    <t xml:space="preserve"> #Pride #FitnessChallengeCompleted          </t>
  </si>
  <si>
    <t xml:space="preserve"> #Acceptance #Diversity                      </t>
  </si>
  <si>
    <t xml:space="preserve"> #Excitement #BookTime                       </t>
  </si>
  <si>
    <t xml:space="preserve"> #Bitter #Unfairness                         </t>
  </si>
  <si>
    <t xml:space="preserve"> #Calmness #Mindfulness                      </t>
  </si>
  <si>
    <t xml:space="preserve"> #Confusion #LifeChoices                     </t>
  </si>
  <si>
    <t xml:space="preserve"> #Excitement #WeekendAdventure               </t>
  </si>
  <si>
    <t xml:space="preserve"> #Kindness #HumanityRestored                 </t>
  </si>
  <si>
    <t xml:space="preserve"> #Pride #Accomplishments                     </t>
  </si>
  <si>
    <t xml:space="preserve"> #Shame #Integrity                           </t>
  </si>
  <si>
    <t xml:space="preserve"> #Elation #Memories                             </t>
  </si>
  <si>
    <t xml:space="preserve"> #Euphoria #Victory                             </t>
  </si>
  <si>
    <t xml:space="preserve"> #Contentment #Nature                           </t>
  </si>
  <si>
    <t xml:space="preserve"> #Serenity #Meditation                          </t>
  </si>
  <si>
    <t xml:space="preserve"> #Gratitude #Blessed                            </t>
  </si>
  <si>
    <t xml:space="preserve"> #Hope #Optimism                                </t>
  </si>
  <si>
    <t xml:space="preserve"> #Empowerment #Community                        </t>
  </si>
  <si>
    <t xml:space="preserve"> #Compassion #CharityEvent                   </t>
  </si>
  <si>
    <t xml:space="preserve"> #Tenderness #FamilyTime                       </t>
  </si>
  <si>
    <t xml:space="preserve"> #Arousal #Excitement                           </t>
  </si>
  <si>
    <t xml:space="preserve"> #Enthusiasm #NewProject                       </t>
  </si>
  <si>
    <t xml:space="preserve"> #Fulfillment #Milestone                       </t>
  </si>
  <si>
    <t xml:space="preserve"> #Reverence #History                           </t>
  </si>
  <si>
    <t xml:space="preserve"> #Elation #OldFriends                          </t>
  </si>
  <si>
    <t xml:space="preserve"> #Euphoria #LiveMusic                          </t>
  </si>
  <si>
    <t xml:space="preserve"> #Contentment #SundayMood                      </t>
  </si>
  <si>
    <t xml:space="preserve"> #Serenity #BookTime                           </t>
  </si>
  <si>
    <t xml:space="preserve"> #Gratitude #Supportive                        </t>
  </si>
  <si>
    <t xml:space="preserve"> #Hope #NewBeginnings                          </t>
  </si>
  <si>
    <t xml:space="preserve"> #Empowerment #PersonalGrowth                  </t>
  </si>
  <si>
    <t xml:space="preserve"> #Compassion #HolidaySupport                   </t>
  </si>
  <si>
    <t xml:space="preserve"> #Tenderness #CozyEvening                     </t>
  </si>
  <si>
    <t xml:space="preserve"> #Arousal #AdventureTime                       </t>
  </si>
  <si>
    <t xml:space="preserve"> #Enthusiasm #Creativity                       </t>
  </si>
  <si>
    <t xml:space="preserve"> #Fulfillment #FitnessGoals                   </t>
  </si>
  <si>
    <t xml:space="preserve"> #Reverence #ArtAppreciation                  </t>
  </si>
  <si>
    <t xml:space="preserve"> #Elation #PersonalAchievement                </t>
  </si>
  <si>
    <t xml:space="preserve"> #Elation #HiddenGem                            </t>
  </si>
  <si>
    <t xml:space="preserve"> #Euphoria #BirthdaySurprise                   </t>
  </si>
  <si>
    <t xml:space="preserve"> #Contentment #HomeCooking                     </t>
  </si>
  <si>
    <t xml:space="preserve"> #Serenity #PeacefulMelody                    </t>
  </si>
  <si>
    <t xml:space="preserve"> #Gratitude #CommunitySupport                   </t>
  </si>
  <si>
    <t xml:space="preserve"> #Hope #BusinessVenture                        </t>
  </si>
  <si>
    <t xml:space="preserve"> #Empowerment #Mentorship                      </t>
  </si>
  <si>
    <t xml:space="preserve"> #Compassion #CommunityKindness               </t>
  </si>
  <si>
    <t xml:space="preserve"> #Tenderness #LoveNote                         </t>
  </si>
  <si>
    <t xml:space="preserve"> #Arousal #TravelAdventure                     </t>
  </si>
  <si>
    <t xml:space="preserve"> #Enthusiasm #ArtisticProject                 </t>
  </si>
  <si>
    <t xml:space="preserve"> #Fulfillment #HelpingOthers                  </t>
  </si>
  <si>
    <t xml:space="preserve"> #Reverence #HistoricalSite                   </t>
  </si>
  <si>
    <t xml:space="preserve"> #Elation #FitnessMilestone                   </t>
  </si>
  <si>
    <t xml:space="preserve"> #Euphoria #ProductLaunchSuccess              </t>
  </si>
  <si>
    <t xml:space="preserve"> #Contentment #Love                             </t>
  </si>
  <si>
    <t xml:space="preserve"> #Serenity #SunsetViews                       </t>
  </si>
  <si>
    <t xml:space="preserve"> #Gratitude #SmallJoys                        </t>
  </si>
  <si>
    <t xml:space="preserve"> #Hope #PersonalDevelopment                    </t>
  </si>
  <si>
    <t xml:space="preserve"> #Empowerment #SkillBuilding                   </t>
  </si>
  <si>
    <t xml:space="preserve"> #Compassion #VolunteerWork                   </t>
  </si>
  <si>
    <t xml:space="preserve"> #Tenderness #PetLove                          </t>
  </si>
  <si>
    <t xml:space="preserve"> #Arousal #FestivalExcitement               </t>
  </si>
  <si>
    <t xml:space="preserve"> #Enthusiasm #HomeImprovement                 </t>
  </si>
  <si>
    <t xml:space="preserve"> #Fulfillment #PuzzleChallenge                </t>
  </si>
  <si>
    <t xml:space="preserve"> #Reverence #NatureExploration                </t>
  </si>
  <si>
    <t xml:space="preserve"> #Elation #FriendshipReunion                  </t>
  </si>
  <si>
    <t xml:space="preserve"> #Despair #Struggle                              </t>
  </si>
  <si>
    <t xml:space="preserve"> #Grief #Loss                                   </t>
  </si>
  <si>
    <t xml:space="preserve"> #Loneliness #Isolation                         </t>
  </si>
  <si>
    <t xml:space="preserve"> #Jealousy #Envy                               </t>
  </si>
  <si>
    <t xml:space="preserve"> #Resentment #Bitterness                       </t>
  </si>
  <si>
    <t xml:space="preserve"> #Frustration #Obstacles                       </t>
  </si>
  <si>
    <t xml:space="preserve"> #Boredom #LackOfInterest                     </t>
  </si>
  <si>
    <t xml:space="preserve"> #Anxiety #Worry                               </t>
  </si>
  <si>
    <t xml:space="preserve"> #Intimidation #Fear                           </t>
  </si>
  <si>
    <t xml:space="preserve"> #Helplessness #Overwhelmed                    </t>
  </si>
  <si>
    <t xml:space="preserve"> #Envy #Desire                                </t>
  </si>
  <si>
    <t xml:space="preserve"> #Regret #MissedChances                       </t>
  </si>
  <si>
    <t xml:space="preserve"> #Disgust #Injustice                          </t>
  </si>
  <si>
    <t xml:space="preserve"> #Despair #Hopeless                           </t>
  </si>
  <si>
    <t xml:space="preserve"> #Grief #Tears                                </t>
  </si>
  <si>
    <t xml:space="preserve"> #Loneliness #SeekingConnection              </t>
  </si>
  <si>
    <t xml:space="preserve"> #Jealousy #Insecurity                       </t>
  </si>
  <si>
    <t xml:space="preserve"> #Resentment #BrokenTrust                     </t>
  </si>
  <si>
    <t xml:space="preserve"> #Frustration #EmotionalOutburst             </t>
  </si>
  <si>
    <t xml:space="preserve"> #Boredom #Monotony                          </t>
  </si>
  <si>
    <t xml:space="preserve"> #Anxiety #Restlessness                      </t>
  </si>
  <si>
    <t xml:space="preserve"> #Intimidation #FacingFear                   </t>
  </si>
  <si>
    <t xml:space="preserve"> #Helplessness #Struggling                   </t>
  </si>
  <si>
    <t xml:space="preserve"> #Envy #Success                              </t>
  </si>
  <si>
    <t xml:space="preserve"> #Regret #PastChoices                        </t>
  </si>
  <si>
    <t xml:space="preserve"> #Disgust #Corruption                        </t>
  </si>
  <si>
    <t xml:space="preserve"> #Despair #DarkDays                          </t>
  </si>
  <si>
    <t xml:space="preserve"> #Grief #EmotionalStorm                      </t>
  </si>
  <si>
    <t xml:space="preserve"> #Loneliness #YearningForConnection         </t>
  </si>
  <si>
    <t xml:space="preserve"> #Jealousy #Resentment                       </t>
  </si>
  <si>
    <t xml:space="preserve"> #Resentment #Unforgiving                    </t>
  </si>
  <si>
    <t xml:space="preserve"> #Frustration #EmotionalOutburst            </t>
  </si>
  <si>
    <t xml:space="preserve"> #Boredom #Stagnation                        </t>
  </si>
  <si>
    <t xml:space="preserve"> #Curiosity #Learning                        </t>
  </si>
  <si>
    <t xml:space="preserve"> #Indifference #DigitalOverload              </t>
  </si>
  <si>
    <t xml:space="preserve"> #Confusion #LifePuzzle                     </t>
  </si>
  <si>
    <t xml:space="preserve"> #Numbness #EmotionalShield                 </t>
  </si>
  <si>
    <t xml:space="preserve"> #Melancholy #SunsetMoments                 </t>
  </si>
  <si>
    <t xml:space="preserve"> #Nostalgia #MemoryLane                     </t>
  </si>
  <si>
    <t xml:space="preserve"> #Ambivalence #UncertainChoices             </t>
  </si>
  <si>
    <t xml:space="preserve"> #Determination #AchieveTheImpossible       </t>
  </si>
  <si>
    <t xml:space="preserve"> #Serenity #NatureRetreat                   </t>
  </si>
  <si>
    <t xml:space="preserve"> #Curiosity #KnowledgeQuest                </t>
  </si>
  <si>
    <t xml:space="preserve"> #Indifference #FloatingThroughLife        </t>
  </si>
  <si>
    <t xml:space="preserve"> #Confusion #ThoughtLabyrinth              </t>
  </si>
  <si>
    <t xml:space="preserve"> #Numbness #StoicFacade                    </t>
  </si>
  <si>
    <t xml:space="preserve"> #Melancholy #WhispersInTheBreeze         </t>
  </si>
  <si>
    <t xml:space="preserve"> #Nostalgia #JournalMoments               </t>
  </si>
  <si>
    <t xml:space="preserve"> #Ambivalence #ConflictingFeelings        </t>
  </si>
  <si>
    <t xml:space="preserve"> #Acceptance #SelfLoveJourney              </t>
  </si>
  <si>
    <t xml:space="preserve"> #Determination #DreamsIntoReality        </t>
  </si>
  <si>
    <t xml:space="preserve"> #Serenity #OceanRetreat                   </t>
  </si>
  <si>
    <t xml:space="preserve"> #Curiosity #NewHorizons                  </t>
  </si>
  <si>
    <t xml:space="preserve"> #Indifference #DriftingThroughLife       </t>
  </si>
  <si>
    <t xml:space="preserve"> #Confusion #PerplexedMind                </t>
  </si>
  <si>
    <t xml:space="preserve"> #Numbness #EmotionalShield               </t>
  </si>
  <si>
    <t xml:space="preserve"> #Melancholy #WistfulHeart                </t>
  </si>
  <si>
    <t xml:space="preserve"> #Nostalgia #YearbookMemories            </t>
  </si>
  <si>
    <t xml:space="preserve"> #Ambivalence #ShadesOfUncertainty       </t>
  </si>
  <si>
    <t xml:space="preserve"> #Acceptance #ImperfectJourney            </t>
  </si>
  <si>
    <t xml:space="preserve"> #Determination #UnparalleledHeights      </t>
  </si>
  <si>
    <t xml:space="preserve"> #Serenity #NatureWhispers                </t>
  </si>
  <si>
    <t xml:space="preserve"> #Indifference #SilentObserver            </t>
  </si>
  <si>
    <t xml:space="preserve"> #Numbness #StoicResilience               </t>
  </si>
  <si>
    <t xml:space="preserve"> #Melancholy #BittersweetMemories         </t>
  </si>
  <si>
    <t xml:space="preserve"> #Nostalgia #DiaryJourney                 </t>
  </si>
  <si>
    <t xml:space="preserve"> #Ambivalence #ConflictingEmotions        </t>
  </si>
  <si>
    <t xml:space="preserve"> #Acceptance #BeautifulChaos              </t>
  </si>
  <si>
    <t xml:space="preserve"> #Determination #ExtraordinaryPath        </t>
  </si>
  <si>
    <t xml:space="preserve"> #Serenity #RaindropMelody                </t>
  </si>
  <si>
    <t xml:space="preserve"> #Curiosity #SeekerOfKnowledge            </t>
  </si>
  <si>
    <t xml:space="preserve"> #Confusion #LabyrinthOfThoughts          </t>
  </si>
  <si>
    <t xml:space="preserve"> #Numbness #EmotionalStorms               </t>
  </si>
  <si>
    <t xml:space="preserve"> #Melancholy #WistfulYearning             </t>
  </si>
  <si>
    <t xml:space="preserve"> #Nostalgia #PhotoAlbumStories            </t>
  </si>
  <si>
    <t xml:space="preserve"> #Ambivalence #CrossroadsConfusion        </t>
  </si>
  <si>
    <t xml:space="preserve"> #Acceptance #UnpredictableArt            </t>
  </si>
  <si>
    <t xml:space="preserve"> #Determination #SculptingDreams          </t>
  </si>
  <si>
    <t xml:space="preserve"> #Serenity #MoonlitPeace                  </t>
  </si>
  <si>
    <t xml:space="preserve"> #Curiosity #FearlessExplorer              </t>
  </si>
  <si>
    <t xml:space="preserve"> #Numbness #EmotionalStorms </t>
  </si>
  <si>
    <t xml:space="preserve"> #Zest #CarefreeSpirit </t>
  </si>
  <si>
    <t xml:space="preserve"> #Contentment #GoldenGlow </t>
  </si>
  <si>
    <t xml:space="preserve"> #Hopeful #CanvasOfDreams </t>
  </si>
  <si>
    <t xml:space="preserve"> #Proud #BranchesOfAchievement </t>
  </si>
  <si>
    <t xml:space="preserve"> #Grateful #BlossomingConnection </t>
  </si>
  <si>
    <t xml:space="preserve"> #Empathetic #TapestryOfUnderstanding </t>
  </si>
  <si>
    <t xml:space="preserve"> #Compassionate #ShowerOfEmpathy </t>
  </si>
  <si>
    <t xml:space="preserve"> #Playful #DanceInTheRain </t>
  </si>
  <si>
    <t xml:space="preserve"> #FreeSpirit #PaintingTheSky </t>
  </si>
  <si>
    <t xml:space="preserve"> #Inspired #CreativePhoenix </t>
  </si>
  <si>
    <t xml:space="preserve"> #Hopeful #SunriseOfPossibilities </t>
  </si>
  <si>
    <t xml:space="preserve"> #Confident #FootprintsOfAssuredness </t>
  </si>
  <si>
    <t xml:space="preserve"> #Serenity #MoonlitSerenade </t>
  </si>
  <si>
    <t xml:space="preserve"> #Curiosity #LabyrinthOfQuestions </t>
  </si>
  <si>
    <t xml:space="preserve"> #Ambivalence #AutumnWaltz </t>
  </si>
  <si>
    <t xml:space="preserve"> #Grateful #GuidingStar </t>
  </si>
  <si>
    <t xml:space="preserve"> #Zest #FieldsOfEnthusiasm </t>
  </si>
  <si>
    <t xml:space="preserve"> #Compassionate #TearsOfEmpathy </t>
  </si>
  <si>
    <t xml:space="preserve"> #Proud #ScalingPeaks </t>
  </si>
  <si>
    <t xml:space="preserve"> #Hopeful #SeedsOfOptimism </t>
  </si>
  <si>
    <t xml:space="preserve"> #Playful #CarnivalEscapade </t>
  </si>
  <si>
    <t xml:space="preserve"> #Inspired #CloudsOfCreativity </t>
  </si>
  <si>
    <t xml:space="preserve"> #Contentment #TranquilWaters </t>
  </si>
  <si>
    <t xml:space="preserve"> #Empathetic #LanternOfCompassion </t>
  </si>
  <si>
    <t xml:space="preserve"> #FreeSpirit #WingsOfDreams </t>
  </si>
  <si>
    <t xml:space="preserve"> #Grateful #GoldenHues </t>
  </si>
  <si>
    <t xml:space="preserve"> #Confident #DanceOfLife </t>
  </si>
  <si>
    <t xml:space="preserve"> #Hopeful #BrighterTomorrows </t>
  </si>
  <si>
    <t xml:space="preserve"> #Playful #JugglingResponsibilities </t>
  </si>
  <si>
    <t xml:space="preserve"> #Inspired #TalesToTheStars </t>
  </si>
  <si>
    <t xml:space="preserve"> #Hopeful #SailorOfDreams </t>
  </si>
  <si>
    <t xml:space="preserve"> #Despair #EchoingSilence </t>
  </si>
  <si>
    <t xml:space="preserve"> #Bitterness #ResentmentWeb </t>
  </si>
  <si>
    <t xml:space="preserve"> #Loneliness #MiragesOfConnection </t>
  </si>
  <si>
    <t xml:space="preserve"> #Yearning #DistantWarmth </t>
  </si>
  <si>
    <t xml:space="preserve"> #Fearful #ImaginedHorrors </t>
  </si>
  <si>
    <t xml:space="preserve"> #Apprehensive #BalancingAct </t>
  </si>
  <si>
    <t xml:space="preserve"> #Overwhelmed #BouldersOfExhaustion </t>
  </si>
  <si>
    <t xml:space="preserve"> #Jealous #GreenEyedMonster </t>
  </si>
  <si>
    <t xml:space="preserve"> #Devastated #WindsOfBrokenPromises </t>
  </si>
  <si>
    <t xml:space="preserve"> #Frustrated #UnsolvablePuzzle </t>
  </si>
  <si>
    <t xml:space="preserve"> #Envious #GildedPrize </t>
  </si>
  <si>
    <t xml:space="preserve"> #Dismissive #ImpenetrableWalls </t>
  </si>
  <si>
    <t xml:space="preserve"> #Frustrated #MosaicOfDisappointment </t>
  </si>
  <si>
    <t xml:space="preserve"> #Loneliness #SolitaryNocturne </t>
  </si>
  <si>
    <t xml:space="preserve"> #Fearful #SpecterOfTheUnknown </t>
  </si>
  <si>
    <t xml:space="preserve"> #Bitterness #BitterAftertaste </t>
  </si>
  <si>
    <t xml:space="preserve"> #Overwhelmed #DrowningSoul </t>
  </si>
  <si>
    <t xml:space="preserve"> #Jealous #HeartOfDiscontent </t>
  </si>
  <si>
    <t xml:space="preserve"> #Devastated #ShatteredTrust </t>
  </si>
  <si>
    <t xml:space="preserve"> #Frustrated #SlippingThreads </t>
  </si>
  <si>
    <t xml:space="preserve"> #Envious #BitterPill </t>
  </si>
  <si>
    <t xml:space="preserve"> #Dismissive #IndifferencePerformance </t>
  </si>
  <si>
    <t xml:space="preserve"> #Despair #LabyrinthOfHopelessness </t>
  </si>
  <si>
    <t xml:space="preserve"> #Bitterness #IciclesOfResentment </t>
  </si>
  <si>
    <t xml:space="preserve"> #Loneliness #StarlessSky </t>
  </si>
  <si>
    <t xml:space="preserve"> #Yearning #HuesOfSunset </t>
  </si>
  <si>
    <t xml:space="preserve"> #Fearful #LurkingMonsters </t>
  </si>
  <si>
    <t xml:space="preserve"> #Apprehensive #StormOfDoubt </t>
  </si>
  <si>
    <t xml:space="preserve"> #Overwhelmed #MinotaurOfPressure </t>
  </si>
  <si>
    <t xml:space="preserve"> #Jealous #BloomingAchievements </t>
  </si>
  <si>
    <t xml:space="preserve"> #Devastated #EchoesOfShatteredDreams </t>
  </si>
  <si>
    <t xml:space="preserve"> #Frustrated #LabyrinthOfMiscommunication </t>
  </si>
  <si>
    <t xml:space="preserve"> #Envious #DesireForKeys </t>
  </si>
  <si>
    <t xml:space="preserve"> #Awe #BreathtakingSunrise                   </t>
  </si>
  <si>
    <t xml:space="preserve"> #Determination #Challenges                  </t>
  </si>
  <si>
    <t xml:space="preserve"> #Nostalgia #OldMemories                     </t>
  </si>
  <si>
    <t xml:space="preserve"> #Thrill #CulturalCelebration              </t>
  </si>
  <si>
    <t xml:space="preserve"> #Calmness #RainyDays                        </t>
  </si>
  <si>
    <t>Overwhelmed by the support received during a personal challenge.</t>
  </si>
  <si>
    <t xml:space="preserve"> #Overwhelmed #SupportiveCommunity          </t>
  </si>
  <si>
    <t xml:space="preserve"> #Excitement #VacationCountdown        </t>
  </si>
  <si>
    <t xml:space="preserve"> #Gratitude #LifeLessons                    </t>
  </si>
  <si>
    <t xml:space="preserve"> #Bittersweet #Farewell                     </t>
  </si>
  <si>
    <t xml:space="preserve"> #Curiosity #AncientDiscovery          </t>
  </si>
  <si>
    <t xml:space="preserve"> #Admiration #HandcraftedArt               </t>
  </si>
  <si>
    <t xml:space="preserve"> #Overjoyed #WinterWarmth                  </t>
  </si>
  <si>
    <t>Inspiration strikes while observing the colors of a vibrant sunset.</t>
  </si>
  <si>
    <t xml:space="preserve"> #Inspiration #ColorfulSunset             </t>
  </si>
  <si>
    <t xml:space="preserve"> #Motivation #FitnessGoals                 </t>
  </si>
  <si>
    <t xml:space="preserve"> #Gratitude #MorningCoffee                 </t>
  </si>
  <si>
    <t xml:space="preserve"> #Empowerment #HikingAdventure             </t>
  </si>
  <si>
    <t xml:space="preserve"> #Amusement #PlayfulKittens               </t>
  </si>
  <si>
    <t xml:space="preserve"> #Contemplation #StarryNight               </t>
  </si>
  <si>
    <t xml:space="preserve"> #JoyfulReunion #Friendship               </t>
  </si>
  <si>
    <t xml:space="preserve"> #Excitement #SurpriseCelebration         </t>
  </si>
  <si>
    <t xml:space="preserve"> #Satisfaction #DIYProject                 </t>
  </si>
  <si>
    <t xml:space="preserve"> #Blessed #SupportiveCommunity            </t>
  </si>
  <si>
    <t xml:space="preserve"> #Serenity #TranquilGarden                </t>
  </si>
  <si>
    <t xml:space="preserve"> #Anticipation #AdventureAwaits           </t>
  </si>
  <si>
    <t xml:space="preserve"> #Reflection #PersonalGrowth              </t>
  </si>
  <si>
    <t xml:space="preserve"> #Nostalgia #ChildhoodFavorites           </t>
  </si>
  <si>
    <t xml:space="preserve"> #Appreciation #CulturalExperience        </t>
  </si>
  <si>
    <t xml:space="preserve"> #Confidence #OvercomingAnxiety          </t>
  </si>
  <si>
    <t xml:space="preserve"> #Contentment #FamilyLaughter             </t>
  </si>
  <si>
    <t xml:space="preserve"> #Enthusiasm #SkillBuilding               </t>
  </si>
  <si>
    <t xml:space="preserve"> #Surprise #HiddenGem                      </t>
  </si>
  <si>
    <t>A sense of accomplishment after completing a challenging workout.</t>
  </si>
  <si>
    <t xml:space="preserve"> #Accomplishment #FitnessSuccess         </t>
  </si>
  <si>
    <t xml:space="preserve"> #Wonderment #DoubleRainbow               </t>
  </si>
  <si>
    <t xml:space="preserve"> #Optimism #BrightFuture                  </t>
  </si>
  <si>
    <t xml:space="preserve"> #Pride #CareerMilestone                  </t>
  </si>
  <si>
    <t xml:space="preserve"> #Happiness #SunnyDay                      </t>
  </si>
  <si>
    <t xml:space="preserve"> #Elation #RareBookDiscovery              </t>
  </si>
  <si>
    <t>Curiosity piqued by the mysteries of an ancient archaeological site.</t>
  </si>
  <si>
    <t xml:space="preserve"> #Curiosity #AncientMysteries            </t>
  </si>
  <si>
    <t xml:space="preserve"> #Enchantment #CosmicFireflies             </t>
  </si>
  <si>
    <t xml:space="preserve"> #Intrigue #AbstractArt                   </t>
  </si>
  <si>
    <t xml:space="preserve"> #PlayfulJoy #ChildrensPlaydate           </t>
  </si>
  <si>
    <t xml:space="preserve"> #Mindfulness #LakeTranquility            </t>
  </si>
  <si>
    <t xml:space="preserve"> #DreamChaser #SkyHighDreams              </t>
  </si>
  <si>
    <t xml:space="preserve"> #Elegance #BallroomDance                </t>
  </si>
  <si>
    <t xml:space="preserve"> #Whimsy #MagicalWorld                    </t>
  </si>
  <si>
    <t xml:space="preserve"> #Pensive #AncientCivilization           </t>
  </si>
  <si>
    <t xml:space="preserve"> #Thrill #RollercoasterAdventure        </t>
  </si>
  <si>
    <t xml:space="preserve"> #Harmony #MusicalUnity                   </t>
  </si>
  <si>
    <t xml:space="preserve"> #Creativity #ArtistsHaven               </t>
  </si>
  <si>
    <t xml:space="preserve"> #Radiance #SpringBlooms                 </t>
  </si>
  <si>
    <t xml:space="preserve"> #Wonder #StargazingAdventure            </t>
  </si>
  <si>
    <t xml:space="preserve"> #Rejuvenation #SeasideEscape            </t>
  </si>
  <si>
    <t xml:space="preserve"> #Inspiration #ForestWhispers            </t>
  </si>
  <si>
    <t xml:space="preserve"> #Coziness #WarmWinterEvening           </t>
  </si>
  <si>
    <t xml:space="preserve"> #Gratitude #FamilyLaughter              </t>
  </si>
  <si>
    <t xml:space="preserve"> #Adventure #CulinaryJourney             </t>
  </si>
  <si>
    <t xml:space="preserve"> #Euphoria #PuzzleCompletion            </t>
  </si>
  <si>
    <t xml:space="preserve"> #Awe #ArchitecturalGrandeur            </t>
  </si>
  <si>
    <t xml:space="preserve"> #Enchantment #FireflyField              </t>
  </si>
  <si>
    <t xml:space="preserve"> #Melodic #StreetMusic                   </t>
  </si>
  <si>
    <t xml:space="preserve"> #FestiveJoy #SummerCarnival             </t>
  </si>
  <si>
    <t xml:space="preserve"> #InnerJourney #MeditationBliss          </t>
  </si>
  <si>
    <t xml:space="preserve"> #Freedom #CoastalAdventure              </t>
  </si>
  <si>
    <t xml:space="preserve"> #Dazzle #MasqueradeElegance            </t>
  </si>
  <si>
    <t xml:space="preserve"> #Whimsy #FairyTaleMagic                 </t>
  </si>
  <si>
    <t xml:space="preserve"> #Reflection #ForgottenEra               </t>
  </si>
  <si>
    <t xml:space="preserve"> #Adrenaline #RollercoasterThrills      </t>
  </si>
  <si>
    <t xml:space="preserve"> #ArtisticBurst #StudioCreativity       </t>
  </si>
  <si>
    <t xml:space="preserve"> #CulinaryOdyssey #FlavorsAroundTheWorld </t>
  </si>
  <si>
    <t xml:space="preserve"> #Euphoria #PerfectPuzzle               </t>
  </si>
  <si>
    <t xml:space="preserve"> #Curiosity #AncientMysteries          </t>
  </si>
  <si>
    <t xml:space="preserve"> #Excitement #SnowfallMagic             </t>
  </si>
  <si>
    <t xml:space="preserve"> #Contentment #FreshBreadAroma          </t>
  </si>
  <si>
    <t xml:space="preserve"> #Resilience #StandingTall              </t>
  </si>
  <si>
    <t xml:space="preserve"> #Immersion #CaptivatingNovel           </t>
  </si>
  <si>
    <t xml:space="preserve"> #Nostalgia #FamilyPhotoAlbum           </t>
  </si>
  <si>
    <t xml:space="preserve"> #Spark #InspirationIgnited             </t>
  </si>
  <si>
    <t xml:space="preserve"> #Gratitude #WarmTea                    </t>
  </si>
  <si>
    <t xml:space="preserve"> #Marvel #ColorfulStreetMarket          </t>
  </si>
  <si>
    <t xml:space="preserve"> #Serenity #TranquilSunset              </t>
  </si>
  <si>
    <t xml:space="preserve"> #Heartbreak #LostLove                    </t>
  </si>
  <si>
    <t xml:space="preserve"> #Loneliness #HeavyHeart                  </t>
  </si>
  <si>
    <t xml:space="preserve"> #Grief #LostFriendship                  </t>
  </si>
  <si>
    <t xml:space="preserve"> #Despair #EndlessDarkness               </t>
  </si>
  <si>
    <t xml:space="preserve"> #Betrayal #ShatteredTrust               </t>
  </si>
  <si>
    <t xml:space="preserve"> #Suffering #HeartacheSymphony          </t>
  </si>
  <si>
    <t xml:space="preserve"> #EmotionalStorm #SadnessWhirlwind      </t>
  </si>
  <si>
    <t xml:space="preserve"> #Regret #HauntedPast                    </t>
  </si>
  <si>
    <t xml:space="preserve"> #Grief #TornApart                       </t>
  </si>
  <si>
    <t xml:space="preserve"> #Isolation #EmotionalWinter            </t>
  </si>
  <si>
    <t xml:space="preserve"> #Disappointment #CrushedHopes          </t>
  </si>
  <si>
    <t xml:space="preserve"> #LostLove #PainfulEchoes               </t>
  </si>
  <si>
    <t xml:space="preserve"> #Despair #AbyssOfHeartache             </t>
  </si>
  <si>
    <t xml:space="preserve"> #Melancholy #QuietSerenade             </t>
  </si>
  <si>
    <t xml:space="preserve"> #Bitterness #WoundedHeart              </t>
  </si>
  <si>
    <t xml:space="preserve"> #Exhaustion #CrushedSpirit             </t>
  </si>
  <si>
    <t xml:space="preserve"> #Sorrow #SymphonyOfLoss                </t>
  </si>
  <si>
    <t xml:space="preserve"> #Darkness #SoulEngulfed                 </t>
  </si>
  <si>
    <t xml:space="preserve"> #Desperation #GlimmerOfHope            </t>
  </si>
  <si>
    <t xml:space="preserve"> #Ruins #ShatteredDreams                </t>
  </si>
  <si>
    <t xml:space="preserve"> #Desolation #ScatteredHope </t>
  </si>
  <si>
    <t xml:space="preserve"> #Regret #PathOfRemorse </t>
  </si>
  <si>
    <t xml:space="preserve"> #Grief #LostJoyFootsteps </t>
  </si>
  <si>
    <t xml:space="preserve"> #Loneliness #CrashingWaves </t>
  </si>
  <si>
    <t xml:space="preserve"> #Bitterness #StainedTrust </t>
  </si>
  <si>
    <t xml:space="preserve"> #Desolation #WhisperedLoss </t>
  </si>
  <si>
    <t xml:space="preserve"> #Heartbreak #RippleOfDespair </t>
  </si>
  <si>
    <t xml:space="preserve"> #Grief #SilentTears </t>
  </si>
  <si>
    <t xml:space="preserve"> #Betrayal #ReverberatingPromises </t>
  </si>
  <si>
    <t xml:space="preserve"> #Resilience #TightropeWalk </t>
  </si>
  <si>
    <t xml:space="preserve"> #Isolation #SilentSolitude </t>
  </si>
  <si>
    <t xml:space="preserve"> #Regret #FadingPossibilities </t>
  </si>
  <si>
    <t xml:space="preserve"> #Despair #EndlessReverberation </t>
  </si>
  <si>
    <t xml:space="preserve"> #Sorrow #AutumnLeaves </t>
  </si>
  <si>
    <t xml:space="preserve"> #Desolation #ShatteredHopes </t>
  </si>
  <si>
    <t xml:space="preserve"> #Grief #LostLoveLonging </t>
  </si>
  <si>
    <t xml:space="preserve"> #Betrayal #ClosingWalls </t>
  </si>
  <si>
    <t xml:space="preserve"> #Heartbreak #CalmAfterStorm </t>
  </si>
  <si>
    <t xml:space="preserve"> #Despair #UnraveledHope </t>
  </si>
  <si>
    <t xml:space="preserve"> #Loss #SilentSurrender </t>
  </si>
  <si>
    <t xml:space="preserve"> #Heartache #LoveSongLonging </t>
  </si>
  <si>
    <t xml:space="preserve"> #Nostalgia #CherishedMemories </t>
  </si>
  <si>
    <t xml:space="preserve"> #Grief #MelancholicMelody </t>
  </si>
  <si>
    <t xml:space="preserve"> #Betrayal #PoisonedTrust </t>
  </si>
  <si>
    <t xml:space="preserve"> #Despair #DeepDescent </t>
  </si>
  <si>
    <t xml:space="preserve"> #Desolation #UntoldSorrows </t>
  </si>
  <si>
    <t xml:space="preserve"> #Regret #PastCurrents </t>
  </si>
  <si>
    <t xml:space="preserve"> #Loss #ForgottenLove </t>
  </si>
  <si>
    <t xml:space="preserve"> #Betrayal #ShatteredVows </t>
  </si>
  <si>
    <t xml:space="preserve"> #Solitude #ShadowConversation </t>
  </si>
  <si>
    <t xml:space="preserve"> #Joy #SimpleMoments </t>
  </si>
  <si>
    <t xml:space="preserve"> #Happiness #SpiritLifter </t>
  </si>
  <si>
    <t xml:space="preserve"> #Contentment #InnerPeace </t>
  </si>
  <si>
    <t xml:space="preserve"> #Enthusiasm #HopefulJourney </t>
  </si>
  <si>
    <t xml:space="preserve"> #Gratitude #ThankfulMelody </t>
  </si>
  <si>
    <t xml:space="preserve"> #Accomplishment #HappinessMilestone </t>
  </si>
  <si>
    <t xml:space="preserve"> #Positivity #SoulUpliftment </t>
  </si>
  <si>
    <t xml:space="preserve"> #Joy #CherishedMoment </t>
  </si>
  <si>
    <t xml:space="preserve"> #Kindness #LoveStitches </t>
  </si>
  <si>
    <t xml:space="preserve"> #Friendship #CamaraderieBlooms </t>
  </si>
  <si>
    <t xml:space="preserve"> #Love #RhythmOfAffection </t>
  </si>
  <si>
    <t xml:space="preserve"> #Joy #EndlessSmiles </t>
  </si>
  <si>
    <t xml:space="preserve"> #Excitement #IgnitedSoul </t>
  </si>
  <si>
    <t xml:space="preserve"> #Surprise #WonderfulMoment </t>
  </si>
  <si>
    <t xml:space="preserve"> #Curiosity #TreasuresOfDiscovery </t>
  </si>
  <si>
    <t xml:space="preserve"> #Gratitude #ShowerOfThankfulness </t>
  </si>
  <si>
    <t xml:space="preserve"> #Inspiration #BrilliantTrails </t>
  </si>
  <si>
    <t xml:space="preserve"> #Success #NightSkyTriumph </t>
  </si>
  <si>
    <t xml:space="preserve"> #Happiness #BoundlessLaughter </t>
  </si>
  <si>
    <t xml:space="preserve"> #Thrill #WildHeartRide </t>
  </si>
  <si>
    <t xml:space="preserve"> #Reflection #ParisianDreams </t>
  </si>
  <si>
    <t xml:space="preserve"> #Enchantment #ChildhoodFantasies </t>
  </si>
  <si>
    <t xml:space="preserve"> #Excitement #SymphonyOfSpeed </t>
  </si>
  <si>
    <t xml:space="preserve"> #Joy #SpringtimeColors </t>
  </si>
  <si>
    <t xml:space="preserve"> #Exploration #JapaneseTraditions </t>
  </si>
  <si>
    <t xml:space="preserve"> #Awe #EarthsGrandeur </t>
  </si>
  <si>
    <t xml:space="preserve"> #Serenity #SunsetHues </t>
  </si>
  <si>
    <t xml:space="preserve"> #Amazement #AncientTales </t>
  </si>
  <si>
    <t xml:space="preserve"> #Romance #TimelessCity </t>
  </si>
  <si>
    <t xml:space="preserve"> #Awe #AncientCivilizations </t>
  </si>
  <si>
    <t xml:space="preserve"> #Excitement #UrbanEnergy </t>
  </si>
  <si>
    <t xml:space="preserve"> #Captivation #GladiatorTales </t>
  </si>
  <si>
    <t xml:space="preserve"> #Serenity #ParadiseWhispers </t>
  </si>
  <si>
    <t xml:space="preserve"> #Wonder #NatureOrchestra </t>
  </si>
  <si>
    <t xml:space="preserve"> #Awe #EngineeringMarvels </t>
  </si>
  <si>
    <t xml:space="preserve"> #Accomplishment #SunriseHues </t>
  </si>
  <si>
    <t xml:space="preserve"> #Exploration #KhmerStories </t>
  </si>
  <si>
    <t xml:space="preserve"> #Adventure #SnowPeakDance </t>
  </si>
  <si>
    <t xml:space="preserve"> #Tranquility #ZenWisdom </t>
  </si>
  <si>
    <t xml:space="preserve"> #Grandeur #IcyMasterpiece </t>
  </si>
  <si>
    <t xml:space="preserve"> #Emotion #AdeleConcert </t>
  </si>
  <si>
    <t xml:space="preserve"> #Energy #BeyonceConcert </t>
  </si>
  <si>
    <t xml:space="preserve"> #Enchantment #TaylorSwift </t>
  </si>
  <si>
    <t xml:space="preserve"> #Nostalgia #QueenTribute </t>
  </si>
  <si>
    <t xml:space="preserve"> #Serenity #EdSheeranConcert </t>
  </si>
  <si>
    <t xml:space="preserve"> #Joy #BrunoMars </t>
  </si>
  <si>
    <t xml:space="preserve"> #Celebration #MJTribute </t>
  </si>
  <si>
    <t xml:space="preserve"> #Charm #SinatraTribute </t>
  </si>
  <si>
    <t xml:space="preserve"> #Ecstasy #MetallicaConcert </t>
  </si>
  <si>
    <t xml:space="preserve"> #Hope #ColdplayMagic </t>
  </si>
  <si>
    <t xml:space="preserve"> #Enthusiasm #JustinBieber </t>
  </si>
  <si>
    <t xml:space="preserve"> #Creativity #LadyGaga </t>
  </si>
  <si>
    <t xml:space="preserve"> #Emotion #AdeleMelodies </t>
  </si>
  <si>
    <t xml:space="preserve"> #Colorful #KatyPerry </t>
  </si>
  <si>
    <t xml:space="preserve"> #Pride #JayZAnthem </t>
  </si>
  <si>
    <t xml:space="preserve"> #Hypnotic #ShakiraRhythms </t>
  </si>
  <si>
    <t xml:space="preserve"> #Connection #U2Anthem </t>
  </si>
  <si>
    <t xml:space="preserve"> #Iconic #GNRConcert </t>
  </si>
  <si>
    <t xml:space="preserve"> #Euphoria #ArianaGrande </t>
  </si>
  <si>
    <t xml:space="preserve"> #Journey #BobMarleyTribute </t>
  </si>
  <si>
    <t xml:space="preserve"> #Excitement #MoviePremiereThrills </t>
  </si>
  <si>
    <t xml:space="preserve"> #Nostalgia #ClassicFilmMoments </t>
  </si>
  <si>
    <t xml:space="preserve"> #Engagement #WebSeriesJourney </t>
  </si>
  <si>
    <t xml:space="preserve"> #Pride #IndieFilmSuccess </t>
  </si>
  <si>
    <t xml:space="preserve"> #Touched #FamilyDramaMoments </t>
  </si>
  <si>
    <t xml:space="preserve"> #Gratitude #OscarWinningMoment </t>
  </si>
  <si>
    <t xml:space="preserve"> #Inspiration #HiddenGemDiscovery </t>
  </si>
  <si>
    <t xml:space="preserve"> #Contemplation #DeepMeanings </t>
  </si>
  <si>
    <t xml:space="preserve"> #Suspense #CrimeSeriesThrills </t>
  </si>
  <si>
    <t xml:space="preserve"> #Satisfaction #FulfillingEnding </t>
  </si>
  <si>
    <t xml:space="preserve"> #Joy #WorldCupTriumph </t>
  </si>
  <si>
    <t xml:space="preserve"> #Inspiration #OlympicAchievement </t>
  </si>
  <si>
    <t xml:space="preserve"> #Excitement #CricketChampionship </t>
  </si>
  <si>
    <t xml:space="preserve"> #Admiration #MarathonRecords </t>
  </si>
  <si>
    <t xml:space="preserve"> #Captivation #TennisRivalry </t>
  </si>
  <si>
    <t xml:space="preserve"> #Triumph #BasketballFinals </t>
  </si>
  <si>
    <t xml:space="preserve"> #Awe #GolfVictory </t>
  </si>
  <si>
    <t xml:space="preserve"> #Thrill #Formula1Championship </t>
  </si>
  <si>
    <t xml:space="preserve"> #Determination #CyclingChampion </t>
  </si>
  <si>
    <t xml:space="preserve"> #Heartwarming #HockeyFinalsComeback </t>
  </si>
  <si>
    <t xml:space="preserve"> #Disappointment #SoccerDefeats </t>
  </si>
  <si>
    <t xml:space="preserve"> #Frustration #TennisSetback </t>
  </si>
  <si>
    <t xml:space="preserve"> #Reflection #BoxingDefeat </t>
  </si>
  <si>
    <t xml:space="preserve"> #Obstacle #CyclingFrustration </t>
  </si>
  <si>
    <t xml:space="preserve"> #Sympathy #GymnasticsFall </t>
  </si>
  <si>
    <t xml:space="preserve"> #Pressure #GolfDefeat </t>
  </si>
  <si>
    <t xml:space="preserve"> #RenewedEffort #BasketballStruggles </t>
  </si>
  <si>
    <t xml:space="preserve"> #Miscalculation #SwimmingDisappointment </t>
  </si>
  <si>
    <t xml:space="preserve"> #Challenge #WeightliftingFailure </t>
  </si>
  <si>
    <t xml:space="preserve"> #Despair #OwnGoal </t>
  </si>
  <si>
    <t xml:space="preserve"> #Tranquility #SunsetBeauty </t>
  </si>
  <si>
    <t xml:space="preserve"> #Adventure #RoadTripMemories </t>
  </si>
  <si>
    <t xml:space="preserve"> #Solace #CafeReflection </t>
  </si>
  <si>
    <t xml:space="preserve"> #Creativity #StreetArtVibes </t>
  </si>
  <si>
    <t xml:space="preserve"> #Breakthrough #ScientificDiscovery </t>
  </si>
  <si>
    <t xml:space="preserve"> #Harmony #OrchestraMelody </t>
  </si>
  <si>
    <t xml:space="preserve"> #JoyInBaking #HomemadeDelights </t>
  </si>
  <si>
    <t xml:space="preserve"> #EnvisioningHistory #MuseumTales </t>
  </si>
  <si>
    <t xml:space="preserve"> #Imagination #LiteraryEscape </t>
  </si>
  <si>
    <t xml:space="preserve"> #Vibrancy #MarketStories </t>
  </si>
  <si>
    <t xml:space="preserve"> #Mesmerizing #NightDancePerformance </t>
  </si>
  <si>
    <t xml:space="preserve"> #CulinaryAdventure #StreetFoodDelights </t>
  </si>
  <si>
    <t xml:space="preserve"> #WinterMagic #SnowyLandscapes </t>
  </si>
  <si>
    <t xml:space="preserve"> #ThrillingJourney #MysteryNovel </t>
  </si>
  <si>
    <t xml:space="preserve"> #NaturesBeauty #FloralJoy </t>
  </si>
  <si>
    <t xml:space="preserve"> #CelestialWonder #Stargazing </t>
  </si>
  <si>
    <t xml:space="preserve"> #CreativeInspiration #CoffeeJourney </t>
  </si>
  <si>
    <t xml:space="preserve"> #RunwayCreativity #FashionInnovation </t>
  </si>
  <si>
    <t xml:space="preserve"> #OceansFreedom #SurfingThrills </t>
  </si>
  <si>
    <t xml:space="preserve"> #WhispersOfThePast #HistoricalTour </t>
  </si>
  <si>
    <t xml:space="preserve"> #CrushStruggles #AvoidingEyeContact </t>
  </si>
  <si>
    <t xml:space="preserve"> #SnackCrisis #TeenLife </t>
  </si>
  <si>
    <t xml:space="preserve"> #SelfieStruggle #TeenConfessions </t>
  </si>
  <si>
    <t xml:space="preserve"> #TeenProblems #LostHeadphones </t>
  </si>
  <si>
    <t xml:space="preserve"> #StudyingMemes #TeenLife </t>
  </si>
  <si>
    <t xml:space="preserve"> #WeekendOops #TeenFashion </t>
  </si>
  <si>
    <t xml:space="preserve"> #TeenSuccess #ProjectMiracle </t>
  </si>
  <si>
    <t xml:space="preserve"> #TeenChef #CookingFail </t>
  </si>
  <si>
    <t xml:space="preserve"> #ClassEvent #TeenExcitement </t>
  </si>
  <si>
    <t xml:space="preserve"> #BookDiscoveries #TeenReading </t>
  </si>
  <si>
    <t xml:space="preserve"> #GameOn #TeenGamer </t>
  </si>
  <si>
    <t xml:space="preserve"> #BingeWatchDay #TeenLife </t>
  </si>
  <si>
    <t xml:space="preserve"> #FashionGoals #TeenStyle </t>
  </si>
  <si>
    <t xml:space="preserve"> #InstrumentLearning #TeenMusic </t>
  </si>
  <si>
    <t xml:space="preserve"> #MusicTherapy #TeenPlaylist </t>
  </si>
  <si>
    <t xml:space="preserve"> #CookingSuccess #TeenCook </t>
  </si>
  <si>
    <t xml:space="preserve"> #GetawayGoals #TeenTravel </t>
  </si>
  <si>
    <t xml:space="preserve"> #MusicMagic #TeenConcert </t>
  </si>
  <si>
    <t xml:space="preserve"> #ChildhoodMemories #TeenCartoons </t>
  </si>
  <si>
    <t xml:space="preserve"> #DIYGoals #TeenCreative </t>
  </si>
  <si>
    <t xml:space="preserve"> #CulturalDay #TeenCuriosity </t>
  </si>
  <si>
    <t xml:space="preserve"> #BloggingJourney #TeenThoughts </t>
  </si>
  <si>
    <t xml:space="preserve"> #QuietMoments #BookishEscape </t>
  </si>
  <si>
    <t xml:space="preserve"> #AgingGracefully #Memories </t>
  </si>
  <si>
    <t xml:space="preserve"> #ArtDiscovery #SeniorArtist </t>
  </si>
  <si>
    <t xml:space="preserve"> #HappinessInFood #SeniorLife </t>
  </si>
  <si>
    <t xml:space="preserve"> #MindEnrichment #SeniorLearning </t>
  </si>
  <si>
    <t xml:space="preserve"> #MusicLover #SeniorConcert </t>
  </si>
  <si>
    <t xml:space="preserve"> #NatureCapture #SeniorMoments </t>
  </si>
  <si>
    <t xml:space="preserve"> #FriendshipGoals #SeniorBonding </t>
  </si>
  <si>
    <t xml:space="preserve"> #CherishedPlaces #SeniorTravel </t>
  </si>
  <si>
    <t xml:space="preserve"> #MusicHarmony #SeniorVoices </t>
  </si>
  <si>
    <t xml:space="preserve"> #MindfulLiving #SeniorCalm </t>
  </si>
  <si>
    <t xml:space="preserve"> #NatureWonders #SeniorGarden </t>
  </si>
  <si>
    <t xml:space="preserve"> #LifeWellLived #SeniorWine </t>
  </si>
  <si>
    <t xml:space="preserve"> #CreativityAtAnyAge #SeniorCreativity </t>
  </si>
  <si>
    <t xml:space="preserve"> #LifetimeExperiences #SeniorMemoir </t>
  </si>
  <si>
    <t xml:space="preserve"> #LifetimeAdventure #SeniorCuriosity </t>
  </si>
  <si>
    <t xml:space="preserve"> #KitchenMemories #SeniorCulinary </t>
  </si>
  <si>
    <t xml:space="preserve"> #OutdoorBeauty #SeniorClicks </t>
  </si>
  <si>
    <t xml:space="preserve"> #TimelessTunes #SeniorJazz </t>
  </si>
  <si>
    <t xml:space="preserve"> #SoulfulWriting #SeniorReflections </t>
  </si>
  <si>
    <t xml:space="preserve"> #DiscoverNewPlaces #SeniorTravel </t>
  </si>
  <si>
    <t xml:space="preserve"> #RoadTripDownMemoryLane #SeniorCars </t>
  </si>
  <si>
    <t xml:space="preserve"> #GardenFriends #SeniorGreenThumb </t>
  </si>
  <si>
    <t xml:space="preserve"> #HeartwarmingMoments #SeniorFamily </t>
  </si>
  <si>
    <t xml:space="preserve"> #DanceLife #SeniorMoves </t>
  </si>
  <si>
    <t xml:space="preserve"> #CreativeExpressions #SeniorArt </t>
  </si>
  <si>
    <t xml:space="preserve"> #BookishTalks #SeniorBookworms </t>
  </si>
  <si>
    <t xml:space="preserve"> #FriendshipSunshine #SeniorMemories </t>
  </si>
  <si>
    <t xml:space="preserve"> #StagePassion #SeniorTheater </t>
  </si>
  <si>
    <t xml:space="preserve"> #NatureTrailBlazer #SeniorExplorer </t>
  </si>
  <si>
    <t xml:space="preserve"> #LifeInPictures #SeniorExhibition </t>
  </si>
  <si>
    <t xml:space="preserve"> #OpenRoadAdventures #SeniorCycling </t>
  </si>
  <si>
    <t xml:space="preserve"> #AgedToPerfection #SeniorCheers </t>
  </si>
  <si>
    <t xml:space="preserve"> #GracefulMoves #SeniorDance </t>
  </si>
  <si>
    <t xml:space="preserve"> #CommunityArt #SeniorCreativity </t>
  </si>
  <si>
    <t xml:space="preserve"> #FriendshipAdventures #SeniorNostalgia </t>
  </si>
  <si>
    <t xml:space="preserve"> #CelestialWonders #SeniorAstronomy </t>
  </si>
  <si>
    <t xml:space="preserve"> #LifeLessons #SeniorBlog </t>
  </si>
  <si>
    <t xml:space="preserve"> #RunForACause #SeniorSupport </t>
  </si>
  <si>
    <t xml:space="preserve"> #PhysicsSurvivor #HighSchoolAdventures </t>
  </si>
  <si>
    <t xml:space="preserve"> #CodingAdventure #HighSchoolCoderLife </t>
  </si>
  <si>
    <t xml:space="preserve"> #DebateWarrior #HighSchoolDebater </t>
  </si>
  <si>
    <t xml:space="preserve"> #PhotographyClub #HighSchoolPhotographer </t>
  </si>
  <si>
    <t xml:space="preserve"> #PromDreams #HighSchoolFairytale </t>
  </si>
  <si>
    <t xml:space="preserve"> #OutdoorClassroom #HighSchoolExplorer </t>
  </si>
  <si>
    <t xml:space="preserve"> #ArtisticMishaps #HighSchoolArt </t>
  </si>
  <si>
    <t xml:space="preserve"> #SkaterLife #HighSchoolSkater </t>
  </si>
  <si>
    <t xml:space="preserve"> #KpopFangirl #HighSchoolMusic </t>
  </si>
  <si>
    <t xml:space="preserve"> #ChemistryWizard #HighSchoolScientist </t>
  </si>
  <si>
    <t xml:space="preserve"> #BirthdayParty #HighSchoolCelebration </t>
  </si>
  <si>
    <t xml:space="preserve"> #DramaClubStar #HighSchoolActor </t>
  </si>
  <si>
    <t xml:space="preserve"> #FantasyBookNerd #HighSchoolReader </t>
  </si>
  <si>
    <t xml:space="preserve"> #DoodleMaster #HighSchoolArt </t>
  </si>
  <si>
    <t xml:space="preserve"> #HandstandChallenge #HighSchoolAthlete </t>
  </si>
  <si>
    <t xml:space="preserve"> #SnackSmuggler #HighSchoolSnacks </t>
  </si>
  <si>
    <t xml:space="preserve"> #SleepoverFun #HighSchoolMemories </t>
  </si>
  <si>
    <t xml:space="preserve"> #DanceFail #HighSchoolTikTok </t>
  </si>
  <si>
    <t xml:space="preserve"> #SocialMediaBlunder #HighSchoolAwkward </t>
  </si>
  <si>
    <t xml:space="preserve"> #CrushFail #HighSchoolEmbarrassment </t>
  </si>
  <si>
    <t xml:space="preserve"> #PaperPlaneExpert #HighSchoolArt </t>
  </si>
  <si>
    <t xml:space="preserve"> #TextbookJuggling #HighSchoolSkills </t>
  </si>
  <si>
    <t xml:space="preserve"> #SnackNinja #HighSchoolSnacks </t>
  </si>
  <si>
    <t xml:space="preserve"> #SurpriseAdventure #HighSchoolFun </t>
  </si>
  <si>
    <t xml:space="preserve"> #RainDance #HighSchoolJoy </t>
  </si>
  <si>
    <t xml:space="preserve"> #TextingFail #HighSchoolAwkward </t>
  </si>
  <si>
    <t xml:space="preserve"> #MagicFail #HighSchoolMagic </t>
  </si>
  <si>
    <t xml:space="preserve"> #OrigamiMaster #HighSchoolArt </t>
  </si>
  <si>
    <t xml:space="preserve"> #HackySackChallenge #HighSchoolAthlete </t>
  </si>
  <si>
    <t xml:space="preserve"> #FriendshipGoals #HighSchoolMemories </t>
  </si>
  <si>
    <t xml:space="preserve"> #BurgerQuest #HighSchoolFoodie </t>
  </si>
  <si>
    <t xml:space="preserve"> #StandUpComedy #HighSchoolTalent </t>
  </si>
  <si>
    <t xml:space="preserve"> #LoveLetterFail #HighSchoolAwkward </t>
  </si>
  <si>
    <t xml:space="preserve"> #ScienceGeek #HighSchoolExperiments </t>
  </si>
  <si>
    <t xml:space="preserve"> #FriendshipBracelets #HighSchoolCrafts </t>
  </si>
  <si>
    <t xml:space="preserve"> #CartwheelChallenge #HighSchoolAthlete </t>
  </si>
  <si>
    <t xml:space="preserve"> #MovieNight #HighSchoolMemories </t>
  </si>
  <si>
    <t xml:space="preserve"> #HairExperiment #HighSchoolStyle </t>
  </si>
  <si>
    <t xml:space="preserve"> #TimeCapsule #HighSchoolNostalgia </t>
  </si>
  <si>
    <t xml:space="preserve"> #FirstDayOops #HighSchoolEmbarrassment </t>
  </si>
  <si>
    <t xml:space="preserve"> #HealthyLiving #HighSchoolWellness </t>
  </si>
  <si>
    <t xml:space="preserve"> #SchoolChallenges #HighSchoolStruggles </t>
  </si>
  <si>
    <t xml:space="preserve"> #OnlineHate #HighSchoolReality </t>
  </si>
  <si>
    <t xml:space="preserve"> #BadDay #HighSchoolBlues </t>
  </si>
  <si>
    <t xml:space="preserve"> #Disappointment #HighSchoolSports </t>
  </si>
  <si>
    <t xml:space="preserve"> #CafeteriaDrama #HighSchoolTension </t>
  </si>
  <si>
    <t xml:space="preserve"> #AcademicFrustration #HighSchoolStress </t>
  </si>
  <si>
    <t xml:space="preserve"> #LifeChallenges #HighSchoolStruggles </t>
  </si>
  <si>
    <t xml:space="preserve"> #LonelyNights #HighSchoolEmotions </t>
  </si>
  <si>
    <t xml:space="preserve"> #StopCyberbullying #HighSchoolReality </t>
  </si>
  <si>
    <t xml:space="preserve"> #BadLuck #HighSchoolWeather </t>
  </si>
  <si>
    <t xml:space="preserve"> #MissedChances #HighSchoolRegret </t>
  </si>
  <si>
    <t xml:space="preserve"> #RumorMills #HighSchoolDrama </t>
  </si>
  <si>
    <t xml:space="preserve"> #BadLuckDay #HighSchoolStruggles </t>
  </si>
  <si>
    <t xml:space="preserve"> #SayingGoodbye #HighSchoolEmotions </t>
  </si>
  <si>
    <t xml:space="preserve"> #CollegeDreams #HighSchoolJourney </t>
  </si>
  <si>
    <t xml:space="preserve"> #OnlineGaming #HighSchoolGamer </t>
  </si>
  <si>
    <t xml:space="preserve"> #BadHairDay #HighSchoolConfidence </t>
  </si>
  <si>
    <t xml:space="preserve"> #ProjectStruggles #HighSchoolHardships </t>
  </si>
  <si>
    <t xml:space="preserve"> #OnlineOpinions #HighSchoolCriticism </t>
  </si>
  <si>
    <t xml:space="preserve"> #TechIssues #HighSchoolTech </t>
  </si>
  <si>
    <t xml:space="preserve"> #MissedMoments #HighSchoolRegret </t>
  </si>
  <si>
    <t xml:space="preserve"> #StudyStrategies #HighSchoolExams </t>
  </si>
  <si>
    <t xml:space="preserve"> #EnvironmentalEfforts #HighSchoolCommunity </t>
  </si>
  <si>
    <t xml:space="preserve"> #BookClub #HighSchoolReads </t>
  </si>
  <si>
    <t xml:space="preserve"> #BakingAdventures #HighSchoolBakes </t>
  </si>
  <si>
    <t xml:space="preserve"> #Teamwork #HighSchoolProjects </t>
  </si>
  <si>
    <t xml:space="preserve"> #SchoolClubs #HighSchoolInterests </t>
  </si>
  <si>
    <t xml:space="preserve"> #CareerDevelopment #HighSchoolJobs </t>
  </si>
  <si>
    <t xml:space="preserve"> #SchoolEvents #HighSchoolConnectivity </t>
  </si>
  <si>
    <t xml:space="preserve"> #PhotographyJourney #HighSchoolHobbies </t>
  </si>
  <si>
    <t xml:space="preserve"> #ScienceFair #HighSchoolScience </t>
  </si>
  <si>
    <t xml:space="preserve"> #EfficiencyGoals #HighSchoolSkills </t>
  </si>
  <si>
    <t xml:space="preserve"> #CommunityService #HighSchoolVolunteer </t>
  </si>
  <si>
    <t xml:space="preserve"> #TeamSpirit #HighSchoolProjects </t>
  </si>
  <si>
    <t xml:space="preserve"> #DebateSkills #HighSchoolIntellect </t>
  </si>
  <si>
    <t xml:space="preserve"> #SurpriseParty #HighSchoolCelebration </t>
  </si>
  <si>
    <t xml:space="preserve"> #CodingTriumph #HighSchoolTech </t>
  </si>
  <si>
    <t xml:space="preserve"> #TalentShow #HighSchoolEntertainment </t>
  </si>
  <si>
    <t xml:space="preserve"> #NatureAdventures #HighSchoolFriends </t>
  </si>
  <si>
    <t xml:space="preserve"> #SportsTriumph #HighSchoolAthletics </t>
  </si>
  <si>
    <t xml:space="preserve"> #GlobalFriendship #HighSchoolCorrespondence </t>
  </si>
  <si>
    <t xml:space="preserve"> #ArtCollaboration #HighSchoolCreativity </t>
  </si>
  <si>
    <t xml:space="preserve"> #ArtisticExpression #HighSchoolCreativity </t>
  </si>
  <si>
    <t xml:space="preserve"> #AthleticAchievement #HighSchoolSports </t>
  </si>
  <si>
    <t xml:space="preserve"> #ScienceFairWinner #HighSchoolScience </t>
  </si>
  <si>
    <t xml:space="preserve"> #SurpriseCelebration #HighSchoolFriendship </t>
  </si>
  <si>
    <t xml:space="preserve"> #CommunityGiving #HighSchoolPhilanthropy </t>
  </si>
  <si>
    <t>Canada</t>
  </si>
  <si>
    <t xml:space="preserve"> #CulturalCelebration #HighSchoolUnity </t>
  </si>
  <si>
    <t>UK</t>
  </si>
  <si>
    <t xml:space="preserve"> #VirtualEntertainment #HighSchoolPositivity </t>
  </si>
  <si>
    <t>Select Username:</t>
  </si>
  <si>
    <t>Time of the Day:</t>
  </si>
  <si>
    <t>likes:</t>
  </si>
  <si>
    <t>Sentiments:</t>
  </si>
  <si>
    <t>User Post Info</t>
  </si>
  <si>
    <t>Platform for a specific User</t>
  </si>
  <si>
    <t>Social Media Platform:</t>
  </si>
  <si>
    <t>Australia</t>
  </si>
  <si>
    <t>India</t>
  </si>
  <si>
    <t>France</t>
  </si>
  <si>
    <t>Brazil</t>
  </si>
  <si>
    <t>Japan</t>
  </si>
  <si>
    <t>Greece</t>
  </si>
  <si>
    <t>Germany</t>
  </si>
  <si>
    <t>Sweden</t>
  </si>
  <si>
    <t>Italy</t>
  </si>
  <si>
    <t>Netherlands</t>
  </si>
  <si>
    <t>South Africa</t>
  </si>
  <si>
    <t>Spain</t>
  </si>
  <si>
    <t>Portugal</t>
  </si>
  <si>
    <t>Switzerland</t>
  </si>
  <si>
    <t>Austria</t>
  </si>
  <si>
    <t>Belgium</t>
  </si>
  <si>
    <t>Denmark</t>
  </si>
  <si>
    <t>Czech Republic</t>
  </si>
  <si>
    <t>Jordan</t>
  </si>
  <si>
    <t>Peru</t>
  </si>
  <si>
    <t>Maldives</t>
  </si>
  <si>
    <t>China</t>
  </si>
  <si>
    <t>Cambodia</t>
  </si>
  <si>
    <t>Norway</t>
  </si>
  <si>
    <t>Colombia</t>
  </si>
  <si>
    <t>Ireland</t>
  </si>
  <si>
    <t>Jamaica</t>
  </si>
  <si>
    <t>Kenya</t>
  </si>
  <si>
    <t>Scotland</t>
  </si>
  <si>
    <t>Thailand</t>
  </si>
  <si>
    <t>Twitter</t>
  </si>
  <si>
    <t>Instagram</t>
  </si>
  <si>
    <t>Facebook</t>
  </si>
  <si>
    <t>Positive</t>
  </si>
  <si>
    <t>Negative</t>
  </si>
  <si>
    <t>Neutral</t>
  </si>
  <si>
    <t>Anger</t>
  </si>
  <si>
    <t>Fear</t>
  </si>
  <si>
    <t>Sadness</t>
  </si>
  <si>
    <t>Disgust</t>
  </si>
  <si>
    <t>Happiness</t>
  </si>
  <si>
    <t>Joy</t>
  </si>
  <si>
    <t>Love</t>
  </si>
  <si>
    <t>Amusement</t>
  </si>
  <si>
    <t>Enjoyment</t>
  </si>
  <si>
    <t>Admiration</t>
  </si>
  <si>
    <t>Affection</t>
  </si>
  <si>
    <t>Awe</t>
  </si>
  <si>
    <t>Disappointed</t>
  </si>
  <si>
    <t>Surprise</t>
  </si>
  <si>
    <t>Acceptance</t>
  </si>
  <si>
    <t>Adoration</t>
  </si>
  <si>
    <t>Anticipation</t>
  </si>
  <si>
    <t>Bitter</t>
  </si>
  <si>
    <t>Calmness</t>
  </si>
  <si>
    <t>Confusion</t>
  </si>
  <si>
    <t>Excitement</t>
  </si>
  <si>
    <t>Kind</t>
  </si>
  <si>
    <t>Pride</t>
  </si>
  <si>
    <t>Shame</t>
  </si>
  <si>
    <t>Elation</t>
  </si>
  <si>
    <t>Euphoria</t>
  </si>
  <si>
    <t>Contentment</t>
  </si>
  <si>
    <t>Serenity</t>
  </si>
  <si>
    <t>Gratitude</t>
  </si>
  <si>
    <t>Hope</t>
  </si>
  <si>
    <t>Empowerment</t>
  </si>
  <si>
    <t>Compassion</t>
  </si>
  <si>
    <t>Tenderness</t>
  </si>
  <si>
    <t>Arousal</t>
  </si>
  <si>
    <t>Enthusiasm</t>
  </si>
  <si>
    <t>Fulfillment</t>
  </si>
  <si>
    <t>Reverence</t>
  </si>
  <si>
    <t>Despair</t>
  </si>
  <si>
    <t>Grief</t>
  </si>
  <si>
    <t>Loneliness</t>
  </si>
  <si>
    <t>Jealousy</t>
  </si>
  <si>
    <t>Resentment</t>
  </si>
  <si>
    <t>Frustration</t>
  </si>
  <si>
    <t>Boredom</t>
  </si>
  <si>
    <t>Anxiety</t>
  </si>
  <si>
    <t>Intimidation</t>
  </si>
  <si>
    <t>Helplessness</t>
  </si>
  <si>
    <t>Envy</t>
  </si>
  <si>
    <t>Regret</t>
  </si>
  <si>
    <t>Curiosity</t>
  </si>
  <si>
    <t>Indifference</t>
  </si>
  <si>
    <t>Numbness</t>
  </si>
  <si>
    <t>Melancholy</t>
  </si>
  <si>
    <t>Nostalgia</t>
  </si>
  <si>
    <t>Ambivalence</t>
  </si>
  <si>
    <t>Determination</t>
  </si>
  <si>
    <t>Zest</t>
  </si>
  <si>
    <t>Hopeful</t>
  </si>
  <si>
    <t>Proud</t>
  </si>
  <si>
    <t>Grateful</t>
  </si>
  <si>
    <t>Empathetic</t>
  </si>
  <si>
    <t>Compassionate</t>
  </si>
  <si>
    <t>Playful</t>
  </si>
  <si>
    <t>Free-spirited</t>
  </si>
  <si>
    <t>Inspired</t>
  </si>
  <si>
    <t>Confident</t>
  </si>
  <si>
    <t>Bitterness</t>
  </si>
  <si>
    <t>Yearning</t>
  </si>
  <si>
    <t>Fearful</t>
  </si>
  <si>
    <t>Apprehensive</t>
  </si>
  <si>
    <t>Overwhelmed</t>
  </si>
  <si>
    <t>Jealous</t>
  </si>
  <si>
    <t>Devastated</t>
  </si>
  <si>
    <t>Frustrated</t>
  </si>
  <si>
    <t>Envious</t>
  </si>
  <si>
    <t>Dismissive</t>
  </si>
  <si>
    <t>Thrill</t>
  </si>
  <si>
    <t>Bittersweet</t>
  </si>
  <si>
    <t>Overjoyed</t>
  </si>
  <si>
    <t>Inspiration</t>
  </si>
  <si>
    <t>Motivation</t>
  </si>
  <si>
    <t>Contemplation</t>
  </si>
  <si>
    <t>JoyfulReunion</t>
  </si>
  <si>
    <t>Satisfaction</t>
  </si>
  <si>
    <t>Blessed</t>
  </si>
  <si>
    <t>Reflection</t>
  </si>
  <si>
    <t>Appreciation</t>
  </si>
  <si>
    <t>Confidence</t>
  </si>
  <si>
    <t>Accomplishment</t>
  </si>
  <si>
    <t>Wonderment</t>
  </si>
  <si>
    <t>Optimism</t>
  </si>
  <si>
    <t>Enchantment</t>
  </si>
  <si>
    <t>Intrigue</t>
  </si>
  <si>
    <t>PlayfulJoy</t>
  </si>
  <si>
    <t>Mindfulness</t>
  </si>
  <si>
    <t>DreamChaser</t>
  </si>
  <si>
    <t>Elegance</t>
  </si>
  <si>
    <t>Whimsy</t>
  </si>
  <si>
    <t>Pensive</t>
  </si>
  <si>
    <t>Harmony</t>
  </si>
  <si>
    <t>Creativity</t>
  </si>
  <si>
    <t>Radiance</t>
  </si>
  <si>
    <t>Wonder</t>
  </si>
  <si>
    <t>Rejuvenation</t>
  </si>
  <si>
    <t>Coziness</t>
  </si>
  <si>
    <t>Adventure</t>
  </si>
  <si>
    <t>Melodic</t>
  </si>
  <si>
    <t>FestiveJoy</t>
  </si>
  <si>
    <t>InnerJourney</t>
  </si>
  <si>
    <t>Freedom</t>
  </si>
  <si>
    <t>Dazzle</t>
  </si>
  <si>
    <t>Adrenaline</t>
  </si>
  <si>
    <t>ArtisticBurst</t>
  </si>
  <si>
    <t>CulinaryOdyssey</t>
  </si>
  <si>
    <t>Resilience</t>
  </si>
  <si>
    <t>Immersion</t>
  </si>
  <si>
    <t>Spark</t>
  </si>
  <si>
    <t>Marvel</t>
  </si>
  <si>
    <t>Heartbreak</t>
  </si>
  <si>
    <t>Betrayal</t>
  </si>
  <si>
    <t>Suffering</t>
  </si>
  <si>
    <t>EmotionalStorm</t>
  </si>
  <si>
    <t>Isolation</t>
  </si>
  <si>
    <t>Disappointment</t>
  </si>
  <si>
    <t>LostLove</t>
  </si>
  <si>
    <t>Exhaustion</t>
  </si>
  <si>
    <t>Sorrow</t>
  </si>
  <si>
    <t>Darkness</t>
  </si>
  <si>
    <t>Desperation</t>
  </si>
  <si>
    <t>Ruins</t>
  </si>
  <si>
    <t>Desolation</t>
  </si>
  <si>
    <t>Loss</t>
  </si>
  <si>
    <t>Heartache</t>
  </si>
  <si>
    <t>Solitude</t>
  </si>
  <si>
    <t>Positivity</t>
  </si>
  <si>
    <t>Kindness</t>
  </si>
  <si>
    <t>Friendship</t>
  </si>
  <si>
    <t>Success</t>
  </si>
  <si>
    <t>Exploration</t>
  </si>
  <si>
    <t>Amazement</t>
  </si>
  <si>
    <t>Romance</t>
  </si>
  <si>
    <t>Captivation</t>
  </si>
  <si>
    <t>Tranquility</t>
  </si>
  <si>
    <t>Grandeur</t>
  </si>
  <si>
    <t>Emotion</t>
  </si>
  <si>
    <t>Energy</t>
  </si>
  <si>
    <t>Celebration</t>
  </si>
  <si>
    <t>Charm</t>
  </si>
  <si>
    <t>Ecstasy</t>
  </si>
  <si>
    <t>Colorful</t>
  </si>
  <si>
    <t>Hypnotic</t>
  </si>
  <si>
    <t>Connection</t>
  </si>
  <si>
    <t>Iconic</t>
  </si>
  <si>
    <t>Journey</t>
  </si>
  <si>
    <t>Touched</t>
  </si>
  <si>
    <t>Suspense</t>
  </si>
  <si>
    <t>Triumph</t>
  </si>
  <si>
    <t>Heartwarming</t>
  </si>
  <si>
    <t>Obstacle</t>
  </si>
  <si>
    <t>Sympathy</t>
  </si>
  <si>
    <t>Pressure</t>
  </si>
  <si>
    <t>Renewed Effort</t>
  </si>
  <si>
    <t>Miscalculation</t>
  </si>
  <si>
    <t>Challenge</t>
  </si>
  <si>
    <t>Solace</t>
  </si>
  <si>
    <t>Breakthrough</t>
  </si>
  <si>
    <t>Joy in Baking</t>
  </si>
  <si>
    <t>Envisioning History</t>
  </si>
  <si>
    <t>Imagination</t>
  </si>
  <si>
    <t>Vibrancy</t>
  </si>
  <si>
    <t>Mesmerizing</t>
  </si>
  <si>
    <t>Culinary Adventure</t>
  </si>
  <si>
    <t>Winter Magic</t>
  </si>
  <si>
    <t>Thrilling Journey</t>
  </si>
  <si>
    <t>Nature's Beauty</t>
  </si>
  <si>
    <t>Celestial Wonder</t>
  </si>
  <si>
    <t>Creative Inspiration</t>
  </si>
  <si>
    <t>Runway Creativity</t>
  </si>
  <si>
    <t>Ocean's Freedom</t>
  </si>
  <si>
    <t>Whispers of the Past</t>
  </si>
  <si>
    <t>Relief</t>
  </si>
  <si>
    <t>Embarrassed</t>
  </si>
  <si>
    <t>Mischievous</t>
  </si>
  <si>
    <t>Sad</t>
  </si>
  <si>
    <t>Hate</t>
  </si>
  <si>
    <t>Bad</t>
  </si>
  <si>
    <t>Happy</t>
  </si>
  <si>
    <t>User123</t>
  </si>
  <si>
    <t>CommuterX</t>
  </si>
  <si>
    <t>FitnessFan</t>
  </si>
  <si>
    <t>AdventureX</t>
  </si>
  <si>
    <t>ChefCook</t>
  </si>
  <si>
    <t>GratitudeNow</t>
  </si>
  <si>
    <t>RainyDays</t>
  </si>
  <si>
    <t>MovieBuff</t>
  </si>
  <si>
    <t>DebateTalk</t>
  </si>
  <si>
    <t>BeachLover</t>
  </si>
  <si>
    <t>BloggerX</t>
  </si>
  <si>
    <t>WellnessCheck</t>
  </si>
  <si>
    <t>UrbanExplorer</t>
  </si>
  <si>
    <t>FitJourney</t>
  </si>
  <si>
    <t>TechEnthusiast</t>
  </si>
  <si>
    <t>Reflections</t>
  </si>
  <si>
    <t>PetAdopter</t>
  </si>
  <si>
    <t>GamerX</t>
  </si>
  <si>
    <t>TechConference</t>
  </si>
  <si>
    <t>WinterBlues</t>
  </si>
  <si>
    <t>Bookworm</t>
  </si>
  <si>
    <t>VRExplorer</t>
  </si>
  <si>
    <t>ProductivityPro</t>
  </si>
  <si>
    <t>FitnessWarrior</t>
  </si>
  <si>
    <t>CareerMilestone</t>
  </si>
  <si>
    <t>BrunchBuddy</t>
  </si>
  <si>
    <t>LanguageLearner</t>
  </si>
  <si>
    <t>BookLover</t>
  </si>
  <si>
    <t>MentalHealthMatters</t>
  </si>
  <si>
    <t>ArtistInAction</t>
  </si>
  <si>
    <t>RoadTripper</t>
  </si>
  <si>
    <t>SunsetWatcher</t>
  </si>
  <si>
    <t>CodeEnthusiast</t>
  </si>
  <si>
    <t>WorkshopAttendee</t>
  </si>
  <si>
    <t>WinterSports</t>
  </si>
  <si>
    <t>FamilyTime</t>
  </si>
  <si>
    <t>MusicLover</t>
  </si>
  <si>
    <t>MindfulMoments</t>
  </si>
  <si>
    <t>DessertExplorer</t>
  </si>
  <si>
    <t>GamingEnthusiast</t>
  </si>
  <si>
    <t>GardenPlanner</t>
  </si>
  <si>
    <t>BirthdayBash</t>
  </si>
  <si>
    <t>ProductivityWin</t>
  </si>
  <si>
    <t>MovieNight</t>
  </si>
  <si>
    <t>ArtExplorer</t>
  </si>
  <si>
    <t>BookwormX</t>
  </si>
  <si>
    <t>VRMeetup</t>
  </si>
  <si>
    <t>NatureLover</t>
  </si>
  <si>
    <t>ChefAtHome</t>
  </si>
  <si>
    <t>OptimisticMindset</t>
  </si>
  <si>
    <t>FitnessChallenge</t>
  </si>
  <si>
    <t>BikeExplorer</t>
  </si>
  <si>
    <t>SocialJustice</t>
  </si>
  <si>
    <t>ThrillerFan</t>
  </si>
  <si>
    <t>EmpathyFirst</t>
  </si>
  <si>
    <t>EcoAwareness</t>
  </si>
  <si>
    <t>ProudFriend</t>
  </si>
  <si>
    <t>ComedyFan</t>
  </si>
  <si>
    <t>LoveSpreader</t>
  </si>
  <si>
    <t>AmusedSoul</t>
  </si>
  <si>
    <t>BookLoverAgain</t>
  </si>
  <si>
    <t>NatureAdmirer</t>
  </si>
  <si>
    <t>AffectionSender</t>
  </si>
  <si>
    <t>AweStruck</t>
  </si>
  <si>
    <t>FoodieGoneWrong</t>
  </si>
  <si>
    <t>HappySurprise</t>
  </si>
  <si>
    <t>AcceptanceSeeker</t>
  </si>
  <si>
    <t>PetAdorer</t>
  </si>
  <si>
    <t>AdventureAwaits</t>
  </si>
  <si>
    <t>LearnFromBitter</t>
  </si>
  <si>
    <t>ZenMaster</t>
  </si>
  <si>
    <t>ConfusedMind</t>
  </si>
  <si>
    <t>VacationDreamer</t>
  </si>
  <si>
    <t>KindnessPrevails</t>
  </si>
  <si>
    <t>PersonalAchiever</t>
  </si>
  <si>
    <t>ReflectiveSelf</t>
  </si>
  <si>
    <t>AngryDebater</t>
  </si>
  <si>
    <t>FearfulDreamer</t>
  </si>
  <si>
    <t>FarewellHeart</t>
  </si>
  <si>
    <t>AntiCorruption</t>
  </si>
  <si>
    <t>NewParentJoy</t>
  </si>
  <si>
    <t>StandUpFan</t>
  </si>
  <si>
    <t>LoveSender</t>
  </si>
  <si>
    <t>PetAmuser</t>
  </si>
  <si>
    <t>TravelExplorer</t>
  </si>
  <si>
    <t>CharityAdmirer</t>
  </si>
  <si>
    <t>FamilyLover</t>
  </si>
  <si>
    <t>Stargazer</t>
  </si>
  <si>
    <t>ProjectStruggle</t>
  </si>
  <si>
    <t>LifeAcceptance</t>
  </si>
  <si>
    <t>PuppyAdmirer</t>
  </si>
  <si>
    <t>MovieBuff2</t>
  </si>
  <si>
    <t>CustomerWoes</t>
  </si>
  <si>
    <t>CalmSoul</t>
  </si>
  <si>
    <t>ConfusedMind2</t>
  </si>
  <si>
    <t>BirthdayExcite</t>
  </si>
  <si>
    <t>KindnessObserver</t>
  </si>
  <si>
    <t>FitAchiever</t>
  </si>
  <si>
    <t>ReflectiveSelf2</t>
  </si>
  <si>
    <t>DiversityLover</t>
  </si>
  <si>
    <t>BookwormJoy</t>
  </si>
  <si>
    <t>WorkplaceWoes</t>
  </si>
  <si>
    <t>MindfulMe</t>
  </si>
  <si>
    <t>ConfusedMind3</t>
  </si>
  <si>
    <t>RoadTripper2</t>
  </si>
  <si>
    <t>KindnessPrevails2</t>
  </si>
  <si>
    <t>GoalAchiever</t>
  </si>
  <si>
    <t>ReflectiveSelf3</t>
  </si>
  <si>
    <t>NostalgiaFan</t>
  </si>
  <si>
    <t>SportsFanatic</t>
  </si>
  <si>
    <t>NatureLover2</t>
  </si>
  <si>
    <t>ZenMaster2</t>
  </si>
  <si>
    <t>ThankfulHeart</t>
  </si>
  <si>
    <t>OptimisticSoul</t>
  </si>
  <si>
    <t>CommunityLeader</t>
  </si>
  <si>
    <t>CharitySupporter</t>
  </si>
  <si>
    <t>LovingHeart</t>
  </si>
  <si>
    <t>ExcitementFan</t>
  </si>
  <si>
    <t>ProjectEnthusiast</t>
  </si>
  <si>
    <t>MilestoneAchiever</t>
  </si>
  <si>
    <t>HistoryLover</t>
  </si>
  <si>
    <t>JoyfulReunion2</t>
  </si>
  <si>
    <t>MusicEnthusiast</t>
  </si>
  <si>
    <t>SimpleJoys</t>
  </si>
  <si>
    <t>BookLover3</t>
  </si>
  <si>
    <t>SupportiveFriend</t>
  </si>
  <si>
    <t>JourneyOptimist</t>
  </si>
  <si>
    <t>GrowthSeeker</t>
  </si>
  <si>
    <t>HolidayHelper</t>
  </si>
  <si>
    <t>WinterWarmth</t>
  </si>
  <si>
    <t>CreativeSpirit</t>
  </si>
  <si>
    <t>FitnessAchiever</t>
  </si>
  <si>
    <t>ArtAppreciator</t>
  </si>
  <si>
    <t>GoalAchiever2</t>
  </si>
  <si>
    <t>UrbanExplorer2</t>
  </si>
  <si>
    <t>BirthdayJoy</t>
  </si>
  <si>
    <t>HomeChef</t>
  </si>
  <si>
    <t>MusicLover4</t>
  </si>
  <si>
    <t>CommunityLove</t>
  </si>
  <si>
    <t>EntrepreneurHope</t>
  </si>
  <si>
    <t>MentorEmpower</t>
  </si>
  <si>
    <t>KindnessInAction</t>
  </si>
  <si>
    <t>LoveExpress</t>
  </si>
  <si>
    <t>TravelExcitement</t>
  </si>
  <si>
    <t>ArtisticSpirit</t>
  </si>
  <si>
    <t>HelperHeart</t>
  </si>
  <si>
    <t>HistoryBuff</t>
  </si>
  <si>
    <t>FitnessAchiever2</t>
  </si>
  <si>
    <t>ProductLaunchJoy</t>
  </si>
  <si>
    <t>LovingEmbrace</t>
  </si>
  <si>
    <t>SunsetWatcher2</t>
  </si>
  <si>
    <t>JoyfulHeart2</t>
  </si>
  <si>
    <t>GrowthOptimist</t>
  </si>
  <si>
    <t>SkillEmpower</t>
  </si>
  <si>
    <t>CharityVolunteer</t>
  </si>
  <si>
    <t>PetLove</t>
  </si>
  <si>
    <t>FestivalFan</t>
  </si>
  <si>
    <t>DIYEnthusiast</t>
  </si>
  <si>
    <t>PuzzleMaster</t>
  </si>
  <si>
    <t>ChildhoodJoy</t>
  </si>
  <si>
    <t>StrugglingSoul</t>
  </si>
  <si>
    <t>MourningHeart</t>
  </si>
  <si>
    <t>SolitarySoul</t>
  </si>
  <si>
    <t>EnviousObserver</t>
  </si>
  <si>
    <t>BitterHeart</t>
  </si>
  <si>
    <t>BlockedGoals</t>
  </si>
  <si>
    <t>BoredMind</t>
  </si>
  <si>
    <t>WorriedMind</t>
  </si>
  <si>
    <t>FearfulSoul</t>
  </si>
  <si>
    <t>OverwhelmedHeart</t>
  </si>
  <si>
    <t>CovetousMind</t>
  </si>
  <si>
    <t>RemorsefulSoul</t>
  </si>
  <si>
    <t>DisgustedHeart</t>
  </si>
  <si>
    <t>HopelessHeart</t>
  </si>
  <si>
    <t>TearfulSoul</t>
  </si>
  <si>
    <t>IsolatedMind</t>
  </si>
  <si>
    <t>SelfDoubt</t>
  </si>
  <si>
    <t>BrokenTrust</t>
  </si>
  <si>
    <t>ExplosiveMind</t>
  </si>
  <si>
    <t>MundaneHeart</t>
  </si>
  <si>
    <t>RestlessMind</t>
  </si>
  <si>
    <t>FearfulJourney</t>
  </si>
  <si>
    <t>OverwhelmedSoul</t>
  </si>
  <si>
    <t>GreenEyedMonster</t>
  </si>
  <si>
    <t>RegretfulMind</t>
  </si>
  <si>
    <t>CorruptedHeart</t>
  </si>
  <si>
    <t>DrowningSoul</t>
  </si>
  <si>
    <t>StormyHeart</t>
  </si>
  <si>
    <t>EchoingSoul</t>
  </si>
  <si>
    <t>PoisonedMind</t>
  </si>
  <si>
    <t>UnforgivingSoul</t>
  </si>
  <si>
    <t>ThunderingMind</t>
  </si>
  <si>
    <t>StagnantHeart</t>
  </si>
  <si>
    <t>InquisitiveMind</t>
  </si>
  <si>
    <t>ApatheticObserver</t>
  </si>
  <si>
    <t>SeekingClarity</t>
  </si>
  <si>
    <t>EmotionallyDistant</t>
  </si>
  <si>
    <t>SunsetDreamer</t>
  </si>
  <si>
    <t>MemoryLaneTraveler</t>
  </si>
  <si>
    <t>MixedFeelings</t>
  </si>
  <si>
    <t>ZenLifestyle</t>
  </si>
  <si>
    <t>ResilientSpirit</t>
  </si>
  <si>
    <t>NatureSoul</t>
  </si>
  <si>
    <t>EternalLearner</t>
  </si>
  <si>
    <t>AloofObserver</t>
  </si>
  <si>
    <t>ThoughtExplorer</t>
  </si>
  <si>
    <t>StoicSoul</t>
  </si>
  <si>
    <t>DreamerInSilence</t>
  </si>
  <si>
    <t>JournalKeeper</t>
  </si>
  <si>
    <t>ThreadWeaver</t>
  </si>
  <si>
    <t>SelfLoveAdvocate</t>
  </si>
  <si>
    <t>OceanSoul</t>
  </si>
  <si>
    <t>HorizonExplorer</t>
  </si>
  <si>
    <t>NonchalantSpirit</t>
  </si>
  <si>
    <t>ComplexThinker</t>
  </si>
  <si>
    <t>ShieldedHeart</t>
  </si>
  <si>
    <t>SymphonySoul</t>
  </si>
  <si>
    <t>YearbookExplorer</t>
  </si>
  <si>
    <t>DecisiveDilemma</t>
  </si>
  <si>
    <t>ImperfectHarmony</t>
  </si>
  <si>
    <t>VisionarySpirit</t>
  </si>
  <si>
    <t>ForestDreamer</t>
  </si>
  <si>
    <t>SilentSpectator</t>
  </si>
  <si>
    <t>MazeNavigator</t>
  </si>
  <si>
    <t>ResilientFortress</t>
  </si>
  <si>
    <t>CanvasDreamer</t>
  </si>
  <si>
    <t>DiaryExplorer</t>
  </si>
  <si>
    <t>CrossroadsTraveler</t>
  </si>
  <si>
    <t>MosaicDreamer</t>
  </si>
  <si>
    <t>PathfinderSpirit</t>
  </si>
  <si>
    <t>RaindropHarmony</t>
  </si>
  <si>
    <t>SeekerOfUnknowns</t>
  </si>
  <si>
    <t>NonchalantWanderer</t>
  </si>
  <si>
    <t>ShadowedSeeker</t>
  </si>
  <si>
    <t>TurbulentShield</t>
  </si>
  <si>
    <t>WistfulPainter</t>
  </si>
  <si>
    <t>TaleWeaver</t>
  </si>
  <si>
    <t>CrossroadsExplorer</t>
  </si>
  <si>
    <t>MosaicArtist</t>
  </si>
  <si>
    <t>DreamSculptor</t>
  </si>
  <si>
    <t>MoonlitSoul</t>
  </si>
  <si>
    <t>FearlessExplorer</t>
  </si>
  <si>
    <t>JoyfulDancer</t>
  </si>
  <si>
    <t>SereneBasker</t>
  </si>
  <si>
    <t>DreamPainter</t>
  </si>
  <si>
    <t>OakAchiever</t>
  </si>
  <si>
    <t>HeartGardener</t>
  </si>
  <si>
    <t>CloudCaretaker</t>
  </si>
  <si>
    <t>RainDancer</t>
  </si>
  <si>
    <t>SkyPainter</t>
  </si>
  <si>
    <t>PhoenixExplorer</t>
  </si>
  <si>
    <t>SunriseNavigator</t>
  </si>
  <si>
    <t>SandStrider</t>
  </si>
  <si>
    <t>NightSerenader</t>
  </si>
  <si>
    <t>KnowledgeSeeker</t>
  </si>
  <si>
    <t>BreezeWaltzer</t>
  </si>
  <si>
    <t>StarNavigator</t>
  </si>
  <si>
    <t>MeadowSprinter</t>
  </si>
  <si>
    <t>RainNurturer</t>
  </si>
  <si>
    <t>PeakConqueror</t>
  </si>
  <si>
    <t>DawnGardener</t>
  </si>
  <si>
    <t>CarnivalDreamer</t>
  </si>
  <si>
    <t>SkyArtist</t>
  </si>
  <si>
    <t>RiverNavigator</t>
  </si>
  <si>
    <t>LanternWanderer</t>
  </si>
  <si>
    <t>DreamSoarer</t>
  </si>
  <si>
    <t>SunsetAdmirer</t>
  </si>
  <si>
    <t>DanceStrider</t>
  </si>
  <si>
    <t>WindWhisperer</t>
  </si>
  <si>
    <t>JugglingArtist</t>
  </si>
  <si>
    <t>StarStoryteller</t>
  </si>
  <si>
    <t>WaveNavigator</t>
  </si>
  <si>
    <t>ShatteredHeart</t>
  </si>
  <si>
    <t>VenomousSoul</t>
  </si>
  <si>
    <t>DesertWanderer</t>
  </si>
  <si>
    <t>ColdEmbrace</t>
  </si>
  <si>
    <t>NightPrisoner</t>
  </si>
  <si>
    <t>TightropeWalker</t>
  </si>
  <si>
    <t>AtlasBearer</t>
  </si>
  <si>
    <t>GreenMonster</t>
  </si>
  <si>
    <t>StormSurvivor</t>
  </si>
  <si>
    <t>PuzzleComposer</t>
  </si>
  <si>
    <t>GildedHeartache</t>
  </si>
  <si>
    <t>IndifferentFort</t>
  </si>
  <si>
    <t>DreamMosaic</t>
  </si>
  <si>
    <t>NocturnalEcho</t>
  </si>
  <si>
    <t>DarkWhispers</t>
  </si>
  <si>
    <t>LingeringTaste</t>
  </si>
  <si>
    <t>TempestSurvivor</t>
  </si>
  <si>
    <t>VenomousHeart</t>
  </si>
  <si>
    <t>FragileTrust</t>
  </si>
  <si>
    <t>BrokenThreads</t>
  </si>
  <si>
    <t>SuccessPill</t>
  </si>
  <si>
    <t>CurtainShield</t>
  </si>
  <si>
    <t>FoggyLabyrinth</t>
  </si>
  <si>
    <t>IcyResentment</t>
  </si>
  <si>
    <t>SolitaryMoon</t>
  </si>
  <si>
    <t>VanishedSunset</t>
  </si>
  <si>
    <t>MazeExplorer</t>
  </si>
  <si>
    <t>WoundedGarden</t>
  </si>
  <si>
    <t>RuinedHeart</t>
  </si>
  <si>
    <t>KnotUntangler</t>
  </si>
  <si>
    <t>ElusiveKeys</t>
  </si>
  <si>
    <t>GoalPursuer</t>
  </si>
  <si>
    <t>MemoryLane</t>
  </si>
  <si>
    <t>CultureEnthusiast</t>
  </si>
  <si>
    <t>RainWatcher</t>
  </si>
  <si>
    <t>PersonalJourney</t>
  </si>
  <si>
    <t>LifeLearner</t>
  </si>
  <si>
    <t>FarewellSender</t>
  </si>
  <si>
    <t>HistoryExplorer</t>
  </si>
  <si>
    <t>CraftEnthusiast</t>
  </si>
  <si>
    <t>WinterLover</t>
  </si>
  <si>
    <t>FitnessJunkie</t>
  </si>
  <si>
    <t>CoffeeLover</t>
  </si>
  <si>
    <t>HikingExplorer</t>
  </si>
  <si>
    <t>KittyObserver</t>
  </si>
  <si>
    <t>FriendshipRenewal</t>
  </si>
  <si>
    <t>CelebrationPlanner</t>
  </si>
  <si>
    <t>CommunityHelper</t>
  </si>
  <si>
    <t>GardenEnthusiast</t>
  </si>
  <si>
    <t>Wanderlust</t>
  </si>
  <si>
    <t>ChildhoodMemories</t>
  </si>
  <si>
    <t>CultureExplorer</t>
  </si>
  <si>
    <t>PublicSpeaker</t>
  </si>
  <si>
    <t>FamilyCelebration</t>
  </si>
  <si>
    <t>LifelongLearner</t>
  </si>
  <si>
    <t>CityExplorer</t>
  </si>
  <si>
    <t>RainbowChaser</t>
  </si>
  <si>
    <t>FutureOptimist</t>
  </si>
  <si>
    <t>CareerAchiever</t>
  </si>
  <si>
    <t>SunnyDayEnthusiast</t>
  </si>
  <si>
    <t>ArchaeologyEnthusiast</t>
  </si>
  <si>
    <t>NightSkyObserver</t>
  </si>
  <si>
    <t>ArtConnoisseur</t>
  </si>
  <si>
    <t>PlayfulParent</t>
  </si>
  <si>
    <t>ZenSeeker</t>
  </si>
  <si>
    <t>SkyDreamer</t>
  </si>
  <si>
    <t>DanceEnthusiast</t>
  </si>
  <si>
    <t>FairyTaleExplorer</t>
  </si>
  <si>
    <t>RuinsExplorer</t>
  </si>
  <si>
    <t>RollercoasterFan</t>
  </si>
  <si>
    <t>MusicHarmonist</t>
  </si>
  <si>
    <t>StudioArtist</t>
  </si>
  <si>
    <t>SpringEnthusiast</t>
  </si>
  <si>
    <t>CosmosExplorer</t>
  </si>
  <si>
    <t>SeaBreezeLover</t>
  </si>
  <si>
    <t>FamilyGatherer</t>
  </si>
  <si>
    <t>CulinaryExplorer</t>
  </si>
  <si>
    <t>PuzzleSolver</t>
  </si>
  <si>
    <t>CathedralVisitor</t>
  </si>
  <si>
    <t>CarnivalGoer</t>
  </si>
  <si>
    <t>MindfulExplorer</t>
  </si>
  <si>
    <t>CoastalExplorer</t>
  </si>
  <si>
    <t>MasqueradeAttendee</t>
  </si>
  <si>
    <t>FairyTaleAdventurer</t>
  </si>
  <si>
    <t>ThrillSeeker</t>
  </si>
  <si>
    <t>SnowfallEnthusiast</t>
  </si>
  <si>
    <t>BreadLover</t>
  </si>
  <si>
    <t>NatureResilient</t>
  </si>
  <si>
    <t>FamilyHistorian</t>
  </si>
  <si>
    <t>NightSkyWatcher</t>
  </si>
  <si>
    <t>TeaEnthusiast</t>
  </si>
  <si>
    <t>MarketExplorer</t>
  </si>
  <si>
    <t>LakesideRetreater</t>
  </si>
  <si>
    <t>LostInLove</t>
  </si>
  <si>
    <t>SolitudeSeeker</t>
  </si>
  <si>
    <t>FriendshipsEnd</t>
  </si>
  <si>
    <t>LostInDarkness</t>
  </si>
  <si>
    <t>SilentSufferer</t>
  </si>
  <si>
    <t>StormyFeelings</t>
  </si>
  <si>
    <t>LingeringGhost</t>
  </si>
  <si>
    <t>EchoesOfLoss</t>
  </si>
  <si>
    <t>WinterOfEmotions</t>
  </si>
  <si>
    <t>ShatteredHopes</t>
  </si>
  <si>
    <t>AbyssOfTime</t>
  </si>
  <si>
    <t>SolitaryDescent</t>
  </si>
  <si>
    <t>SerenadeOfSolitude</t>
  </si>
  <si>
    <t>PoisonedHeart</t>
  </si>
  <si>
    <t>WearySoulCrushed</t>
  </si>
  <si>
    <t>StringsOfSorrow</t>
  </si>
  <si>
    <t>SoulInShadow</t>
  </si>
  <si>
    <t>WhisperedDespair</t>
  </si>
  <si>
    <t>DreamsInWind</t>
  </si>
  <si>
    <t>DreamEchoes</t>
  </si>
  <si>
    <t>RemorseWalker</t>
  </si>
  <si>
    <t>JoyLabyrinth</t>
  </si>
  <si>
    <t>SolitudeSeas</t>
  </si>
  <si>
    <t>PalateStainer</t>
  </si>
  <si>
    <t>HopeRuins</t>
  </si>
  <si>
    <t>OceanSinker</t>
  </si>
  <si>
    <t>InkJournalist</t>
  </si>
  <si>
    <t>TrustWasteland</t>
  </si>
  <si>
    <t>DreamTightrope</t>
  </si>
  <si>
    <t>EchoedLaughter</t>
  </si>
  <si>
    <t>PossibilityGhost</t>
  </si>
  <si>
    <t>EndlessLabyrinth</t>
  </si>
  <si>
    <t>RiverOfSorrow</t>
  </si>
  <si>
    <t>DreamGardener</t>
  </si>
  <si>
    <t>CurrencyOfTears</t>
  </si>
  <si>
    <t>MazeWanderer</t>
  </si>
  <si>
    <t>StormSeeker</t>
  </si>
  <si>
    <t>TapestrySorrow</t>
  </si>
  <si>
    <t>WitheredRose</t>
  </si>
  <si>
    <t>LoveSongEcho</t>
  </si>
  <si>
    <t>MoonlitMemories</t>
  </si>
  <si>
    <t>SymphonyOfTears</t>
  </si>
  <si>
    <t>VenomousGarden</t>
  </si>
  <si>
    <t>QuicksandFighter</t>
  </si>
  <si>
    <t>DreamCemetery</t>
  </si>
  <si>
    <t>RegretRiver</t>
  </si>
  <si>
    <t>HeartAttic</t>
  </si>
  <si>
    <t>PromiseGallery</t>
  </si>
  <si>
    <t>EchoedConversation</t>
  </si>
  <si>
    <t>SunshineDancer</t>
  </si>
  <si>
    <t>GardenOfJoy</t>
  </si>
  <si>
    <t>StarSerenader</t>
  </si>
  <si>
    <t>GlowAchiever</t>
  </si>
  <si>
    <t>DanceHarmony</t>
  </si>
  <si>
    <t>LaughterCup</t>
  </si>
  <si>
    <t>QuiltedCompassion</t>
  </si>
  <si>
    <t>FriendshipGarden</t>
  </si>
  <si>
    <t>MelodyOfLove</t>
  </si>
  <si>
    <t>ColorfulLaughter</t>
  </si>
  <si>
    <t>SymphonyFervor</t>
  </si>
  <si>
    <t>WrappedDelight</t>
  </si>
  <si>
    <t>MazeDiscovery</t>
  </si>
  <si>
    <t>CloudsOfBlessings</t>
  </si>
  <si>
    <t>CometCreativity</t>
  </si>
  <si>
    <t>FireworksTriumph</t>
  </si>
  <si>
    <t>LaughterSymphony</t>
  </si>
  <si>
    <t>EmotionCarnival</t>
  </si>
  <si>
    <t>ParisDreamer</t>
  </si>
  <si>
    <t>DisneylandExplorer</t>
  </si>
  <si>
    <t>FerrariSpeedster</t>
  </si>
  <si>
    <t>KeukenhofAdventurer</t>
  </si>
  <si>
    <t>KyotoAdventurer</t>
  </si>
  <si>
    <t>CanyonMarveler</t>
  </si>
  <si>
    <t>SantoriniTraveler</t>
  </si>
  <si>
    <t>PetraExplorer</t>
  </si>
  <si>
    <t>VeniceRomantic</t>
  </si>
  <si>
    <t>MachuPicchuAdventurer</t>
  </si>
  <si>
    <t>TimesSquareExplorer</t>
  </si>
  <si>
    <t>ColosseumAdventurer</t>
  </si>
  <si>
    <t>MaldivesSailor</t>
  </si>
  <si>
    <t>AmazonExplorer</t>
  </si>
  <si>
    <t>GreatWallWalker</t>
  </si>
  <si>
    <t>FujiSummitAchiever</t>
  </si>
  <si>
    <t>AngkorWatAdventurer</t>
  </si>
  <si>
    <t>AlpsSkiAdventurer</t>
  </si>
  <si>
    <t>KyotoBambooSeeker</t>
  </si>
  <si>
    <t>NorwayFjordExplorer</t>
  </si>
  <si>
    <t>AdeleConcertGoer</t>
  </si>
  <si>
    <t>BeyonceDancer</t>
  </si>
  <si>
    <t>SwiftieDreamer</t>
  </si>
  <si>
    <t>QueenTributeFan</t>
  </si>
  <si>
    <t>SheeranMelodyLover</t>
  </si>
  <si>
    <t>MarsJoyExplorer</t>
  </si>
  <si>
    <t>MJTributeDancer</t>
  </si>
  <si>
    <t>SinatraCharmListener</t>
  </si>
  <si>
    <t>MetallicaMoshWarrior</t>
  </si>
  <si>
    <t>ColdplayHopeSeeker</t>
  </si>
  <si>
    <t>BieberDanceEnthusiast</t>
  </si>
  <si>
    <t>GagaArtisticChameleon</t>
  </si>
  <si>
    <t>AdeleMelodyTearjerker</t>
  </si>
  <si>
    <t>KatyPerryColorExplosion</t>
  </si>
  <si>
    <t>JayZEmpireListener</t>
  </si>
  <si>
    <t>ShakiraHipsDancer</t>
  </si>
  <si>
    <t>U2ConnectionSeeker</t>
  </si>
  <si>
    <t>GunsNRosesRiffRockstar</t>
  </si>
  <si>
    <t>ArianaEuphoriaChaser</t>
  </si>
  <si>
    <t>MarleyReggaeTraveler</t>
  </si>
  <si>
    <t>MovieEnthusiastPremiereAttendee</t>
  </si>
  <si>
    <t>FilmLoverNostalgiaSeeker</t>
  </si>
  <si>
    <t>WebSeriesViewerCharacterConnection</t>
  </si>
  <si>
    <t>IndieFilmmakerFestivalSuccess</t>
  </si>
  <si>
    <t>DramaEnthusiastHeartwarmingMoments</t>
  </si>
  <si>
    <t>AwardWinningActorOscarsRecipient</t>
  </si>
  <si>
    <t>DocumentaryEnthusiastHiddenGemFinder</t>
  </si>
  <si>
    <t>FilmBuffContemplativeViewer</t>
  </si>
  <si>
    <t>CrimeSeriesEnthusiastThrillSeeker</t>
  </si>
  <si>
    <t>FilmCriticSatisfactionSeeker</t>
  </si>
  <si>
    <t>FootballFanWorldCupCelebration</t>
  </si>
  <si>
    <t>OlympicsEnthusiastGoldMedalWinner</t>
  </si>
  <si>
    <t>CricketFanChampionshipThrills</t>
  </si>
  <si>
    <t>MarathonSpectatorRecordBreaking</t>
  </si>
  <si>
    <t>TennisEnthusiastGrandSlamDrama</t>
  </si>
  <si>
    <t>BasketballFanUnderdogTriumph</t>
  </si>
  <si>
    <t>GolfEnthusiastPrecisionVictory</t>
  </si>
  <si>
    <t>F1FanHighSpeedRaceExcitement</t>
  </si>
  <si>
    <t>CyclingEnthusiastWorldChampion</t>
  </si>
  <si>
    <t>HockeyFanComebackVictory</t>
  </si>
  <si>
    <t>SoccerFanTeamDefeats</t>
  </si>
  <si>
    <t>TennisEnthusiastUnexpectedSetback</t>
  </si>
  <si>
    <t>BoxingFanChampionshipDefeat</t>
  </si>
  <si>
    <t>CyclingEnthusiastTireBlowout</t>
  </si>
  <si>
    <t>GymnasticsFanRoutineFall</t>
  </si>
  <si>
    <t>GolfEnthusiastMissedPutt</t>
  </si>
  <si>
    <t>BasketballFanTeamLosses</t>
  </si>
  <si>
    <t>SwimmingEnthusiastRaceSetback</t>
  </si>
  <si>
    <t>WeightliftingFanFailedRecord</t>
  </si>
  <si>
    <t>SoccerPlayerOwnGoalMoment</t>
  </si>
  <si>
    <t>NatureEnthusiastSunsetWonder</t>
  </si>
  <si>
    <t>TravelEnthusiastRoadTripDiscovery</t>
  </si>
  <si>
    <t>UrbanExplorerCafeSolitude</t>
  </si>
  <si>
    <t>ArtEnthusiastStreetArtExploration</t>
  </si>
  <si>
    <t>ScienceEnthusiastDiscoveryMoment</t>
  </si>
  <si>
    <t>MusicLoverLiveOrchestraExperience</t>
  </si>
  <si>
    <t>HomeBakerDeliciousMemories</t>
  </si>
  <si>
    <t>HistoryBuffMuseumExploration</t>
  </si>
  <si>
    <t>BookwormCaptivatingNovelEscape</t>
  </si>
  <si>
    <t>PhotographyEnthusiastMarketMoments</t>
  </si>
  <si>
    <t>DanceEnthusiastCityNightPerformance</t>
  </si>
  <si>
    <t>FoodieMarketStreetFoodExploration</t>
  </si>
  <si>
    <t>SnowLoverWinterEnthusiast</t>
  </si>
  <si>
    <t>MysteryBookwormSuspensefulRead</t>
  </si>
  <si>
    <t>GardeningEnthusiastFlowerGarden</t>
  </si>
  <si>
    <t>AstronomyEnthusiastStargazing</t>
  </si>
  <si>
    <t>CoffeeLoverWritersRetreat</t>
  </si>
  <si>
    <t>FashionEnthusiastDesignerShowcase</t>
  </si>
  <si>
    <t>SurfingEnthusiastWaveRider</t>
  </si>
  <si>
    <t>HistoryExplorerAncientCityTour</t>
  </si>
  <si>
    <t>CrushAvoider</t>
  </si>
  <si>
    <t>SelfieAddict</t>
  </si>
  <si>
    <t>AudioExplorer</t>
  </si>
  <si>
    <t>MemeCreator</t>
  </si>
  <si>
    <t>FashionBlunder</t>
  </si>
  <si>
    <t>GroupGenius</t>
  </si>
  <si>
    <t>ChipExplorer</t>
  </si>
  <si>
    <t>ExcitementSeeker</t>
  </si>
  <si>
    <t>NightReader</t>
  </si>
  <si>
    <t>LazyWatcher</t>
  </si>
  <si>
    <t>TrendExplorer</t>
  </si>
  <si>
    <t>MusicalExplorer</t>
  </si>
  <si>
    <t>MusicAficionado</t>
  </si>
  <si>
    <t>AdventureSeeker</t>
  </si>
  <si>
    <t>NostalgiaExplorer</t>
  </si>
  <si>
    <t>HomeDecorator</t>
  </si>
  <si>
    <t>ThoughtfulBlogger</t>
  </si>
  <si>
    <t>NovelEnthusiast</t>
  </si>
  <si>
    <t>WiseSoul</t>
  </si>
  <si>
    <t>ArtAdventurer</t>
  </si>
  <si>
    <t>HomeChefSenior</t>
  </si>
  <si>
    <t>LinguisticExplorer</t>
  </si>
  <si>
    <t>MusicConnoisseur</t>
  </si>
  <si>
    <t>PhotographySenior</t>
  </si>
  <si>
    <t>TeaTimeSenior</t>
  </si>
  <si>
    <t>RoadTripSenior</t>
  </si>
  <si>
    <t>ChoirEnthusiast</t>
  </si>
  <si>
    <t>MeditationSenior</t>
  </si>
  <si>
    <t>WineConnoisseur</t>
  </si>
  <si>
    <t>ArtisticSenior</t>
  </si>
  <si>
    <t>MemoiristSenior</t>
  </si>
  <si>
    <t>HistoryEnthusiast</t>
  </si>
  <si>
    <t>FamilyChefSenior</t>
  </si>
  <si>
    <t>NaturePhotographySenior</t>
  </si>
  <si>
    <t>JazzMusicLover</t>
  </si>
  <si>
    <t>SeniorWordsmith</t>
  </si>
  <si>
    <t>SoloAdventurer</t>
  </si>
  <si>
    <t>CarEnthusiastSenior</t>
  </si>
  <si>
    <t>GreenThumbSenior</t>
  </si>
  <si>
    <t>FamilyHostSenior</t>
  </si>
  <si>
    <t>DanceEnthusiastSenior</t>
  </si>
  <si>
    <t>ArtGalleryVisitor</t>
  </si>
  <si>
    <t>SeniorBookClub</t>
  </si>
  <si>
    <t>SeniorPicnicHost</t>
  </si>
  <si>
    <t>SeniorActor</t>
  </si>
  <si>
    <t>SeniorHikerExplorer</t>
  </si>
  <si>
    <t>SeniorPhotographerExhibitor</t>
  </si>
  <si>
    <t>SeniorCyclingEnthusiast</t>
  </si>
  <si>
    <t>SeniorWineConnoisseur</t>
  </si>
  <si>
    <t>SeniorBallroomDancer</t>
  </si>
  <si>
    <t>SeniorPaintingOrganizer</t>
  </si>
  <si>
    <t>SeniorMemoriesHost</t>
  </si>
  <si>
    <t>SeniorStargazer</t>
  </si>
  <si>
    <t>SeniorJazzFestivalGoer</t>
  </si>
  <si>
    <t>WisdomBloggerSenior</t>
  </si>
  <si>
    <t>SeniorCharityRunner</t>
  </si>
  <si>
    <t>PhysicsWhizHighSchool</t>
  </si>
  <si>
    <t>CodeExplorerHighSchool</t>
  </si>
  <si>
    <t>DebateWarriorHighSchool</t>
  </si>
  <si>
    <t>PhotoClubHighSchool</t>
  </si>
  <si>
    <t>PromDreamerHighSchool</t>
  </si>
  <si>
    <t>OutdoorClassHighSchool</t>
  </si>
  <si>
    <t>PaintSpillHighSchool</t>
  </si>
  <si>
    <t>SkateProHighSchool</t>
  </si>
  <si>
    <t>KpopFangirlHighSchool</t>
  </si>
  <si>
    <t>ChemistryWizardHighSchool</t>
  </si>
  <si>
    <t>BirthdayPartyPlannerHighSchool</t>
  </si>
  <si>
    <t>DramaClubStarHighSchool</t>
  </si>
  <si>
    <t>FantasyBookNerdHighSchool</t>
  </si>
  <si>
    <t>DoodleMasterHighSchool</t>
  </si>
  <si>
    <t>HandstandChallengeHighSchool</t>
  </si>
  <si>
    <t>SnackSmugglerHighSchool</t>
  </si>
  <si>
    <t>SleepoverHostHighSchool</t>
  </si>
  <si>
    <t>TikTokFailHighSchool</t>
  </si>
  <si>
    <t>SocialMediaBlunderHighSchool</t>
  </si>
  <si>
    <t>CrushFailHighSchool</t>
  </si>
  <si>
    <t>PaperPlaneExpertHighSchool</t>
  </si>
  <si>
    <t>JugglingProHighSchool</t>
  </si>
  <si>
    <t>SnackNinjaHighSchool</t>
  </si>
  <si>
    <t>ScavengerHuntMasterHighSchool</t>
  </si>
  <si>
    <t>RainDanceCelebrationHighSchool</t>
  </si>
  <si>
    <t>GroupChatBlunderHighSchool</t>
  </si>
  <si>
    <t>MagicFailHighSchool</t>
  </si>
  <si>
    <t>OrigamiProHighSchool</t>
  </si>
  <si>
    <t>HackySackChampionHighSchool</t>
  </si>
  <si>
    <t>SecretHandshakeHighSchool</t>
  </si>
  <si>
    <t>BurgerQuestHighSchool</t>
  </si>
  <si>
    <t>ComedyGeniusHighSchool</t>
  </si>
  <si>
    <t>LoveLetterBlunderHighSchool</t>
  </si>
  <si>
    <t>ScienceExperimentProHighSchool</t>
  </si>
  <si>
    <t>BraceletCraftsmanHighSchool</t>
  </si>
  <si>
    <t>CartwheelMasterHighSchool</t>
  </si>
  <si>
    <t>MovieMarathonHostHighSchool</t>
  </si>
  <si>
    <t>HairColorExperimentHighSchool</t>
  </si>
  <si>
    <t>TimeCapsuleCreatorHighSchool</t>
  </si>
  <si>
    <t>ClassroomBlunderHighSchool</t>
  </si>
  <si>
    <t>SmoothieConnoisseurHighSchool</t>
  </si>
  <si>
    <t>OverwhelmedHighSchoolStudent</t>
  </si>
  <si>
    <t>DealingWithHateHighSchool</t>
  </si>
  <si>
    <t>ToughDayHighSchool</t>
  </si>
  <si>
    <t>SportsTeamRejectionHighSchool</t>
  </si>
  <si>
    <t>CafeteriaConflictHighSchool</t>
  </si>
  <si>
    <t>ProjectGradeDisappointmentHighSchool</t>
  </si>
  <si>
    <t>PersonalSetbackHighSchool</t>
  </si>
  <si>
    <t>LonelySaturdayHighSchool</t>
  </si>
  <si>
    <t>CyberbullyingVictimHighSchool</t>
  </si>
  <si>
    <t>RainyDayBluesHighSchool</t>
  </si>
  <si>
    <t>MissedOpportunityHighSchool</t>
  </si>
  <si>
    <t>RumorVictimHighSchool</t>
  </si>
  <si>
    <t>FlatTireWoesHighSchool</t>
  </si>
  <si>
    <t>FriendMovingAwayHighSchool</t>
  </si>
  <si>
    <t>CollegeRejectionHighSchool</t>
  </si>
  <si>
    <t>GamingToxicityHighSchool</t>
  </si>
  <si>
    <t>BadHairDayBluesHighSchool</t>
  </si>
  <si>
    <t>ProjectFailureDespairHighSchool</t>
  </si>
  <si>
    <t>OpinionsHateHighSchool</t>
  </si>
  <si>
    <t>TechMalfunctionWoesHighSchool</t>
  </si>
  <si>
    <t>MissedEventBluesHighSchool</t>
  </si>
  <si>
    <t>StudyTechniqueExperimentHighSchool</t>
  </si>
  <si>
    <t>CommunityCleanupHighSchool</t>
  </si>
  <si>
    <t>BookRecommendationsHighSchool</t>
  </si>
  <si>
    <t>BakeSaleRecipeExperimentHighSchool</t>
  </si>
  <si>
    <t>SchoolProjectCollaborationHighSchool</t>
  </si>
  <si>
    <t>ExtracurricularExplorationHighSchool</t>
  </si>
  <si>
    <t>PartTimeJobExplorationHighSchool</t>
  </si>
  <si>
    <t>SchoolAssemblyParticipationHighSchool</t>
  </si>
  <si>
    <t>PhotographyHobbyHighSchool</t>
  </si>
  <si>
    <t>ScienceFairParticipationHighSchool</t>
  </si>
  <si>
    <t>TimeManagementWorkshopHighSchool</t>
  </si>
  <si>
    <t>CharityEventVolunteerHighSchool</t>
  </si>
  <si>
    <t>GroupProjectCollaborationHighSchool</t>
  </si>
  <si>
    <t>DebateClubParticipationHighSchool</t>
  </si>
  <si>
    <t>BirthdaySurpriseHighSchool</t>
  </si>
  <si>
    <t>CodingSuccessHighSchool</t>
  </si>
  <si>
    <t>TalentShowSupportHighSchool</t>
  </si>
  <si>
    <t>WeekendHikeHighSchool</t>
  </si>
  <si>
    <t>SportsVictoryHighSchool</t>
  </si>
  <si>
    <t>PenPalConnectionHighSchool</t>
  </si>
  <si>
    <t>MuralCreationHighSchool</t>
  </si>
  <si>
    <t>ArtExhibitionJoyHighSchool</t>
  </si>
  <si>
    <t>TrackFieldSuccessHighSchool</t>
  </si>
  <si>
    <t>ScienceProjectSuccessHighSchool</t>
  </si>
  <si>
    <t>BirthdayPartyJoyHighSchool</t>
  </si>
  <si>
    <t>CharityFundraisingTriumphHighSchool</t>
  </si>
  <si>
    <t>MulticulturalFestivalJoyHighSchool</t>
  </si>
  <si>
    <t>VirtualTalentShowSuccessHighSchool</t>
  </si>
  <si>
    <t>Task 1 Applied</t>
  </si>
  <si>
    <t>Engagement_Ratio</t>
  </si>
  <si>
    <t>Popularity</t>
  </si>
  <si>
    <t xml:space="preserve"> </t>
  </si>
  <si>
    <t>Average of last 10 Likes</t>
  </si>
  <si>
    <t>Enjoying a beautiful day at the park!</t>
  </si>
  <si>
    <t>Traffic was terrible this morning.</t>
  </si>
  <si>
    <t>Just finished an amazing workout! ðŸ’ª</t>
  </si>
  <si>
    <t>Excited about the upcoming weekend getaway!</t>
  </si>
  <si>
    <t>Trying out a new recipe for dinner tonight.</t>
  </si>
  <si>
    <t>Feeling grateful for the little things in life.</t>
  </si>
  <si>
    <t>Rainy days call for cozy blankets and hot cocoa.</t>
  </si>
  <si>
    <t>The new movie release is a must-watch!</t>
  </si>
  <si>
    <t>Political discussions heating up on the timeline.</t>
  </si>
  <si>
    <t>Missing summer vibes and beach days.</t>
  </si>
  <si>
    <t>Just published a new blog post. Check it out!</t>
  </si>
  <si>
    <t>Feeling a bit under the weather today.</t>
  </si>
  <si>
    <t>Exploring the city's hidden gems.</t>
  </si>
  <si>
    <t>New year, new fitness goals! ðŸ’ª</t>
  </si>
  <si>
    <t>Technology is changing the way we live.</t>
  </si>
  <si>
    <t>Reflecting on the past and looking ahead.</t>
  </si>
  <si>
    <t>Just adopted a cute furry friend! ðŸ¾</t>
  </si>
  <si>
    <t>Late-night gaming session with friends.</t>
  </si>
  <si>
    <t>Attending a virtual conference on AI.</t>
  </si>
  <si>
    <t>Winter blues got me feeling low.</t>
  </si>
  <si>
    <t>Sipping coffee and enjoying a good book.</t>
  </si>
  <si>
    <t>Exploring the world of virtual reality.</t>
  </si>
  <si>
    <t>Productive day ticking off my to-do list.</t>
  </si>
  <si>
    <t>Just finished a challenging workout routine.</t>
  </si>
  <si>
    <t>Celebrating a milestone at work! ðŸŽ‰</t>
  </si>
  <si>
    <t>Sunday brunch with friends.</t>
  </si>
  <si>
    <t>Learning a new language for personal growth.</t>
  </si>
  <si>
    <t>Quiet evening with a good book.</t>
  </si>
  <si>
    <t>Reflecting on the importance of mental health.</t>
  </si>
  <si>
    <t>New painting in progress! ðŸŽ¨</t>
  </si>
  <si>
    <t>Weekend road trip to explore scenic views.</t>
  </si>
  <si>
    <t>Enjoying a cup of tea and watching the sunset.</t>
  </si>
  <si>
    <t>Coding a new project with enthusiasm.</t>
  </si>
  <si>
    <t>Feeling inspired after attending a workshop.</t>
  </si>
  <si>
    <t>Winter sports day at the local park.</t>
  </si>
  <si>
    <t>Quality time with family this weekend.</t>
  </si>
  <si>
    <t>Attending a live music concert tonight.</t>
  </si>
  <si>
    <t>Practicing mindfulness with meditation.</t>
  </si>
  <si>
    <t>Trying out a new dessert recipe.</t>
  </si>
  <si>
    <t>Excited about the upcoming gaming tournament.</t>
  </si>
  <si>
    <t>Planning a garden makeover for spring.</t>
  </si>
  <si>
    <t>Celebrating a friend's birthday tonight! ðŸŽ‚</t>
  </si>
  <si>
    <t>Feeling accomplished after a productive day.</t>
  </si>
  <si>
    <t>A cozy evening with a good movie.</t>
  </si>
  <si>
    <t>Exploring local art galleries this weekend.</t>
  </si>
  <si>
    <t>New book release from my favorite author!</t>
  </si>
  <si>
    <t>Attending a virtual reality meetup.</t>
  </si>
  <si>
    <t>Reflecting on the beauty of nature.</t>
  </si>
  <si>
    <t>Cooking a special dinner for loved ones.</t>
  </si>
  <si>
    <t>Feeling optimistic about the week ahead.</t>
  </si>
  <si>
    <t>Starting a new fitness challenge tomorrow! ðŸ’ª</t>
  </si>
  <si>
    <t>Sunday bike ride through scenic trails.</t>
  </si>
  <si>
    <t>Can't believe the injustice happening in our society.</t>
  </si>
  <si>
    <t>Feeling a sense of fear after watching a thriller movie.</t>
  </si>
  <si>
    <t>Heartbroken after hearing the news about a natural disaster.</t>
  </si>
  <si>
    <t>The state of the world's environment is just disgusting.</t>
  </si>
  <si>
    <t>Pure happiness: celebrating a loved one's achievement!</t>
  </si>
  <si>
    <t>Laughter is the best medicineâ€”enjoying a comedy show.</t>
  </si>
  <si>
    <t>Sharing love and positive vibes with everyone! â¤ï¸</t>
  </si>
  <si>
    <t>An amusing incident brightened up my day!</t>
  </si>
  <si>
    <t>Enjoying a quiet evening with a book and some tea.</t>
  </si>
  <si>
    <t>Admiring the beauty of nature during a peaceful hike.</t>
  </si>
  <si>
    <t>Sending affectionate vibes to all my followers!</t>
  </si>
  <si>
    <t>Experiencing awe at the breathtaking sunset.</t>
  </si>
  <si>
    <t>Disappointed with the service at a local restaurant.</t>
  </si>
  <si>
    <t>A surprise gift from a friend made my day!</t>
  </si>
  <si>
    <t>Finding acceptance in the midst of life's challenges.</t>
  </si>
  <si>
    <t>Overflowing with adoration for my adorable pet! ðŸ¾</t>
  </si>
  <si>
    <t>Anticipating a thrilling adventure in the coming weeks.</t>
  </si>
  <si>
    <t>A bitter experience turned into a valuable lesson.</t>
  </si>
  <si>
    <t>Finding calmness in the midst of a busy day.</t>
  </si>
  <si>
    <t>Confusion clouds my mind as I navigate through decisions.</t>
  </si>
  <si>
    <t>Excitement building up for the upcoming vacation!</t>
  </si>
  <si>
    <t>Kindness witnessed today restored my faith in humanity.</t>
  </si>
  <si>
    <t>Pride in achieving a personal milestone.</t>
  </si>
  <si>
    <t>A moment of shame for not standing up against injustice.</t>
  </si>
  <si>
    <t>Fuming with anger after a heated argument.</t>
  </si>
  <si>
    <t>The fear of the unknown is keeping me up at night.</t>
  </si>
  <si>
    <t>Heartfelt sadness after bidding farewell to a dear friend.</t>
  </si>
  <si>
    <t>The state of corruption in our society is utterly disgusting.</t>
  </si>
  <si>
    <t>Overflowing happiness: welcoming a new family member!</t>
  </si>
  <si>
    <t>Laughter is the key to joyâ€”attending a stand-up comedy show.</t>
  </si>
  <si>
    <t>Sending love to all my followers on this beautiful day! â¤ï¸</t>
  </si>
  <si>
    <t>Amused by the antics of my petâ€”it's pure amusement!</t>
  </si>
  <si>
    <t>Enjoying every moment of this tripâ€”pure enjoyment!</t>
  </si>
  <si>
    <t>Admiring the dedication of volunteers at a local charity.</t>
  </si>
  <si>
    <t>Sending affectionate vibes to friends and family.</t>
  </si>
  <si>
    <t>Awe-struck by the beauty of the night sky.</t>
  </si>
  <si>
    <t>Disappointed with the lack of progress in a personal project.</t>
  </si>
  <si>
    <t>A surprise visit from an old friend brought tears of joy.</t>
  </si>
  <si>
    <t>Embracing acceptance of life's ups and downs.</t>
  </si>
  <si>
    <t>Overflowing adoration for a cute rescue puppy! ðŸ¶</t>
  </si>
  <si>
    <t>Anticipating the release of a much-awaited movie.</t>
  </si>
  <si>
    <t>Bitter experience at the customer service department.</t>
  </si>
  <si>
    <t>Finding calmness amidst the chaos of daily life.</t>
  </si>
  <si>
    <t>Confusion reigns as I try to make sense of recent events.</t>
  </si>
  <si>
    <t>Excitement building up for a surprise birthday party.</t>
  </si>
  <si>
    <t>Witnessed an act of kindness that made my day.</t>
  </si>
  <si>
    <t>Pride in completing a challenging fitness challenge.</t>
  </si>
  <si>
    <t>A moment of shame for not speaking up against injustice.</t>
  </si>
  <si>
    <t>Reflecting on the beauty of diversity in our world.</t>
  </si>
  <si>
    <t>Excitement for a quiet evening with a good book.</t>
  </si>
  <si>
    <t>Feeling bitter about the unfairness in the workplace.</t>
  </si>
  <si>
    <t>Calmness prevails as I practice mindfulness.</t>
  </si>
  <si>
    <t>Confusion surrounds me as I navigate through life's choices.</t>
  </si>
  <si>
    <t>Excitement for a weekend road trip to explore new places.</t>
  </si>
  <si>
    <t>Kindness witnessed today restores my faith in humanity.</t>
  </si>
  <si>
    <t>Pride in accomplishing personal and professional goals.</t>
  </si>
  <si>
    <t>Shame for not being true to my values in a difficult situation.</t>
  </si>
  <si>
    <t>Revisiting old memories, feeling a sense of elation.</t>
  </si>
  <si>
    <t>The victory of our team brought euphoria to the city.</t>
  </si>
  <si>
    <t>Embracing the beauty of nature, a moment of contentment.</t>
  </si>
  <si>
    <t>Meditating by the serene lake, finding inner peace.</t>
  </si>
  <si>
    <t>Overflowing with gratitude for life's blessings.</t>
  </si>
  <si>
    <t>Hopeful for a brighter tomorrow, despite challenges.</t>
  </si>
  <si>
    <t>Empowered to make a difference in my community.</t>
  </si>
  <si>
    <t>Compassion in action: supporting a local charity event.</t>
  </si>
  <si>
    <t>A moment of tenderness, connecting with loved ones.</t>
  </si>
  <si>
    <t>Arousal of excitement as I await a special announcement.</t>
  </si>
  <si>
    <t>Enthusiastically diving into a new project.</t>
  </si>
  <si>
    <t>Feeling a sense of fulfillment after reaching a milestone.</t>
  </si>
  <si>
    <t>Reverence for the beauty of a historic landmark.</t>
  </si>
  <si>
    <t>Elation after a surprise reunion with old friends.</t>
  </si>
  <si>
    <t>The euphoria of a live music concert under the stars.</t>
  </si>
  <si>
    <t>Contentment in the simplicity of a quiet Sunday.</t>
  </si>
  <si>
    <t>Serenity found in the pages of a favorite book.</t>
  </si>
  <si>
    <t>Gratitude for the support received during tough times.</t>
  </si>
  <si>
    <t>Hopeful about the possibilities of a new journey.</t>
  </si>
  <si>
    <t>Empowerment through learning and personal growth.</t>
  </si>
  <si>
    <t>Compassion towards those in need during the holidays.</t>
  </si>
  <si>
    <t>Tenderness in the warmth of a cozy winter evening.</t>
  </si>
  <si>
    <t>Arousal of excitement for an upcoming adventure.</t>
  </si>
  <si>
    <t>Enthusiasm for a creative project in the making.</t>
  </si>
  <si>
    <t>Fulfillment in completing a challenging workout routine.</t>
  </si>
  <si>
    <t>Reverence for the artistry displayed in a museum.</t>
  </si>
  <si>
    <t>Elation after achieving a personal goal.</t>
  </si>
  <si>
    <t>Elation over discovering a hidden gem in the city.</t>
  </si>
  <si>
    <t>The euphoria of a surprise birthday celebration.</t>
  </si>
  <si>
    <t>Contentment in the simplicity of a home-cooked meal.</t>
  </si>
  <si>
    <t>Serenity found in the melody of a peaceful piano.</t>
  </si>
  <si>
    <t>Gratitude for the supportive community around me.</t>
  </si>
  <si>
    <t>Hopeful about the prospects of a new business venture.</t>
  </si>
  <si>
    <t>Empowerment through mentoring and guiding others.</t>
  </si>
  <si>
    <t>Compassion shown through acts of kindness in the community.</t>
  </si>
  <si>
    <t>Tenderness in a heartfelt message to a loved one.</t>
  </si>
  <si>
    <t>Arousal of excitement before a much-awaited trip.</t>
  </si>
  <si>
    <t>Enthusiasm for a new artistic project in the works.</t>
  </si>
  <si>
    <t>Feeling a sense of fulfillment after helping others.</t>
  </si>
  <si>
    <t>Reverence for the historical significance of a landmark.</t>
  </si>
  <si>
    <t>Elation after achieving a fitness milestone.</t>
  </si>
  <si>
    <t>The euphoria of a successful product launch.</t>
  </si>
  <si>
    <t>Contentment in the embrace of a loved one.</t>
  </si>
  <si>
    <t>Serenity found in the beauty of a sunset by the sea.</t>
  </si>
  <si>
    <t>Gratitude for the small joys that each day brings.</t>
  </si>
  <si>
    <t>Hopeful about the potential for personal growth.</t>
  </si>
  <si>
    <t>Empowerment through learning a new skill.</t>
  </si>
  <si>
    <t>Compassion in volunteering for a local charity.</t>
  </si>
  <si>
    <t>Tenderness in a quiet moment shared with a pet.</t>
  </si>
  <si>
    <t>Arousal of excitement for an upcoming festival.</t>
  </si>
  <si>
    <t>Enthusiasm for a DIY home improvement project.</t>
  </si>
  <si>
    <t>Fulfillment in completing a challenging puzzle.</t>
  </si>
  <si>
    <t>Reverence for the wonders of nature on a hiking trail.</t>
  </si>
  <si>
    <t>Elation after a surprise reunion with a childhood friend.</t>
  </si>
  <si>
    <t>Suffering from despair after another setback.</t>
  </si>
  <si>
    <t>Overwhelmed by grief, missing a loved one dearly.</t>
  </si>
  <si>
    <t>Loneliness creeps in as the night grows colder.</t>
  </si>
  <si>
    <t>Jealousy consumes me as I witness others' success.</t>
  </si>
  <si>
    <t>Resentment building up over past betrayals.</t>
  </si>
  <si>
    <t>Frustration mounts as obstacles block my path.</t>
  </si>
  <si>
    <t>Boredom sets in, the day feels endlessly dull.</t>
  </si>
  <si>
    <t>Anxiety grips my heart, worry clouds my thoughts.</t>
  </si>
  <si>
    <t>Intimidation by the unknown future ahead.</t>
  </si>
  <si>
    <t>Helplessness sinks in as challenges pile up.</t>
  </si>
  <si>
    <t>Envy eats away at me as I see others' prosperity.</t>
  </si>
  <si>
    <t>Regret over missed opportunities haunts my thoughts.</t>
  </si>
  <si>
    <t>Disgust at the sight of injustice and cruelty.</t>
  </si>
  <si>
    <t>Drowning in despair, hope slipping through my fingers.</t>
  </si>
  <si>
    <t>Grief weighs heavy, tears a constant companion.</t>
  </si>
  <si>
    <t>Loneliness in a crowded room, a silent cry for connection.</t>
  </si>
  <si>
    <t>Jealousy gnaws at my confidence, a toxic emotion.</t>
  </si>
  <si>
    <t>Resentment festers, poisoning relationships.</t>
  </si>
  <si>
    <t>Frustration boils over, a volcanic eruption of emotions.</t>
  </si>
  <si>
    <t>Boredom settles like dust, life feels mundane.</t>
  </si>
  <si>
    <t>Anxiety grips my chest, a relentless grip on my thoughts.</t>
  </si>
  <si>
    <t>Intimidation by the challenges ahead, fear takes hold.</t>
  </si>
  <si>
    <t>Helplessness engulfs me, drowning in a sea of problems.</t>
  </si>
  <si>
    <t>Envy poisons my thoughts, coveting others' success.</t>
  </si>
  <si>
    <t>Regret for decisions that led to a painful present.</t>
  </si>
  <si>
    <t>Disgust at the corruption that stains society.</t>
  </si>
  <si>
    <t>Sinking in despair, each day darker than the last.</t>
  </si>
  <si>
    <t>Grief overwhelms, a storm of emotions within.</t>
  </si>
  <si>
    <t>Loneliness echoes in empty spaces, yearning for connection.</t>
  </si>
  <si>
    <t>Jealousy poisons my thoughts, resentment brewing within.</t>
  </si>
  <si>
    <t>Resentment festers, a wound that refuses to heal.</t>
  </si>
  <si>
    <t>Frustration escalates, a thunderstorm of emotions.</t>
  </si>
  <si>
    <t>Boredom lingers, a stagnant pool of indifference.</t>
  </si>
  <si>
    <t>Embarking on a journey of discovery, fueled by curiosity and a thirst for knowledge.</t>
  </si>
  <si>
    <t>Lost in the vast sea of information, an indifferent wave in the digital ocean.</t>
  </si>
  <si>
    <t>The complex puzzle of life leaves me in a state of perpetual confusion, seeking answers in the chaos.</t>
  </si>
  <si>
    <t>A numbness settles over me, a shield against the overwhelming emotions life throws my way.</t>
  </si>
  <si>
    <t>Gazing at the sunset, a melancholic longing for moments that slip through the fingers of time.</t>
  </si>
  <si>
    <t>Revisiting old photographs, caught in the embrace of nostalgia's bittersweet symphony.</t>
  </si>
  <si>
    <t>Torn between conflicting emotions, an ambivalence that paints my decisions in shades of uncertainty.</t>
  </si>
  <si>
    <t>Embracing the ebb and flow of life, finding acceptance in the dance of existence.</t>
  </si>
  <si>
    <t>Facing challenges head-on, a determination that fuels the fire within to achieve the impossible.</t>
  </si>
  <si>
    <t>Serenity found in the stillness of nature, a tranquil retreat from the chaos of the modern world.</t>
  </si>
  <si>
    <t>Curiosity leading me down the rabbit hole of knowledge, a perpetual student in life's classroom.</t>
  </si>
  <si>
    <t>Floating through the day with an air of indifference, detached from the mundane happenings around.</t>
  </si>
  <si>
    <t>Entangled in the web of thoughts, confusion reigning as I navigate the labyrinth of ideas.</t>
  </si>
  <si>
    <t>Numb to the chaos, emotions locked away, a stoic facade concealing the inner turmoil.</t>
  </si>
  <si>
    <t>Melancholy whispers in the breeze, a silent conversation with the echoes of forgotten dreams.</t>
  </si>
  <si>
    <t>Stumbling upon an old journal, nostalgia flooding in waves, carrying me to moments long gone.</t>
  </si>
  <si>
    <t>A tapestry of conflicting feelings, weaving through uncertainty, caught in the threads of ambivalence.</t>
  </si>
  <si>
    <t>Embracing the flaws, finding acceptance in imperfection, a journey towards self-love.</t>
  </si>
  <si>
    <t>Determination burning like a wildfire, overcoming obstacles, turning dreams into reality.</t>
  </si>
  <si>
    <t>Tranquil moments by the ocean, serenity washing over, a peaceful retreat within the waves' embrace.</t>
  </si>
  <si>
    <t>Exploring new horizons with the spark of curiosity, an adventurer in the vast landscape of knowledge.</t>
  </si>
  <si>
    <t>Drifting through the day with a nonchalant demeanor, embracing the art of indifference.</t>
  </si>
  <si>
    <t>Wrestling with thoughts, a perplexed mind lost in the labyrinth of life's complexities.</t>
  </si>
  <si>
    <t>Immersed in a state of emotional numbness, a shield against the storm of daily struggles.</t>
  </si>
  <si>
    <t>A melancholic symphony playing in the background, the soundtrack of a wistful heart.</t>
  </si>
  <si>
    <t>Flipping through the pages of an old yearbook, nostalgia painting smiles and tears on my face.</t>
  </si>
  <si>
    <t>Torn between opposing emotions, an ambivalence that colors my decisions with shades of uncertainty.</t>
  </si>
  <si>
    <t>Embracing life's imperfections, finding acceptance in the journey, scars and all.</t>
  </si>
  <si>
    <t>A fiery determination burning within, fueled by the vision of reaching unparalleled heights.</t>
  </si>
  <si>
    <t>Basking in the serenity of a quiet forest, where the whispers of nature bring peace to the soul.</t>
  </si>
  <si>
    <t>Indifferent to the noise of the world, a silent observer in the midst of life's cacophony.</t>
  </si>
  <si>
    <t>Navigating through the labyrinth of thoughts, confusion a constant companion in the maze of ideas.</t>
  </si>
  <si>
    <t>An impenetrable numbness shields me from the emotional storms, a fortress of stoic resilience.</t>
  </si>
  <si>
    <t>Melancholy painting the world in hues of nostalgia, a canvas of bittersweet memories.</t>
  </si>
  <si>
    <t>A journey into the past, flipping through the pages of an old diary, nostalgia taking the lead.</t>
  </si>
  <si>
    <t>Ambivalence clouding decisions, caught in the crossroads of conflicting emotions.</t>
  </si>
  <si>
    <t>Embracing imperfections, finding acceptance in the mosaic of life's beautiful chaos.</t>
  </si>
  <si>
    <t>Determination as the driving force, propelling me forward on the path to extraordinary achievements.</t>
  </si>
  <si>
    <t>Seeking serenity in the melody of raindrops, a tranquil escape from the noise of everyday life.</t>
  </si>
  <si>
    <t>Curiosity driving the exploration of the unknown, a seeker of knowledge in uncharted territories.</t>
  </si>
  <si>
    <t>Drifting through the day with an air of nonchalance, indifferent to the trivialities of life.</t>
  </si>
  <si>
    <t>Lost in the labyrinth of thoughts, confusion casting shadows on the quest for clarity.</t>
  </si>
  <si>
    <t>Wrapped in the cloak of emotional numbness, a shield against the storms of life's turbulence.</t>
  </si>
  <si>
    <t>Melancholy as a companion, painting the canvas of life with the brushstrokes of wistful yearning.</t>
  </si>
  <si>
    <t>Leafing through the pages of an old photo album, nostalgia weaving tales of laughter and tears.</t>
  </si>
  <si>
    <t>Ambivalence in the air, caught between the crossroads of conflicting emotions and decisions.</t>
  </si>
  <si>
    <t>Embracing the beauty in imperfections, finding acceptance in the mosaic of life's unpredictable art.</t>
  </si>
  <si>
    <t>Determination ablaze, forging a path through challenges, sculpting dreams into tangible realities.</t>
  </si>
  <si>
    <t>Immerse in the serenity of a moonlit night, where the quiet whispers of nature bring peace to the soul.</t>
  </si>
  <si>
    <t>Fueled by curiosity, venturing into uncharted realms, a fearless explorer of the mysteries of the world.</t>
  </si>
  <si>
    <t>Dancing through life with the exuberance of a carefree spirit, embracing joy and zest at every turn.</t>
  </si>
  <si>
    <t>Basking in the golden glow of contentment, a serene river flowing through the landscape of the heart.</t>
  </si>
  <si>
    <t>Gazing towards the horizon with hopeful eyes, painting a canvas of dreams illuminated by the sun of optimism.</t>
  </si>
  <si>
    <t>Standing tall, proud as an oak, the branches of achievement reaching towards the sky of accomplishment.</t>
  </si>
  <si>
    <t>A heart overflowing with gratitude, a garden where appreciation blooms in the soil of kindness and connection.</t>
  </si>
  <si>
    <t>Extending a hand, empathetic threads weaving a tapestry of understanding, embracing the joys and sorrows of others.</t>
  </si>
  <si>
    <t>Compassionate clouds, heavy with care, showering empathy on the parched grounds of human suffering.</t>
  </si>
  <si>
    <t>Playfully dancing in the rain of laughter, a whimsical spirit twirling in the puddles of joy and lightheartedness.</t>
  </si>
  <si>
    <t>Soaring on the wings of a free spirit, unburdened by the chains of conformity, painting the sky with independence.</t>
  </si>
  <si>
    <t>Bathed in the glow of inspiration, a creative phoenix rising from the ashes of ordinary thoughts to explore new realms.</t>
  </si>
  <si>
    <t>Navigating the sea of hope, sailing towards the sunrise of possibilities, confident in the ship of positive anticipation.</t>
  </si>
  <si>
    <t>Striding with confidence, footprints of self-assuredness imprinted on the sands of challenges conquered and victories claimed.</t>
  </si>
  <si>
    <t>Lost in the symphony of the night, a moonlit serenade that whispers tales of wanderlust and moonlit dreams.</t>
  </si>
  <si>
    <t>Unveiling the layers of curiosity, a labyrinth of questions leading to the treasure troves of undiscovered knowledge.</t>
  </si>
  <si>
    <t>In the embrace of the autumn breeze, leaves of ambivalence dancing in a waltz between choices and uncertainties.</t>
  </si>
  <si>
    <t>Gratitude as a guiding star, navigating the constellation of blessings in the vast universe of life's precious moments.</t>
  </si>
  <si>
    <t>With a zestful heart, sprinting through fields of enthusiasm, chasing sunbeams and laughter in the meadows of joy.</t>
  </si>
  <si>
    <t>A compassionate rain, tears of empathy falling gently, nurturing the seeds of kindness in the garden of human connections.</t>
  </si>
  <si>
    <t>Proudly scaling the peaks of achievement, a mountaineer conquering challenges and planting the flag of success.</t>
  </si>
  <si>
    <t>Embraced by the hopeful dawn, a gardener sowing seeds of optimism, tending to the blooms of a brighter tomorrow.</t>
  </si>
  <si>
    <t>A playful escapade in the carnival of life, carousel laughter and cotton candy dreams swirling in the joyous atmosphere.</t>
  </si>
  <si>
    <t>Floating on clouds of inspiration, an artist painting the sky with strokes of creativity, creating a masterpiece of dreams.</t>
  </si>
  <si>
    <t>Navigating the river of contentment, a serene boat cruise through the tranquil waters of inner peace and acceptance.</t>
  </si>
  <si>
    <t>With empathy as a lantern, wandering through the dark alleys of sorrow, illuminating the path with compassion and care.</t>
  </si>
  <si>
    <t>A free spirit soaring on the wings of dreams, leaving trails of independence in the azure sky of boundless possibilities.</t>
  </si>
  <si>
    <t>Bathed in the golden hues of gratefulness, a sunset of appreciation casting its warm glow on the landscapes of the heart.</t>
  </si>
  <si>
    <t>Confident strides in the dance of life, a ballroom where self-assuredness leads, twirling through challenges with grace.</t>
  </si>
  <si>
    <t>Hopeful whispers of wind, carrying the promises of a brighter tomorrow, a symphony of optimism in the air of possibilities.</t>
  </si>
  <si>
    <t>Playfully juggling responsibilities, a circus performer balancing the acts of work and joy, tossing laughter into the air.</t>
  </si>
  <si>
    <t>Whispering tales of inspiration to the stars, a storyteller crafting constellations from the threads of imagination.</t>
  </si>
  <si>
    <t>Charting a course through the waves of hopeful anticipation, a sailor steering towards the shores of dreams yet unexplored.</t>
  </si>
  <si>
    <t>Drowning in the abyss of despair, a heart shattered into fragments, lost in the echoing silence of hopelessness.</t>
  </si>
  <si>
    <t>Bitterness festering like a venomous vine, entwining the soul in a web of resentment, poisoning the garden of peace.</t>
  </si>
  <si>
    <t>Wandering through the desert of loneliness, each step a heavy sigh, mirages of connection shimmering but never materializing.</t>
  </si>
  <si>
    <t>Yearning for a touch that's not there, echoes of a distant warmth haunting the heart in the cold embrace of solitude.</t>
  </si>
  <si>
    <t>Eyes wide open in the night, fearful shadows dancing on the walls, the mind a prisoner of imagined horrors.</t>
  </si>
  <si>
    <t>Apprehensive steps on the tightrope of uncertainty, a balancing act where the fall seems inevitable, anxiety a constant companion.</t>
  </si>
  <si>
    <t>Overwhelmed by the weight of the world, Atlas with trembling shoulders, each responsibility a boulder in the landscape of exhaustion.</t>
  </si>
  <si>
    <t>Jealousy, a green-eyed monster, lurking in the shadows, casting a dark cloud over the sunshine of others' success.</t>
  </si>
  <si>
    <t>Devastated by the storm of betrayal, the wreckage of trust scattered like debris, a heart torn by the winds of broken promises.</t>
  </si>
  <si>
    <t>Frustrated fingers tapping on the keyboard, a symphony of annoyance composing an unsolvable puzzle of unmet expectations.</t>
  </si>
  <si>
    <t>Envious eyes fixated on the gilded prize, a heartache fueled by the painful desire for possessions that seem forever out of reach.</t>
  </si>
  <si>
    <t>Dismissive glances, a fortress built with indifference, walls impenetrable to the pleas of understanding and recognition.</t>
  </si>
  <si>
    <t>Shattered dreams lie on the floor like fragments of glass, a mosaic of disappointment crafted by the hands of frustration.</t>
  </si>
  <si>
    <t>Loneliness, a silent companion in the night, the only echo in the chamber of solitude, a heart's solitary nocturne.</t>
  </si>
  <si>
    <t>Fearful whispers in the dark, the mind haunted by the specter of the unknown, shadows dancing to the rhythm of anxiety's tune.</t>
  </si>
  <si>
    <t>Bitterness, a bitter aftertaste lingering on the tongue, each word a reminder of wounds that refuse to heal with the passing of time.</t>
  </si>
  <si>
    <t>Overwhelmed by the cacophony of expectations, a drowning soul in the tempest of pressure, struggling to stay afloat.</t>
  </si>
  <si>
    <t>Jealousy, a venom that seeps through the veins, poisoning the heart and turning it into a breeding ground for discontent.</t>
  </si>
  <si>
    <t>Devastated by the revelation of betrayal, the trust shattered like fragile glass, leaving shards of pain in its wake.</t>
  </si>
  <si>
    <t>Frustrated attempts to mend a broken connection, the threads of understanding slipping through the fingers like grains of sand.</t>
  </si>
  <si>
    <t>Envious gazes cast upon the podium of success, a bitter pill swallowed, the taste lingering as a constant reminder of unattained heights.</t>
  </si>
  <si>
    <t>Dismissive gestures, a curtain drawn to shield the vulnerability, a stage where emotions take a backseat to the performance of indifference.</t>
  </si>
  <si>
    <t>Despair like a heavy fog, enveloping every thought, blurring the path ahead, a journey in the labyrinth of utter hopelessness.</t>
  </si>
  <si>
    <t>Bitterness, a bitter chill in the air, freezing moments into icicles of resentment that dangle precariously over the landscape of memory.</t>
  </si>
  <si>
    <t>Loneliness, a solitary moon in a starless sky, casting a cold glow on the landscape of isolation, where echoes bounce in empty spaces.</t>
  </si>
  <si>
    <t>Yearning for the warmth of a vanished sun, a heartache painted in the hues of a sunset that never graced the horizon.</t>
  </si>
  <si>
    <t>Fearful eyes scanning the shadows, a prisoner of the night, terrorized by the lurking monsters born from the mind's darkest corners.</t>
  </si>
  <si>
    <t>Apprehensive whispers in the wind, a forecast of uncertainty, the mind's weather vane spinning wildly in the storm of doubt.</t>
  </si>
  <si>
    <t>Overwhelmed by the maze of expectations, a minotaur of pressure lurking in the labyrinth, waiting to devour the spirit of resilience.</t>
  </si>
  <si>
    <t>Jealousy, a festering wound, the pain intensifying with each glance at the garden of others' achievements, blooming beyond the fence.</t>
  </si>
  <si>
    <t>Devastated, a heart in ruins, the echoes of shattered dreams reverberating in the chambers, a requiem for what once was whole.</t>
  </si>
  <si>
    <t>Frustrated attempts to untangle the knot of confusion, the threads of understanding slipping further into the labyrinth of miscommunication.</t>
  </si>
  <si>
    <t>Envious eyes locked on the treasure chest of opportunities, a heartache fueled by the desire for keys that seem forever elusive.</t>
  </si>
  <si>
    <t>Awe-struck by the breathtaking sunrise over the mountains.</t>
  </si>
  <si>
    <t>Navigating through the challenges with determination.</t>
  </si>
  <si>
    <t>Nostalgia hits while flipping through an old photo album.</t>
  </si>
  <si>
    <t>Thrilled to witness the grandeur of a cultural festival.</t>
  </si>
  <si>
    <t>Calmness found in the rhythm of raindrops on the windowpane.</t>
  </si>
  <si>
    <t>Excitement builds as the countdown to a long-awaited vacation begins.</t>
  </si>
  <si>
    <t>Reflecting on life's journey, grateful for the lessons learned.</t>
  </si>
  <si>
    <t>Bittersweet emotions arise while bidding farewell to a dear friend.</t>
  </si>
  <si>
    <t>Curiosity sparked by exploring a mysterious ancient ruin.</t>
  </si>
  <si>
    <t>Admiration for the intricate details of a handcrafted masterpiece.</t>
  </si>
  <si>
    <t>Overjoyed by the warmth of a cozy fireplace on a winter evening.</t>
  </si>
  <si>
    <t>Motivated to achieve fitness goals after an invigorating workout.</t>
  </si>
  <si>
    <t>Gratitude for the simple joys found in a cup of morning coffee.</t>
  </si>
  <si>
    <t>Feeling empowered after conquering a challenging hiking trail.</t>
  </si>
  <si>
    <t>Amused by the antics of playful kittens during playtime.</t>
  </si>
  <si>
    <t>Contemplating life's mysteries under the starry night sky.</t>
  </si>
  <si>
    <t>Joyful reunion with long-lost friends after years of separation.</t>
  </si>
  <si>
    <t>Excitement builds while preparing for a surprise celebration.</t>
  </si>
  <si>
    <t>Satisfaction derived from successfully completing a DIY project.</t>
  </si>
  <si>
    <t>Feeling blessed for the supportive community in times of need.</t>
  </si>
  <si>
    <t>Captivated by the serenity of a tranquil garden in full bloom.</t>
  </si>
  <si>
    <t>Anticipation for an upcoming adventure in an exotic destination.</t>
  </si>
  <si>
    <t>Reflecting on personal growth achieved through life experiences.</t>
  </si>
  <si>
    <t>Nostalgic memories flood in while revisiting childhood favorites.</t>
  </si>
  <si>
    <t>Appreciation for the vibrant culture experienced during travel.</t>
  </si>
  <si>
    <t>Confidence soars after overcoming public speaking anxiety.</t>
  </si>
  <si>
    <t>Contentment in the midst of a family gathering filled with laughter.</t>
  </si>
  <si>
    <t>Enthusiasm for learning new skills and expanding knowledge.</t>
  </si>
  <si>
    <t>Surprise and delight at discovering a hidden gem in the city.</t>
  </si>
  <si>
    <t>Wonderment at the beauty of a double rainbow after the rain.</t>
  </si>
  <si>
    <t>Optimism for a bright future amidst challenging times.</t>
  </si>
  <si>
    <t>Pride in achieving a personal milestone in career progression.</t>
  </si>
  <si>
    <t>Happiness blooms like flowers in a garden on a sunny day.</t>
  </si>
  <si>
    <t>Elation over discovering a rare book in a quaint bookstore.</t>
  </si>
  <si>
    <t>Mesmerized by the cosmic dance of fireflies on a moonlit night.</t>
  </si>
  <si>
    <t>Intrigued by the symphony of colors in an abstract art exhibition.</t>
  </si>
  <si>
    <t>Giggles and joy echo in the air during a children's playdate.</t>
  </si>
  <si>
    <t>Enveloped in serenity while practicing mindfulness by the lake.</t>
  </si>
  <si>
    <t>Chasing dreams like a kite soaring high in the vast open sky.</t>
  </si>
  <si>
    <t>Spellbound by the elegance of a ballroom dance under crystal chandeliers.</t>
  </si>
  <si>
    <t>Whimsical delight in a world of fairy tales and magical creatures.</t>
  </si>
  <si>
    <t>Pensive contemplation amid the ancient ruins of a forgotten civilization.</t>
  </si>
  <si>
    <t>Embracing the thrill of speed on a rollercoaster's exhilarating twists.</t>
  </si>
  <si>
    <t>Harmony resonates as musicians play a melody of unity and togetherness.</t>
  </si>
  <si>
    <t>A burst of creativity in the quiet solitude of an artist's studio.</t>
  </si>
  <si>
    <t>Radiant joy akin to blooming flowers on a sun-kissed spring morning.</t>
  </si>
  <si>
    <t>A sense of wonder at the vastness of the cosmos on a stargazing night.</t>
  </si>
  <si>
    <t>Rejuvenated by the salty breeze and the sound of waves at the seaside.</t>
  </si>
  <si>
    <t>Whispers of inspiration from the rustling leaves in a serene forest.</t>
  </si>
  <si>
    <t>Savoring the warmth of a cup of cocoa on a chilly winter evening.</t>
  </si>
  <si>
    <t>Heartfelt gratitude for the laughter shared during a family reunion.</t>
  </si>
  <si>
    <t>Embarking on a culinary adventure, savoring exotic flavors around the world.</t>
  </si>
  <si>
    <t>Euphoria floods in as the final puzzle piece clicks into place.</t>
  </si>
  <si>
    <t>Awe-inspired by the grandeur of an ancient cathedral's intricate architecture.</t>
  </si>
  <si>
    <t>Captivated by the ethereal beauty of a field filled with fireflies.</t>
  </si>
  <si>
    <t>Immersed in the enchanting melodies of a street musician's violin.</t>
  </si>
  <si>
    <t>Joyful laughter resonates through a lively summer carnival.</t>
  </si>
  <si>
    <t>Exploring the universe within during a mindful meditation session.</t>
  </si>
  <si>
    <t>Soaring like a free spirit on the winds of a coastal cliff.</t>
  </si>
  <si>
    <t>Dazzled by the elegance of a masquerade ball's dazzling costumes.</t>
  </si>
  <si>
    <t>Whimsical delight in a world of whimsical fairy tales.</t>
  </si>
  <si>
    <t>Reflective contemplation amid the ruins of a forgotten era.</t>
  </si>
  <si>
    <t>Riding the adrenaline rush on a rollercoaster's wild twists.</t>
  </si>
  <si>
    <t>Harmony resonates as musicians play a symphony of unity.</t>
  </si>
  <si>
    <t>A burst of artistic creativity in the quietude of an artist's studio.</t>
  </si>
  <si>
    <t>Radiant joy akin to blossoming flowers on a sunlit spring morning.</t>
  </si>
  <si>
    <t>Awe-inspired by the vastness of the cosmos on a stargazing night.</t>
  </si>
  <si>
    <t>Embarking on a culinary odyssey, savoring flavors around the world.</t>
  </si>
  <si>
    <t>Euphoria floods in as the final puzzle piece fits perfectly.</t>
  </si>
  <si>
    <t>Awe-struck by the grandeur of an ancient cathedral's intricate architecture.</t>
  </si>
  <si>
    <t>Curiosity awakened by the mysteries of an ancient archaeological site.</t>
  </si>
  <si>
    <t>Giddy with excitement as the first snowflakes dance from the sky.</t>
  </si>
  <si>
    <t>Contentment envelops as the aroma of freshly baked bread fills the air.</t>
  </si>
  <si>
    <t>Inspired by the resilience of a lone tree standing tall in a storm.</t>
  </si>
  <si>
    <t>Lost in the pages of a captivating novel, transported to another world.</t>
  </si>
  <si>
    <t>Drenched in nostalgia while flipping through an old family photo album.</t>
  </si>
  <si>
    <t>Spark of inspiration ignites like a shooting star in the night sky.</t>
  </si>
  <si>
    <t>Imbued with gratitude for the simple pleasure of a warm cup of tea.</t>
  </si>
  <si>
    <t>Marveling at the kaleidoscope of colors in a vibrant street market.</t>
  </si>
  <si>
    <t>Awash with serenity as the sun sets over a tranquil lakeside retreat.</t>
  </si>
  <si>
    <t>Drowning in sorrow as memories of lost love resurface.</t>
  </si>
  <si>
    <t>Numbness sets in as the weight of loneliness grows heavier.</t>
  </si>
  <si>
    <t>Tears fall like raindrops, mourning the end of a cherished friendship.</t>
  </si>
  <si>
    <t>Despair clouds the mind, feeling adrift in an endless sea of darkness.</t>
  </si>
  <si>
    <t>Shattered by betrayal, trust crumbles like fragile glass.</t>
  </si>
  <si>
    <t>Aching heart, the symphony of pain plays in the silence of solitude.</t>
  </si>
  <si>
    <t>Emotional storm, a whirlwind of sadness engulfs every thought.</t>
  </si>
  <si>
    <t>Haunted by regrets, the ghost of the past lingers relentlessly.</t>
  </si>
  <si>
    <t>Torn apart by grief, the echoes of loss reverberate through the soul.</t>
  </si>
  <si>
    <t>Isolation deepens, an emotional winter where warmth is but a distant memory.</t>
  </si>
  <si>
    <t>Soul-crushing disappointment, hopes shattered like fragile glass.</t>
  </si>
  <si>
    <t>Painful echoes of a love once cherished, now lost in the abyss of time.</t>
  </si>
  <si>
    <t>Heartache deepens, a solitary journey through the abyss of despair.</t>
  </si>
  <si>
    <t>Melancholy lingers, a bittersweet serenade in the quietude of solitude.</t>
  </si>
  <si>
    <t>Bitterness like a poison, seeping into every crevice of the wounded heart.</t>
  </si>
  <si>
    <t>Emotional exhaustion, the weight of the world crushing weary shoulders.</t>
  </si>
  <si>
    <t>Sorrowful echoes, a symphony of pain played by the strings of loss.</t>
  </si>
  <si>
    <t>Darkness descends, engulfing the soul in the shadows of despair.</t>
  </si>
  <si>
    <t>Desperation whispers, the silent plea for a glimmer of hope in the abyss.</t>
  </si>
  <si>
    <t>Heart in ruins, the remnants of shattered dreams scattered in the wind.</t>
  </si>
  <si>
    <t>Shattered by the echoes of a shattered dream, fragments of hope scattered.</t>
  </si>
  <si>
    <t>Avoiding the thorns of regret, walking barefoot on the path of remorse.</t>
  </si>
  <si>
    <t>In the labyrinth of grief, the walls echo with the footsteps of lost joy.</t>
  </si>
  <si>
    <t>A soul adrift in the sea of solitude, waves of loneliness crashing relentlessly.</t>
  </si>
  <si>
    <t>The bitterness of betrayal, a taste that lingers, staining the palate of trust.</t>
  </si>
  <si>
    <t>In the ruins of hope, echoes of shattered dreams whisper tales of loss.</t>
  </si>
  <si>
    <t>Sinking like a stone in the ocean of heartbreak, each ripple a sigh of despair.</t>
  </si>
  <si>
    <t>Tears, the ink staining the pages of a journal, a testament to silent grief.</t>
  </si>
  <si>
    <t>In the wasteland of lost trust, the echoes of broken promises reverberate.</t>
  </si>
  <si>
    <t>Avoiding the shards of shattered dreams, walking the tightrope of resilience.</t>
  </si>
  <si>
    <t>Suffocating in the silence of solitude, where echoes of laughter once thrived.</t>
  </si>
  <si>
    <t>Haunted by the specter of lost possibilities, a ghost that refuses to fade away.</t>
  </si>
  <si>
    <t>In the labyrinth of despair, the echoes of a broken heart reverberate endlessly.</t>
  </si>
  <si>
    <t>Sinking like autumn leaves in the river of sorrow, carried away by the current.</t>
  </si>
  <si>
    <t>In the garden of broken dreams, petals fall, a silent testimony to shattered hopes.</t>
  </si>
  <si>
    <t>Tears, the currency of grief, spent in the marketplace of lost love and longing.</t>
  </si>
  <si>
    <t>Wandering in the maze of betrayal, the walls closing in with every wrong turn.</t>
  </si>
  <si>
    <t>A soul weathered by the storm of heartbreak, seeking refuge in the calm after.</t>
  </si>
  <si>
    <t>In the tapestry of despair, threads of hope unravel, leaving a portrait of sorrow.</t>
  </si>
  <si>
    <t>Like a withered rose in the garden of love, petals fall, a silent surrender to time.</t>
  </si>
  <si>
    <t>In the void of heartache, echoes of a love song play, each note a pang of longing.</t>
  </si>
  <si>
    <t>Nostalgia, a bittersweet dance in the moonlit ballroom of cherished memories.</t>
  </si>
  <si>
    <t>In the symphony of grief, each tear is a note, composing a melancholic melody.</t>
  </si>
  <si>
    <t>Betrayal, a venomous serpent slithering through the garden of trust, poisoning roots.</t>
  </si>
  <si>
    <t>Sinking in the quicksand of despair, the harder you fight, the deeper you descend.</t>
  </si>
  <si>
    <t>Wandering through the cemetery of lost dreams, tombstones marking untold sorrows.</t>
  </si>
  <si>
    <t>Swept away by the river of regret, the currents of the past refusing to release.</t>
  </si>
  <si>
    <t>Whispers of lost love linger in the attic of the heart, forgotten but not erased.</t>
  </si>
  <si>
    <t>In the gallery of broken promises, each shattered vow framed, a painful exhibition.</t>
  </si>
  <si>
    <t>The echoes of solitude, a silent conversation between a soul and its shadows.</t>
  </si>
  <si>
    <t>Dancing on sunshine, each step a celebration of the joy found in simple moments.</t>
  </si>
  <si>
    <t>Laughter echoes in the air, a chorus of happiness that lifts the spirit higher.</t>
  </si>
  <si>
    <t>In the garden of contentment, each bloom whispers tales of inner peace and joy.</t>
  </si>
  <si>
    <t>Chasing dreams under the vibrant sky, a journey fueled by hope and enthusiasm.</t>
  </si>
  <si>
    <t>Serenading the stars with a heart full of gratitude, a melody of thankfulness.</t>
  </si>
  <si>
    <t>Basking in the glow of accomplishment, each milestone a stepping stone to happiness.</t>
  </si>
  <si>
    <t>In the dance of positivity, every step is a rhythm, uplifting the soul in harmony.</t>
  </si>
  <si>
    <t>Overflowing with joy, a cup of laughter shared with friends, a moment cherished.</t>
  </si>
  <si>
    <t>Draped in the warmth of kindness, a quilt of compassion stitched with love.</t>
  </si>
  <si>
    <t>In the garden of friendships, each bloom a testament to the beauty of camaraderie.</t>
  </si>
  <si>
    <t>In the embrace of love, each heartbeat is a melody, dancing to the rhythm of affection.</t>
  </si>
  <si>
    <t>Surrounded by the colors of joy, a canvas painted with laughter and endless smiles.</t>
  </si>
  <si>
    <t>In the symphony of excitement, each note is a burst of energy, igniting the soul with fervor.</t>
  </si>
  <si>
    <t>A surprise gift, wrapped in anticipation, unfolds a moment of delight and wonder.</t>
  </si>
  <si>
    <t>Lost in the maze of curiosity, each twist and turn unveils the treasures of discovery.</t>
  </si>
  <si>
    <t>Floating on clouds of gratitude, each raindrop a blessing, a shower of thankfulness.</t>
  </si>
  <si>
    <t>Like a comet of inspiration, streaking through the sky of creativity, leaving trails of brilliance.</t>
  </si>
  <si>
    <t>In the celebration of success, fireworks of accomplishment light up the night sky of triumph.</t>
  </si>
  <si>
    <t>A symphony of laughter, each note a key to unlocking the door of boundless happiness.</t>
  </si>
  <si>
    <t>In the carnival of emotions, the rollercoaster of thrill sends the heart on a wild ride.</t>
  </si>
  <si>
    <t>Standing before the grandeur of the Eiffel Tower, a moment to reflect on the beauty of Parisian dreams.</t>
  </si>
  <si>
    <t>Lost in the enchantment of Disneyland, each ride a journey into the realm of childhood fantasies.</t>
  </si>
  <si>
    <t>Exploring the wonders of Ferrari World, the roar of engines creating a symphony of speed.</t>
  </si>
  <si>
    <t>Amidst the tulip fields of Keukenhof, a tapestry of colors that paints the soul with springtime joy.</t>
  </si>
  <si>
    <t>Wandering through the historical streets of Kyoto, each step a journey into the heart of Japan's traditions.</t>
  </si>
  <si>
    <t>In the embrace of the Grand Canyon, nature's masterpiece, a moment to marvel at Earth's grandeur.</t>
  </si>
  <si>
    <t>Journeying through the serenity of Santorini, where each sunset paints the sky with hues of tranquility.</t>
  </si>
  <si>
    <t>Amazed by the architectural marvels of Petra, each stone telling tales of an ancient civilization.</t>
  </si>
  <si>
    <t>Embarking on a gondola ride in Venice, each canal reflecting the romance of this timeless city.</t>
  </si>
  <si>
    <t>At the summit of Machu Picchu, a breathtaking panorama that whispers the secrets of ancient civilizations.</t>
  </si>
  <si>
    <t>In the heart of New York City, Times Square dazzles with lights, a vibrant spectacle of urban energy.</t>
  </si>
  <si>
    <t>Captivated by the historical charm of the Colosseum, each stone echoing tales of gladiator valor.</t>
  </si>
  <si>
    <t>Sailing the azure waters of the Maldives, each wave a whisper of serenity in paradise.</t>
  </si>
  <si>
    <t>In the midst of the Amazon rainforest, a symphony of wildlife creates an orchestra of nature's wonders.</t>
  </si>
  <si>
    <t>Walking the Great Wall of China, each step a testament to ancient engineering marvels.</t>
  </si>
  <si>
    <t>At the summit of Mount Fuji, a breathtaking sunrise that paints the sky with hues of accomplishment.</t>
  </si>
  <si>
    <t>Exploring the ancient ruins of Angkor Wat, each stone whispering stories of Khmer civilization.</t>
  </si>
  <si>
    <t>Skiing down the slopes of the Swiss Alps, each turn a dance with the majesty of snow-capped peaks.</t>
  </si>
  <si>
    <t>In the tranquility of Kyoto's bamboo forest, whispers of ancient Zen wisdom echo through the groves.</t>
  </si>
  <si>
    <t>Cruising the fjords of Norway, each icy landscape a breathtaking masterpiece of nature's grandeur.</t>
  </si>
  <si>
    <t>At the front row of Adele's concert, each note of 'Someone Like You' resonates with soul-stirring emotion.</t>
  </si>
  <si>
    <t>Dancing under the stars at BeyoncÃ©'s live show, feeling the power of 'Single Ladies' in every move.</t>
  </si>
  <si>
    <t>In the crowd of a Taylor Swift concert, the lyrics of 'Love Story' create an enchanting fairy tale.</t>
  </si>
  <si>
    <t>Rocking out to the guitar solos at a Queen tribute concert, a journey back in time with Freddie's spirit.</t>
  </si>
  <si>
    <t>Swaying to Ed Sheeran's acoustic melodies, a serene evening filled with 'Perfect' moments.</t>
  </si>
  <si>
    <t>Immersed in the pulsating beats of a Bruno Mars concert, where 'Uptown Funk' becomes a city of joy.</t>
  </si>
  <si>
    <t>At a Michael Jackson tribute show, moonwalking through the hits, a celebration of the King of Pop.</t>
  </si>
  <si>
    <t>Swinging to the rhythms of a Frank Sinatra tribute, feeling the timeless charm of 'Fly Me to the Moon'.</t>
  </si>
  <si>
    <t>In the mosh pit of a Metallica concert, the thunderous chords create a symphony of headbanging ecstasy.</t>
  </si>
  <si>
    <t>Experiencing the magic of a Coldplay concert, where 'Fix You' becomes a beacon of hope in the night.</t>
  </si>
  <si>
    <t>At a Justin Bieber concert, the infectious beats of 'Baby' create a dance floor of unbridled enthusiasm.</t>
  </si>
  <si>
    <t>In the spotlight at a Lady Gaga show, each costume change is a metamorphosis of creativity and artistry.</t>
  </si>
  <si>
    <t>Immersed in the soulful melodies of Adele, tears flow freely, moved by the emotion of 'Hello'.</t>
  </si>
  <si>
    <t>Drenched in confetti at a Katy Perry concert, a kaleidoscope of colors igniting the night sky.</t>
  </si>
  <si>
    <t>In the audience of a Jay-Z performance, the lyrics of 'Empire State of Mind' become an anthem of pride.</t>
  </si>
  <si>
    <t>Dancing to Shakira's rhythmic beats, hips swaying to the hypnotic charm of 'Hips Don't Lie'.</t>
  </si>
  <si>
    <t>At a U2 concert, the anthemic chords of 'With or Without You' create a timeless moment of connection.</t>
  </si>
  <si>
    <t>Rocking out at a Guns N' Roses show, the iconic riffs of 'Sweet Child o' Mine' echoing in the night.</t>
  </si>
  <si>
    <t>In the crowd of an Ariana Grande concert, the high notes of 'Into You' create a euphoric symphony.</t>
  </si>
  <si>
    <t>Swaying to the reggae vibes of Bob Marley's tribute concert, each chord a journey to Jamaica's soul.</t>
  </si>
  <si>
    <t>Captivated by the spellbinding plot twists, the audience applauds, experiencing a rollercoaster of emotions at the movie premiere.</t>
  </si>
  <si>
    <t>As the credits roll, a profound sense of nostalgia washes over, reminiscent of cherished moments in classic films.</t>
  </si>
  <si>
    <t>Streaming the latest web series, the viewer is engrossed in the characters' journey, feeling a sense of connection and empathy.</t>
  </si>
  <si>
    <t>At the film festival, the indie filmmaker's creation receives a standing ovation, evoking pride and a sense of accomplishment.</t>
  </si>
  <si>
    <t>Watching a heartwarming family drama, tears flow freely as the characters overcome challenges, leaving the viewer with a warm glow.</t>
  </si>
  <si>
    <t>At the Oscars, the actor graciously accepts an award, radiating joy and gratitude for the recognition of their outstanding performance.</t>
  </si>
  <si>
    <t>Discovering a hidden gem in the world of documentaries, the viewer is enlightened and inspired, feeling a renewed sense of curiosity.</t>
  </si>
  <si>
    <t>As the movie credits roll, the viewer experiences a mix of awe and contemplation, pondering the deeper meanings woven into the storyline.</t>
  </si>
  <si>
    <t>Binge-watching a thrilling crime series, the suspense keeps the viewer on the edge of their seat, creating a rush of adrenaline.</t>
  </si>
  <si>
    <t>As the closing scene unfolds, a sense of satisfaction washes over, completing the cinematic journey with a profound and fulfilling ending.</t>
  </si>
  <si>
    <t>Celebrating a historic victory in the World Cup, the nation erupts in joy, united by the triumph of their football team.</t>
  </si>
  <si>
    <t>At the Olympics, the athlete's perseverance shines through, earning a gold medal and inspiring a generation with their remarkable achievement.</t>
  </si>
  <si>
    <t>In the cricket championship, a nail-biting finish leaves fans on the edge of their seats, experiencing a rollercoaster of emotions.</t>
  </si>
  <si>
    <t>Witnessing a record-breaking marathon, spectators are filled with awe and admiration for the endurance and dedication of the runners.</t>
  </si>
  <si>
    <t>In the tennis grand slam, a fierce rivalry unfolds, captivating fans with a display of skill and sportsmanship on the world stage.</t>
  </si>
  <si>
    <t>Cheering for the underdog in the basketball finals, the crowd erupts in applause as the team defies odds to claim the championship title.</t>
  </si>
  <si>
    <t>At the golf tournament, the golfer's precision and focus lead to a stunning victory, leaving spectators in awe of their exceptional skill.</t>
  </si>
  <si>
    <t>Experiencing the thrill of a high-speed Formula 1 race, fans are on the edge of their seats as drivers compete for the championship.</t>
  </si>
  <si>
    <t>In the cycling world championship, the climber conquers challenging terrains, symbolizing determination and achievement against all odds.</t>
  </si>
  <si>
    <t>Witnessing a heartwarming comeback in the hockey finals, fans share tears of joy as the team secures a historic victory after adversity.</t>
  </si>
  <si>
    <t>After a series of defeats, the soccer team faces disappointment, struggling to find the silver lining in a challenging season.</t>
  </si>
  <si>
    <t>In the tennis tournament, a highly anticipated player experiences a setback, leaving fans in shock and questioning the unforeseen turn of events.</t>
  </si>
  <si>
    <t>Facing a defeat in the championship, the boxer reflects on the challenges, vowing to return stronger and more determined in the next bout.</t>
  </si>
  <si>
    <t>In the midst of a cycling race, a tire blowout leads to frustration for the cyclist, who valiantly tries to overcome the unexpected obstacle.</t>
  </si>
  <si>
    <t>The gymnast's unexpected fall during a routine sparks a wave of sympathy from the audience, highlighting the vulnerability of sports.</t>
  </si>
  <si>
    <t>In the golf tournament, a missed crucial putt results in defeat, causing the golfer to reflect on the pressure of high-stakes competition.</t>
  </si>
  <si>
    <t>Experiencing a series of losses in the basketball season, the team grapples with frustration, determined to turn the tide with renewed effort.</t>
  </si>
  <si>
    <t>Despite meticulous training, the swimmer faces disappointment as a split-second miscalculation costs them the lead in a crucial race.</t>
  </si>
  <si>
    <t>The weightlifter's failed attempt at a personal record results in frustration, highlighting the challenging nature of pushing physical limits.</t>
  </si>
  <si>
    <t>In the midst of a soccer match, an unexpected own goal creates a moment of despair for the player, as teammates console and encourage them.</t>
  </si>
  <si>
    <t>In the serene beauty of a sunset, nature unfolds a canvas of colors, evoking a sense of tranquility and wonder.</t>
  </si>
  <si>
    <t>Embarking on a spontaneous road trip, the traveler discovers hidden gems, creating memories that will be cherished for a lifetime.</t>
  </si>
  <si>
    <t>Amidst the bustling city, a quiet cafÃ© becomes a sanctuary for reflection, where a cup of coffee brings solace to the wandering mind.</t>
  </si>
  <si>
    <t>Exploring the vibrant street art of a cultural neighborhood, each mural tells a story, infusing the city with creativity and expression.</t>
  </si>
  <si>
    <t>In the world of science, a breakthrough discovery unfolds, pushing the boundaries of knowledge and opening new frontiers of exploration.</t>
  </si>
  <si>
    <t>Connecting with the melody of a live orchestra, the music enthusiast experiences a symphony that resonates deep within the soul.</t>
  </si>
  <si>
    <t>Embracing the aroma of freshly baked bread, the home chef finds joy in the art of baking, creating delicious memories for loved ones.</t>
  </si>
  <si>
    <t>Wandering through a historical museum, the history enthusiast becomes immersed in the tales of the past, envisioning bygone eras.</t>
  </si>
  <si>
    <t>In the realm of literature, a captivating novel transports the reader to distant lands, weaving a tapestry of imagination and escape.</t>
  </si>
  <si>
    <t>Capturing the essence of a bustling market, the photographer freezes moments in time, each frame telling a unique and vibrant story.</t>
  </si>
  <si>
    <t>Underneath the city lights, the dancer expresses emotions through graceful movements, creating a mesmerizing performance under the night sky.</t>
  </si>
  <si>
    <t>In the heart of a bustling market, the street food connoisseur indulges in a culinary adventure, savoring diverse flavors and aromas.</t>
  </si>
  <si>
    <t>As the first snowflake descends, the winter enthusiast eagerly prepares for a season of frosty delights, anticipating the magic of snow-covered landscapes.</t>
  </si>
  <si>
    <t>Amidst the pages of a captivating mystery novel, the reader unravels clues and secrets, experiencing a thrilling journey of suspense and revelation.</t>
  </si>
  <si>
    <t>Surrounded by the vibrant colors of a flower garden, the gardener nurtures blossoms, finding joy in the beauty of nature's ever-changing canvas.</t>
  </si>
  <si>
    <t>At the astronomy observatory, the stargazer marvels at the vastness of the cosmos, contemplating the mysteries hidden within the celestial expanse.</t>
  </si>
  <si>
    <t>Engulfed in the aroma of freshly brewed coffee, the writer finds inspiration in every sip, embarking on a journey of creativity and prose.</t>
  </si>
  <si>
    <t>In the realm of fashion, the designer unveils a collection that tells a story, blending innovation and tradition on the runway of creativity.</t>
  </si>
  <si>
    <t>As the waves crash against the shore, the surfer embraces the thrill of riding the ocean's energy, capturing the essence of freedom in each wave.</t>
  </si>
  <si>
    <t>Exploring the historical architecture of an ancient city, the traveler is transported to a bygone era, where each monument whispers tales of the past.</t>
  </si>
  <si>
    <t>Successfully avoided eye contact with my crush in the hallway. Mission accomplished. #TeenCrush #StealthMode</t>
  </si>
  <si>
    <t>Ran out of snacks during a movie marathon. Crisis level: Emergency! #MovieNightStruggles #TeenProblems</t>
  </si>
  <si>
    <t>Spent an hour choosing the perfect filter for a selfie. The struggle for that Instagram aesthetic is real. #SelfieQueen #TeenVibes</t>
  </si>
  <si>
    <t>Lost my headphones again. How do they vanish into thin air? #HeadphoneMystery #TeenLife</t>
  </si>
  <si>
    <t>Decided to study for exams but ended up making memes about studying instead. Procrastination level: Expert. #ProcrastinationNation #TeenConfessions</t>
  </si>
  <si>
    <t>Got dressed for the day, then remembered it's Saturday. Oops. #WeekendVibes #TeenStruggles</t>
  </si>
  <si>
    <t>Survived a group project without any drama. Miracles do happen. #GroupProjectSuccess #TeenAchievements</t>
  </si>
  <si>
    <t>Entered the kitchen with the intention to cook. Left with a bag of chips. Cooking is overrated, anyway. #MasterChefInTraining #TeenHumor</t>
  </si>
  <si>
    <t>Staring at the clock in class, waiting for the bell to ring like it's the most exciting event of the day. #ClassCountdown #TeenLife</t>
  </si>
  <si>
    <t>Discovered a new book series and spent the whole night reading. Who needs sleep, anyway? #BookwormLife #LateNightReading</t>
  </si>
  <si>
    <t>Bought a new video game, played for hours, forgot to eat. The ultimate gaming session. #GamerLife #NoFoodGaming</t>
  </si>
  <si>
    <t>Spent the day binge-watching a new series. Productivity level: Zero. #LazyDay #TVSeriesMarathon</t>
  </si>
  <si>
    <t>Caught up on the latest fashion trends and now planning a shopping spree. #Fashionista #TrendyTeen</t>
  </si>
  <si>
    <t>Decided to learn a new instrument. Day one: Still trying to figure out how to hold it. #MusicNovice #LearningJourney</t>
  </si>
  <si>
    <t>Spent hours creating the perfect playlist for every mood. Music is my therapy. #PlaylistMaker #TeenMusicLover</t>
  </si>
  <si>
    <t>Successfully cooked a gourmet meal for the family. Chef skills unlocked! #ChefMode #TeenChef</t>
  </si>
  <si>
    <t>Spontaneously booked a weekend getaway. Adventure awaits! #TravelBug #WeekendEscape</t>
  </si>
  <si>
    <t>Attended a concert and danced the night away. Music is the heartbeat of life. #ConcertVibes #DanceAllNight</t>
  </si>
  <si>
    <t>Rediscovered childhood cartoons and had a nostalgia-filled marathon. #CartoonNostalgia #TeenMemories</t>
  </si>
  <si>
    <t>Embarked on a DIY home decor project. Let's hope it turns out better than last time. #DIYAdventure #TeenHomeDecor</t>
  </si>
  <si>
    <t>Spent the afternoon at a museum, pretending to be cultured. Art enthusiast in the making. #MuseumDay #TeenArtLover</t>
  </si>
  <si>
    <t>Started a blog about random thoughts and musings. Blogging is the new diary. #BloggerLife #TeenBlogger</t>
  </si>
  <si>
    <t>Relishing a peaceful afternoon with a classic novel. Quiet moments are the best moments. #BookLover #PeacefulAfternoon</t>
  </si>
  <si>
    <t>Reflecting on a lifetime of memories, each wrinkle tells a story. Embracing the beauty of aging. #LifeReflections #BeautyInAging</t>
  </si>
  <si>
    <t>Exploring the world of digital art. It's never too late to discover new passions. #DigitalArtistry #LateBloomer</t>
  </si>
  <si>
    <t>Savoring the flavors of a home-cooked meal. Simple joys are the heart of happiness. #HomeCooking #SimpleJoys</t>
  </si>
  <si>
    <t>Embarking on a journey of learning a new language. The mind stays young with every new word. #LanguageLearning #NeverTooLate</t>
  </si>
  <si>
    <t>Attended a classical music concert, feeling the timeless melodies resonate. Music transcends generations. #ClassicalMusic #TimelessMelodies</t>
  </si>
  <si>
    <t>Capturing the beauty of nature through photography. Every snapshot is a treasure. #NaturePhotography #SeniorPhotographer</t>
  </si>
  <si>
    <t>Reconnecting with old friends over a cup of tea. Friendship, the true essence of companionship. #OldFriends #Companionship</t>
  </si>
  <si>
    <t>Embarked on a road trip to revisit cherished places from the past. Nostalgia, the ultimate travel companion. #RoadTrip #NostalgiaTour</t>
  </si>
  <si>
    <t>Joined a community choir, harmonizing with fellow voices. Music creates bonds that withstand time. #CommunityChoir #HarmonyInAging</t>
  </si>
  <si>
    <t>Exploring the art of meditation, finding tranquility in the stillness of the mind. #MeditationJourney #TranquilMind</t>
  </si>
  <si>
    <t>Taking a stroll in the garden, appreciating the beauty of blooming flowers. Nature's wonders never cease. #GardenWalk #FloralBeauty</t>
  </si>
  <si>
    <t>Sipping on a favorite vintage wine, each sip telling a story of the years gone by. Cheers to a life well-lived. #WineLover #VintageCheers</t>
  </si>
  <si>
    <t>Participated in a community art class, unleashing creativity in the golden years. Art has no age limit. #ArtClass #SeniorArtistry</t>
  </si>
  <si>
    <t>Embarking on a journey of writing a memoir, documenting a lifetime of experiences. Every story matters. #MemoirWriting #SeniorStories</t>
  </si>
  <si>
    <t>Attended a lecture on history, always fascinated by the lessons from the past. Learning is a lifelong adventure. #HistoryLecture #SeniorLearning</t>
  </si>
  <si>
    <t>Rediscovered the joy of cooking traditional family recipes. The kitchen, a place of cherished memories. #FamilyRecipes #SeniorCooking</t>
  </si>
  <si>
    <t>Joined a nature photography club, capturing the beauty of the great outdoors. Every click is a connection to nature. #NaturePhotography #SeniorPhotographer</t>
  </si>
  <si>
    <t>Attended a jazz concert and swayed to the rhythm of timeless tunes. Music, a constant companion in the golden years. #JazzConcert #SeniorMusic</t>
  </si>
  <si>
    <t>Joined a writing group, penning down thoughts and reflections. Writing, a journey into the depths of the soul. #WritingGroup #SeniorWriter</t>
  </si>
  <si>
    <t>Embarked on a solo travel adventure, discovering the beauty of new places at my own pace. #SoloTravel #SeniorExplorer</t>
  </si>
  <si>
    <t>Attended a vintage car show, reminiscing about the classics that once ruled the roads. Nostalgia in every rev. #VintageCars #ClassicRides</t>
  </si>
  <si>
    <t>Started a community garden, growing not just plants but friendships too. Green thumbs unite! #CommunityGarden #SeniorGardener</t>
  </si>
  <si>
    <t>Hosted a family dinner, where laughter echoed louder than the clinking of utensils. Family, the heart of happiness. #FamilyDinner #SeniorHost</t>
  </si>
  <si>
    <t>Enrolled in a dance class for seniors, moving to the rhythm of life. Age is just a number on the dance floor. #DanceClass #SeniorDancer</t>
  </si>
  <si>
    <t>Visited an art gallery, appreciating the brushstrokes that tell tales of creativity. Art, an eternal companion. #ArtGallery #SeniorArtLover</t>
  </si>
  <si>
    <t>Started a book club for seniors, where discussions are as lively as the characters in the novels. #BookClub #SeniorReaders</t>
  </si>
  <si>
    <t>Hosted a picnic in the park, basking in the warmth of friendship and sunshine. Simple joys, timeless memories. #ParkPicnic #SeniorJoy</t>
  </si>
  <si>
    <t>Participated in a local theater production, proving that the stage belongs to every age. #TheaterProduction #SeniorActor</t>
  </si>
  <si>
    <t>Embarked on a hiking adventure, conquering trails and relishing the beauty of nature. Age is just a number on the mountaintop. #HikingAdventure #SeniorHiker</t>
  </si>
  <si>
    <t>Hosted a photography exhibition featuring snapshots of a life well-lived. Every photo has a story to tell. #PhotographyExhibition #SeniorPhotographer</t>
  </si>
  <si>
    <t>Joined a seniors' cycling club, feeling the wind in my hair and the freedom of the open road. #CyclingClub #SeniorCyclist</t>
  </si>
  <si>
    <t>Attended a wine tasting event, savoring the richness of flavors that age like fine wine. Cheers to the golden years! #WineTasting #SeniorWineLover</t>
  </si>
  <si>
    <t>Started learning ballroom dancing, gliding gracefully across the dance floor. Ageless elegance in every step. #BallroomDancing #SeniorDancer</t>
  </si>
  <si>
    <t>Organized a community painting event, turning blank canvases into a masterpiece of shared creativity. #PaintingEvent #SeniorArtist</t>
  </si>
  <si>
    <t>Hosted a 'memory lane' evening with old friends, reminiscing about the adventures that shaped our lives. #MemoryLane #SeniorReminiscing</t>
  </si>
  <si>
    <t>Joined a seniors' astronomy club, stargazing and finding wonder in the vastness of the cosmos. #AstronomyClub #SeniorStargazer</t>
  </si>
  <si>
    <t>Attended a local jazz festival, tapping toes to the tunes that have stood the test of time. Music, a lifelong love affair. #JazzFestival #SeniorMusicLover</t>
  </si>
  <si>
    <t>Started a blog sharing the wisdom gained through the years, proving that every day is a chance to learn and grow. #SeniorWisdom #Blog</t>
  </si>
  <si>
    <t>Participated in a charity run, proving that age is no barrier to supporting meaningful causes. #CharityRun #SeniorRunner</t>
  </si>
  <si>
    <t>Survived a challenging physics exam. Equations, you won't defeat me!</t>
  </si>
  <si>
    <t>Exploring the world of coding. Debugging is an adventure on its own! #CodingJourney #HighSchoolCoder</t>
  </si>
  <si>
    <t>Joined the school debate team. Words are my weapons, and I'm ready for battle!</t>
  </si>
  <si>
    <t>Started a photography club at school. Capturing moments, one snapshot at a time!</t>
  </si>
  <si>
    <t>Daydreaming about the upcoming prom. The dress, the dance â€“ it's a fairytale in the making!</t>
  </si>
  <si>
    <t>Convinced the teacher to have class outdoors. Learning equations with a side of fresh air!</t>
  </si>
  <si>
    <t>Accidentally spilled paint in art class. Abstract art, right? #ArtClassAdventures #HighSchoolArtist</t>
  </si>
  <si>
    <t>Trying to master the perfect kickflip on my skateboard. Skating into the weekend like a pro!</t>
  </si>
  <si>
    <t>Bonding with friends over the latest K-pop sensation. Fangirling at its finest!</t>
  </si>
  <si>
    <t>Spent hours perfecting a chemistry experiment. Mixing potions like a wizard!</t>
  </si>
  <si>
    <t>Successfully organized a surprise birthday party for a friend. Party planning expert mode: Achieved!</t>
  </si>
  <si>
    <t>Joined the drama club to unleash my inner actor. Lights, camera, action!</t>
  </si>
  <si>
    <t>Got my hands on the latest fantasy novel. Diving into realms of magic and adventure!</t>
  </si>
  <si>
    <t>Mastering the art of the perfect doodle during boring classes. Doodles: A+!</t>
  </si>
  <si>
    <t>Attempting to break the school record for the longest handstand. Wish me luck!</t>
  </si>
  <si>
    <t>Sneaking snacks into class like a pro. The art of snack-smuggling is a sacred skill!</t>
  </si>
  <si>
    <t>Hosting a sleepover with friends this weekend. Preparing for a night of laughter and memories!</t>
  </si>
  <si>
    <t>Spent hours on a TikTok dance, only to realize I have two left feet. Dance fail: Unleashed!</t>
  </si>
  <si>
    <t>Accidentally liked my crush's old photo while stalking their profile. Awkward level: Maximum!</t>
  </si>
  <si>
    <t>Tried to impress my crush with a smooth conversation. Ended up spilling my drink. Smooth level: Nonexistent!</t>
  </si>
  <si>
    <t>Mastered the art of creating paper airplanes during lecture. Paper planes: Soaring to new heights!</t>
  </si>
  <si>
    <t>Trying to set a new trend by juggling textbooks between classes. Academic juggling: A unique skill!</t>
  </si>
  <si>
    <t>Hiding a snack stash in my backpack for emergency cravings. Snack ninja mode: Activated!</t>
  </si>
  <si>
    <t>Planning a surprise scavenger hunt for friends. Anticipating the thrill and excitement!</t>
  </si>
  <si>
    <t>Danced in the rain to celebrate the end of exams. Rain dance: Unexpectedly refreshing!</t>
  </si>
  <si>
    <t>Accidentally sent a text meant for a friend to the class group chat. Texting fail: Oops moment!</t>
  </si>
  <si>
    <t>Tried a magic trick to impress classmates. Magic fail: Where did that rabbit go?</t>
  </si>
  <si>
    <t>Perfecting the art of creating origami during a dull lecture. Origami mastery: A+!</t>
  </si>
  <si>
    <t>Attempting to set a new record for the most consecutive hacky sack kicks. Hacky sack skills: Unleashed!</t>
  </si>
  <si>
    <t>Creating a secret handshake with friends. Friendship level: Expert!</t>
  </si>
  <si>
    <t>Embarking on a mission to find the best burger joint in town. Burger connoisseur: Reporting for duty!</t>
  </si>
  <si>
    <t>Practicing a stand-up comedy routine for the upcoming talent show. Comedy gig: In the making!</t>
  </si>
  <si>
    <t>Accidentally sent a love letter to the wrong person. Love note fail: Maximum embarrassment!</t>
  </si>
  <si>
    <t>Attempting to impress the teacher with an elaborate science experiment. Science geek mode: Activated!</t>
  </si>
  <si>
    <t>Crafting intricate friendship bracelets for the whole squad. Friendship level: Expert weaver!</t>
  </si>
  <si>
    <t>Attempting to beat the record for the most consecutive cartwheels. Cartwheel challenge: Underway!</t>
  </si>
  <si>
    <t>Organizing a movie marathon with friends. Popcorn and cinematic adventures await!</t>
  </si>
  <si>
    <t>Experimenting with a new hair color. A bold change for a bold semester!</t>
  </si>
  <si>
    <t>Building a time capsule to capture memories for the future. Time-traveling emotions!</t>
  </si>
  <si>
    <t>Accidentally walked into the wrong classroom on the first day. Classroom mix-up: Awkward start!</t>
  </si>
  <si>
    <t>Trying out a new smoothie recipe for a healthy start to the week. Smoothie enthusiast: Level up!</t>
  </si>
  <si>
    <t>Reflecting on the challenges of the school year. Feeling a bit overwhelmed with assignments.</t>
  </si>
  <si>
    <t>Encountered some mean-spirited comments online. Dealing with online hate is never easy.</t>
  </si>
  <si>
    <t>Had a bad day at school. Everything seems to be going wrong.</t>
  </si>
  <si>
    <t>Feeling down after not making the sports team. Disappointment lingers.</t>
  </si>
  <si>
    <t>Witnessed a heated argument in the cafeteria. Unpleasant atmosphere at lunch.</t>
  </si>
  <si>
    <t>Received a not-so-great grade on a major project. Academic frustration setting in.</t>
  </si>
  <si>
    <t>Dealing with a personal setback. Sometimes life throws unexpected challenges.</t>
  </si>
  <si>
    <t>Feeling lonely on a Saturday night. Sometimes solitude hits harder than expected.</t>
  </si>
  <si>
    <t>Experiencing cyberbullying. Hateful messages online are disheartening.</t>
  </si>
  <si>
    <t>Caught in a torrential rainstorm without an umbrella. Today's weather is just bad luck.</t>
  </si>
  <si>
    <t>Missing an important event due to unforeseen circumstances. A day filled with sadness.</t>
  </si>
  <si>
    <t>Dealing with unfounded rumors circulating about personal life. Rumors can be hurtful.</t>
  </si>
  <si>
    <t>Got a flat tire on the way to an important meeting. Talk about a series of bad events!</t>
  </si>
  <si>
    <t>Feeling a sense of emptiness after a close friend moves away. Farewells are always sad.</t>
  </si>
  <si>
    <t>Facing rejection from a dream college. Disheartened but determined to explore other paths.</t>
  </si>
  <si>
    <t>Encountering online toxicity during a gaming session. Hateful comments can ruin the fun.</t>
  </si>
  <si>
    <t>Having a bad hair day and feeling self-conscious. Bad hair days can affect confidence.</t>
  </si>
  <si>
    <t>Feeling a sense of despair after a major project failure. Hard work didn't pay off this time.</t>
  </si>
  <si>
    <t>Experiencing hate comments for expressing personal opinions. Online negativity prevails.</t>
  </si>
  <si>
    <t>Having a string of bad luck with constant technology malfunctions. Tech troubles galore!</t>
  </si>
  <si>
    <t>Missing out on a long-anticipated event due to unexpected circumstances. A day filled with sadness.</t>
  </si>
  <si>
    <t>Trying out a new study technique for upcoming exams. Exploring different learning strategies.</t>
  </si>
  <si>
    <t>Organizing a community cleanup event for a cleaner neighborhood. Promoting environmental awareness.</t>
  </si>
  <si>
    <t>Sharing favorite book recommendations with classmates. Building a mini book club.</t>
  </si>
  <si>
    <t>Experimenting with a new recipe for a school bake sale. Baking adventures in the kitchen.</t>
  </si>
  <si>
    <t>Collaborating on a school project with peers. Teamwork makes the dream work.</t>
  </si>
  <si>
    <t>Attending a school club meeting to explore new interests. Dabbling in extracurricular activities.</t>
  </si>
  <si>
    <t>Exploring a new part-time job opportunity for gaining work experience. Career development in progress.</t>
  </si>
  <si>
    <t>Attending a school assembly to stay informed about upcoming events and announcements. Staying connected with school activities.</t>
  </si>
  <si>
    <t>Exploring a new hobby of photography during free time. Capturing moments through a lens.</t>
  </si>
  <si>
    <t>Participating in a science fair to showcase a unique experiment. Sharing knowledge with peers.</t>
  </si>
  <si>
    <t>Attending a workshop on time management to enhance organizational skills. Striving for efficiency.</t>
  </si>
  <si>
    <t>Volunteering at a local charity event to give back to the community. Contributing to social causes.</t>
  </si>
  <si>
    <t>Collaborating on a group project to promote teamwork and shared responsibilities. Group effort in action.</t>
  </si>
  <si>
    <t>Participating in a debate club to enhance critical thinking and communication skills. Intellectual engagement in progress.</t>
  </si>
  <si>
    <t>Celebrating a friend's birthday with a surprise party. Joyful moments and laughter all around!</t>
  </si>
  <si>
    <t>Successfully completing a challenging coding project. Excitement for overcoming coding hurdles!</t>
  </si>
  <si>
    <t>Attending a school talent show to support classmates. Applauding the diverse talents on display!</t>
  </si>
  <si>
    <t>Exploring a new hiking trail with friends over the weekend. Nature, laughter, and good vibes!</t>
  </si>
  <si>
    <t>Winning a friendly sports competition against rival schools. Victory celebrations in full swing!</t>
  </si>
  <si>
    <t>Receiving a heartfelt letter from a pen pal in another country. Connecting across the globe!</t>
  </si>
  <si>
    <t>Creating a beautiful mural with fellow art enthusiasts. The power of collaboration and creativity!</t>
  </si>
  <si>
    <t>Participating in a school-wide art exhibition. Witnessing creativity and spreading positive vibes!</t>
  </si>
  <si>
    <t>Achieving a personal best in a track and field competition. The thrill of victory and self-improvement!</t>
  </si>
  <si>
    <t>Collaborating on a science project that received recognition at a regional fair. Science triumphs and smiles!</t>
  </si>
  <si>
    <t>Attending a surprise birthday party organized by friends. Surrounded by love, laughter, and good company!</t>
  </si>
  <si>
    <t>Successfully fundraising for a school charity initiative. The joy of giving back to the community!</t>
  </si>
  <si>
    <t>Participating in a multicultural festival, celebrating diversity with music, dance, and delicious food!</t>
  </si>
  <si>
    <t>Organizing a virtual talent show during challenging times, bringing smiles to classmates' faces!</t>
  </si>
  <si>
    <t>Row Labels</t>
  </si>
  <si>
    <t>Grand Total</t>
  </si>
  <si>
    <t>Sum of Likes</t>
  </si>
  <si>
    <t>Count of Text</t>
  </si>
  <si>
    <t>Sum of Retweets</t>
  </si>
  <si>
    <t>(All)</t>
  </si>
  <si>
    <t>Column Labels</t>
  </si>
  <si>
    <t>Oceania</t>
  </si>
  <si>
    <t>Sum of Engagement</t>
  </si>
  <si>
    <t>Asia</t>
  </si>
  <si>
    <t>Europe</t>
  </si>
  <si>
    <t>North America</t>
  </si>
  <si>
    <t>Count of Time_Of_Day</t>
  </si>
  <si>
    <t>Text(Post)</t>
  </si>
  <si>
    <t>Statistic</t>
  </si>
  <si>
    <t>Mean</t>
  </si>
  <si>
    <t>Median</t>
  </si>
  <si>
    <t>Mode</t>
  </si>
  <si>
    <t>Minimum</t>
  </si>
  <si>
    <t>Maximum</t>
  </si>
  <si>
    <t>Variance</t>
  </si>
  <si>
    <t>Standard Deviation</t>
  </si>
  <si>
    <t>Count</t>
  </si>
  <si>
    <t>DESCRIPTIVE STATISTICS</t>
  </si>
  <si>
    <t>CORRELATION &amp; COVARIANCE</t>
  </si>
  <si>
    <t>Purpose</t>
  </si>
  <si>
    <t>Correlation</t>
  </si>
  <si>
    <t>Covariance</t>
  </si>
  <si>
    <t xml:space="preserve">  </t>
  </si>
  <si>
    <t>G2</t>
  </si>
  <si>
    <t>Value(Likes&amp;Retweets)</t>
  </si>
  <si>
    <t xml:space="preserve">Continent </t>
  </si>
  <si>
    <t>Africa</t>
  </si>
  <si>
    <t>South America</t>
  </si>
  <si>
    <t>Count of Text(Post)</t>
  </si>
  <si>
    <t>Avg Engagement Per Post Goal</t>
  </si>
  <si>
    <t>Avg Engagement Per Post Status</t>
  </si>
  <si>
    <t>Avg Engagement Per Post</t>
  </si>
  <si>
    <t>Positive Post %</t>
  </si>
  <si>
    <t>Positive Post % Goal</t>
  </si>
  <si>
    <t>Positive Post % Status</t>
  </si>
  <si>
    <t>Positive Posts:</t>
  </si>
  <si>
    <t>Total Posts:</t>
  </si>
  <si>
    <t>Positive Rate:</t>
  </si>
  <si>
    <t>NO. Likes:</t>
  </si>
  <si>
    <t>NO. Retweets:</t>
  </si>
  <si>
    <t>Engagement:</t>
  </si>
  <si>
    <t>$B$14</t>
  </si>
  <si>
    <t>$B$15</t>
  </si>
  <si>
    <t>$B$16</t>
  </si>
  <si>
    <t>Expected Case</t>
  </si>
  <si>
    <t>Normal Engagement Level</t>
  </si>
  <si>
    <t>Best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</si>
  <si>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</si>
  <si>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</si>
  <si>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</si>
  <si>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</si>
  <si>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</si>
  <si>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</si>
  <si>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</si>
  <si>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</si>
  <si>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Simulation Run</t>
  </si>
  <si>
    <t>High Engagement?</t>
  </si>
  <si>
    <t>probability of achieving high engagement:</t>
  </si>
  <si>
    <t>MONTE CARLO SIMULATION (Risk Assessment, 1000 Random Simulations )</t>
  </si>
  <si>
    <t>Goal Seek (target-based analysis)</t>
  </si>
  <si>
    <t>Data Tables (sensitivity analysis)</t>
  </si>
  <si>
    <t>Engagement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</si>
</sst>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1"/>
      <color theme="4"/>
      <name val="Calibri"/>
      <family val="2"/>
      <scheme val="minor"/>
    </font>
    <font>
      <b/>
      <sz val="12"/>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7" tint="0.79998168889431442"/>
        <bgColor indexed="64"/>
      </patternFill>
    </fill>
    <fill>
      <patternFill patternType="solid">
        <fgColor theme="4"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22" fontId="0" fillId="0" borderId="0" xfId="0" applyNumberFormat="1"/>
    <xf numFmtId="0" fontId="0" fillId="33" borderId="0" xfId="0" applyFill="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0" fillId="34" borderId="0" xfId="0" applyFill="1"/>
    <xf numFmtId="0" fontId="0" fillId="36" borderId="0" xfId="0" applyFill="1"/>
    <xf numFmtId="0" fontId="0" fillId="0" borderId="10" xfId="0" applyBorder="1"/>
    <xf numFmtId="0" fontId="0" fillId="0" borderId="0" xfId="0" pivotButton="1"/>
    <xf numFmtId="0" fontId="0" fillId="0" borderId="0" xfId="0" applyAlignment="1">
      <alignment horizontal="left" indent="1"/>
    </xf>
    <xf numFmtId="0" fontId="0" fillId="0" borderId="0" xfId="0" applyAlignment="1">
      <alignment vertical="center" wrapText="1"/>
    </xf>
    <xf numFmtId="0" fontId="0" fillId="0" borderId="12" xfId="0" applyBorder="1"/>
    <xf numFmtId="0" fontId="18" fillId="38" borderId="13" xfId="0" applyFont="1" applyFill="1" applyBorder="1" applyAlignment="1">
      <alignment horizontal="left"/>
    </xf>
    <xf numFmtId="0" fontId="18" fillId="38" borderId="11" xfId="0" applyFont="1" applyFill="1" applyBorder="1" applyAlignment="1">
      <alignment horizontal="left"/>
    </xf>
    <xf numFmtId="0" fontId="0" fillId="0" borderId="14" xfId="0" applyBorder="1"/>
    <xf numFmtId="0" fontId="19" fillId="39" borderId="0" xfId="0" applyFont="1" applyFill="1" applyAlignment="1">
      <alignment horizontal="left"/>
    </xf>
    <xf numFmtId="0" fontId="20" fillId="39" borderId="14" xfId="0" applyFont="1" applyFill="1" applyBorder="1" applyAlignment="1">
      <alignment horizontal="left"/>
    </xf>
    <xf numFmtId="0" fontId="19" fillId="39" borderId="12" xfId="0" applyFont="1" applyFill="1" applyBorder="1" applyAlignment="1">
      <alignment horizontal="left"/>
    </xf>
    <xf numFmtId="0" fontId="21" fillId="38" borderId="11" xfId="0" applyFont="1" applyFill="1" applyBorder="1" applyAlignment="1">
      <alignment horizontal="right"/>
    </xf>
    <xf numFmtId="0" fontId="21" fillId="38" borderId="13" xfId="0" applyFont="1" applyFill="1" applyBorder="1" applyAlignment="1">
      <alignment horizontal="right"/>
    </xf>
    <xf numFmtId="0" fontId="0" fillId="40" borderId="0" xfId="0" applyFill="1"/>
    <xf numFmtId="0" fontId="22" fillId="0" borderId="0" xfId="0" applyFont="1" applyAlignment="1">
      <alignment vertical="top" wrapText="1"/>
    </xf>
    <xf numFmtId="2" fontId="16" fillId="41" borderId="0" xfId="0" applyNumberFormat="1" applyFont="1" applyFill="1"/>
    <xf numFmtId="0" fontId="23" fillId="0" borderId="0" xfId="0" applyFont="1"/>
    <xf numFmtId="0" fontId="16" fillId="42" borderId="15" xfId="0" applyFont="1" applyFill="1" applyBorder="1" applyAlignment="1">
      <alignment horizontal="center" vertical="center" wrapText="1"/>
    </xf>
    <xf numFmtId="0" fontId="16" fillId="42" borderId="15" xfId="0" applyFont="1" applyFill="1" applyBorder="1" applyAlignment="1">
      <alignment vertical="center" wrapText="1"/>
    </xf>
    <xf numFmtId="0" fontId="0" fillId="0" borderId="15" xfId="0" applyBorder="1" applyAlignment="1">
      <alignment vertical="center" wrapText="1"/>
    </xf>
    <xf numFmtId="0" fontId="16" fillId="34" borderId="0" xfId="0" applyFont="1" applyFill="1"/>
    <xf numFmtId="165" fontId="0" fillId="34" borderId="0" xfId="0" applyNumberFormat="1" applyFill="1"/>
    <xf numFmtId="0" fontId="0" fillId="37"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0" borderId="0" xfId="0" applyAlignment="1">
      <alignment horizontal="center"/>
    </xf>
    <xf numFmtId="0" fontId="16" fillId="41" borderId="0" xfId="0" applyFont="1" applyFill="1" applyAlignment="1">
      <alignment horizontal="center"/>
    </xf>
    <xf numFmtId="0" fontId="24" fillId="41" borderId="0" xfId="0" applyFont="1" applyFill="1" applyAlignment="1">
      <alignment horizontal="center"/>
    </xf>
    <xf numFmtId="0" fontId="23" fillId="0" borderId="13"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numFmt numFmtId="165" formatCode="0.0"/>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numFmt numFmtId="27" formatCode="m/d/yyyy\ h:mm"/>
    </dxf>
    <dxf>
      <fill>
        <patternFill patternType="solid">
          <fgColor indexed="64"/>
          <bgColor theme="5"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Sheet.xlsx]platform_Performance!PivotTable2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platform_Performance!$B$3</c:f>
              <c:strCache>
                <c:ptCount val="1"/>
                <c:pt idx="0">
                  <c:v>Count of Text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platform_Performance!$A$4:$A$7</c:f>
              <c:strCache>
                <c:ptCount val="3"/>
                <c:pt idx="0">
                  <c:v>Facebook</c:v>
                </c:pt>
                <c:pt idx="1">
                  <c:v>Instagram</c:v>
                </c:pt>
                <c:pt idx="2">
                  <c:v>Twitter</c:v>
                </c:pt>
              </c:strCache>
            </c:strRef>
          </c:cat>
          <c:val>
            <c:numRef>
              <c:f>platform_Performance!$B$4:$B$7</c:f>
              <c:numCache>
                <c:formatCode>General</c:formatCode>
                <c:ptCount val="3"/>
                <c:pt idx="0">
                  <c:v>231</c:v>
                </c:pt>
                <c:pt idx="1">
                  <c:v>258</c:v>
                </c:pt>
                <c:pt idx="2">
                  <c:v>243</c:v>
                </c:pt>
              </c:numCache>
            </c:numRef>
          </c:val>
          <c:extLst>
            <c:ext xmlns:c16="http://schemas.microsoft.com/office/drawing/2014/chart" uri="{C3380CC4-5D6E-409C-BE32-E72D297353CC}">
              <c16:uniqueId val="{00000000-B6B7-4072-A278-A9800E870839}"/>
            </c:ext>
          </c:extLst>
        </c:ser>
        <c:ser>
          <c:idx val="1"/>
          <c:order val="1"/>
          <c:tx>
            <c:strRef>
              <c:f>platform_Performance!$C$3</c:f>
              <c:strCache>
                <c:ptCount val="1"/>
                <c:pt idx="0">
                  <c:v>Sum of Likes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platform_Performance!$A$4:$A$7</c:f>
              <c:strCache>
                <c:ptCount val="3"/>
                <c:pt idx="0">
                  <c:v>Facebook</c:v>
                </c:pt>
                <c:pt idx="1">
                  <c:v>Instagram</c:v>
                </c:pt>
                <c:pt idx="2">
                  <c:v>Twitter</c:v>
                </c:pt>
              </c:strCache>
            </c:strRef>
          </c:cat>
          <c:val>
            <c:numRef>
              <c:f>platform_Performance!$C$4:$C$7</c:f>
              <c:numCache>
                <c:formatCode>General</c:formatCode>
                <c:ptCount val="3"/>
                <c:pt idx="0">
                  <c:v>9672</c:v>
                </c:pt>
                <c:pt idx="1">
                  <c:v>11633</c:v>
                </c:pt>
                <c:pt idx="2">
                  <c:v>10099</c:v>
                </c:pt>
              </c:numCache>
            </c:numRef>
          </c:val>
          <c:extLst>
            <c:ext xmlns:c16="http://schemas.microsoft.com/office/drawing/2014/chart" uri="{C3380CC4-5D6E-409C-BE32-E72D297353CC}">
              <c16:uniqueId val="{00000001-B6B7-4072-A278-A9800E870839}"/>
            </c:ext>
          </c:extLst>
        </c:ser>
        <c:ser>
          <c:idx val="2"/>
          <c:order val="2"/>
          <c:tx>
            <c:strRef>
              <c:f>platform_Performance!$D$3</c:f>
              <c:strCache>
                <c:ptCount val="1"/>
                <c:pt idx="0">
                  <c:v>Sum of Retweets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platform_Performance!$A$4:$A$7</c:f>
              <c:strCache>
                <c:ptCount val="3"/>
                <c:pt idx="0">
                  <c:v>Facebook</c:v>
                </c:pt>
                <c:pt idx="1">
                  <c:v>Instagram</c:v>
                </c:pt>
                <c:pt idx="2">
                  <c:v>Twitter</c:v>
                </c:pt>
              </c:strCache>
            </c:strRef>
          </c:cat>
          <c:val>
            <c:numRef>
              <c:f>platform_Performance!$D$4:$D$7</c:f>
              <c:numCache>
                <c:formatCode>General</c:formatCode>
                <c:ptCount val="3"/>
                <c:pt idx="0">
                  <c:v>4844</c:v>
                </c:pt>
                <c:pt idx="1">
                  <c:v>5831</c:v>
                </c:pt>
                <c:pt idx="2">
                  <c:v>5069</c:v>
                </c:pt>
              </c:numCache>
            </c:numRef>
          </c:val>
          <c:extLst>
            <c:ext xmlns:c16="http://schemas.microsoft.com/office/drawing/2014/chart" uri="{C3380CC4-5D6E-409C-BE32-E72D297353CC}">
              <c16:uniqueId val="{00000002-B6B7-4072-A278-A9800E870839}"/>
            </c:ext>
          </c:extLst>
        </c:ser>
        <c:dLbls>
          <c:dLblPos val="outEnd"/>
          <c:showLegendKey val="0"/>
          <c:showVal val="1"/>
          <c:showCatName val="0"/>
          <c:showSerName val="0"/>
          <c:showPercent val="0"/>
          <c:showBubbleSize val="0"/>
        </c:dLbls>
        <c:gapWidth val="219"/>
        <c:overlap val="-27"/>
        <c:axId val="278376223"/>
        <c:axId val="278379135"/>
      </c:barChart>
      <c:catAx>
        <c:axId val="27837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a:t>
                </a:r>
                <a:r>
                  <a:rPr lang="en-US" baseline="0"/>
                  <a:t>s</a:t>
                </a:r>
              </a:p>
            </c:rich>
          </c:tx>
          <c:layout>
            <c:manualLayout>
              <c:xMode val="edge"/>
              <c:yMode val="edge"/>
              <c:x val="0.39407038449392284"/>
              <c:y val="0.841884728892245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79135"/>
        <c:crosses val="autoZero"/>
        <c:auto val="1"/>
        <c:lblAlgn val="ctr"/>
        <c:lblOffset val="100"/>
        <c:noMultiLvlLbl val="0"/>
      </c:catAx>
      <c:valAx>
        <c:axId val="278379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7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Sheet.xlsx]Country_Insight!PivotTable3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by Likes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Country_Insight!$B$3:$B$4</c:f>
              <c:strCache>
                <c:ptCount val="1"/>
                <c:pt idx="0">
                  <c:v>Facebook</c:v>
                </c:pt>
              </c:strCache>
            </c:strRef>
          </c:tx>
          <c:spPr>
            <a:solidFill>
              <a:schemeClr val="accent1"/>
            </a:solidFill>
            <a:ln>
              <a:noFill/>
            </a:ln>
            <a:effectLst/>
          </c:spPr>
          <c:invertIfNegative val="0"/>
          <c:cat>
            <c:strRef>
              <c:f>Country_Insight!$A$5:$A$38</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Country_Insight!$B$5:$B$38</c:f>
              <c:numCache>
                <c:formatCode>General</c:formatCode>
                <c:ptCount val="33"/>
                <c:pt idx="0">
                  <c:v>1056</c:v>
                </c:pt>
                <c:pt idx="1">
                  <c:v>90</c:v>
                </c:pt>
                <c:pt idx="3">
                  <c:v>290</c:v>
                </c:pt>
                <c:pt idx="5">
                  <c:v>1760</c:v>
                </c:pt>
                <c:pt idx="7">
                  <c:v>55</c:v>
                </c:pt>
                <c:pt idx="8">
                  <c:v>70</c:v>
                </c:pt>
                <c:pt idx="10">
                  <c:v>115</c:v>
                </c:pt>
                <c:pt idx="11">
                  <c:v>370</c:v>
                </c:pt>
                <c:pt idx="12">
                  <c:v>80</c:v>
                </c:pt>
                <c:pt idx="13">
                  <c:v>746</c:v>
                </c:pt>
                <c:pt idx="15">
                  <c:v>220</c:v>
                </c:pt>
                <c:pt idx="17">
                  <c:v>335</c:v>
                </c:pt>
                <c:pt idx="20">
                  <c:v>45</c:v>
                </c:pt>
                <c:pt idx="21">
                  <c:v>145</c:v>
                </c:pt>
                <c:pt idx="23">
                  <c:v>55</c:v>
                </c:pt>
                <c:pt idx="24">
                  <c:v>110</c:v>
                </c:pt>
                <c:pt idx="31">
                  <c:v>1613</c:v>
                </c:pt>
                <c:pt idx="32">
                  <c:v>2517</c:v>
                </c:pt>
              </c:numCache>
            </c:numRef>
          </c:val>
          <c:extLst>
            <c:ext xmlns:c16="http://schemas.microsoft.com/office/drawing/2014/chart" uri="{C3380CC4-5D6E-409C-BE32-E72D297353CC}">
              <c16:uniqueId val="{00000000-9B10-4547-9704-D103F276D799}"/>
            </c:ext>
          </c:extLst>
        </c:ser>
        <c:ser>
          <c:idx val="1"/>
          <c:order val="1"/>
          <c:tx>
            <c:strRef>
              <c:f>Country_Insight!$C$3:$C$4</c:f>
              <c:strCache>
                <c:ptCount val="1"/>
                <c:pt idx="0">
                  <c:v>Instagram</c:v>
                </c:pt>
              </c:strCache>
            </c:strRef>
          </c:tx>
          <c:spPr>
            <a:solidFill>
              <a:schemeClr val="accent2"/>
            </a:solidFill>
            <a:ln>
              <a:noFill/>
            </a:ln>
            <a:effectLst/>
          </c:spPr>
          <c:invertIfNegative val="0"/>
          <c:cat>
            <c:strRef>
              <c:f>Country_Insight!$A$5:$A$38</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Country_Insight!$C$5:$C$38</c:f>
              <c:numCache>
                <c:formatCode>General</c:formatCode>
                <c:ptCount val="33"/>
                <c:pt idx="0">
                  <c:v>1003</c:v>
                </c:pt>
                <c:pt idx="3">
                  <c:v>330</c:v>
                </c:pt>
                <c:pt idx="4">
                  <c:v>40</c:v>
                </c:pt>
                <c:pt idx="5">
                  <c:v>1867</c:v>
                </c:pt>
                <c:pt idx="9">
                  <c:v>80</c:v>
                </c:pt>
                <c:pt idx="10">
                  <c:v>250</c:v>
                </c:pt>
                <c:pt idx="11">
                  <c:v>115</c:v>
                </c:pt>
                <c:pt idx="13">
                  <c:v>756</c:v>
                </c:pt>
                <c:pt idx="14">
                  <c:v>50</c:v>
                </c:pt>
                <c:pt idx="15">
                  <c:v>95</c:v>
                </c:pt>
                <c:pt idx="16">
                  <c:v>60</c:v>
                </c:pt>
                <c:pt idx="17">
                  <c:v>270</c:v>
                </c:pt>
                <c:pt idx="19">
                  <c:v>45</c:v>
                </c:pt>
                <c:pt idx="21">
                  <c:v>70</c:v>
                </c:pt>
                <c:pt idx="22">
                  <c:v>45</c:v>
                </c:pt>
                <c:pt idx="25">
                  <c:v>45</c:v>
                </c:pt>
                <c:pt idx="26">
                  <c:v>430</c:v>
                </c:pt>
                <c:pt idx="27">
                  <c:v>60</c:v>
                </c:pt>
                <c:pt idx="28">
                  <c:v>140</c:v>
                </c:pt>
                <c:pt idx="29">
                  <c:v>120</c:v>
                </c:pt>
                <c:pt idx="30">
                  <c:v>70</c:v>
                </c:pt>
                <c:pt idx="31">
                  <c:v>2311</c:v>
                </c:pt>
                <c:pt idx="32">
                  <c:v>3381</c:v>
                </c:pt>
              </c:numCache>
            </c:numRef>
          </c:val>
          <c:extLst>
            <c:ext xmlns:c16="http://schemas.microsoft.com/office/drawing/2014/chart" uri="{C3380CC4-5D6E-409C-BE32-E72D297353CC}">
              <c16:uniqueId val="{00000001-9B10-4547-9704-D103F276D799}"/>
            </c:ext>
          </c:extLst>
        </c:ser>
        <c:ser>
          <c:idx val="2"/>
          <c:order val="2"/>
          <c:tx>
            <c:strRef>
              <c:f>Country_Insight!$D$3:$D$4</c:f>
              <c:strCache>
                <c:ptCount val="1"/>
                <c:pt idx="0">
                  <c:v>Twitter</c:v>
                </c:pt>
              </c:strCache>
            </c:strRef>
          </c:tx>
          <c:spPr>
            <a:solidFill>
              <a:schemeClr val="accent3"/>
            </a:solidFill>
            <a:ln>
              <a:noFill/>
            </a:ln>
            <a:effectLst/>
          </c:spPr>
          <c:invertIfNegative val="0"/>
          <c:cat>
            <c:strRef>
              <c:f>Country_Insight!$A$5:$A$38</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Country_Insight!$D$5:$D$38</c:f>
              <c:numCache>
                <c:formatCode>General</c:formatCode>
                <c:ptCount val="33"/>
                <c:pt idx="0">
                  <c:v>867</c:v>
                </c:pt>
                <c:pt idx="2">
                  <c:v>140</c:v>
                </c:pt>
                <c:pt idx="3">
                  <c:v>280</c:v>
                </c:pt>
                <c:pt idx="5">
                  <c:v>1861</c:v>
                </c:pt>
                <c:pt idx="6">
                  <c:v>35</c:v>
                </c:pt>
                <c:pt idx="10">
                  <c:v>375</c:v>
                </c:pt>
                <c:pt idx="11">
                  <c:v>190</c:v>
                </c:pt>
                <c:pt idx="12">
                  <c:v>140</c:v>
                </c:pt>
                <c:pt idx="13">
                  <c:v>1173</c:v>
                </c:pt>
                <c:pt idx="15">
                  <c:v>200</c:v>
                </c:pt>
                <c:pt idx="17">
                  <c:v>180</c:v>
                </c:pt>
                <c:pt idx="18">
                  <c:v>60</c:v>
                </c:pt>
                <c:pt idx="27">
                  <c:v>190</c:v>
                </c:pt>
                <c:pt idx="29">
                  <c:v>45</c:v>
                </c:pt>
                <c:pt idx="31">
                  <c:v>1903</c:v>
                </c:pt>
                <c:pt idx="32">
                  <c:v>2460</c:v>
                </c:pt>
              </c:numCache>
            </c:numRef>
          </c:val>
          <c:extLst>
            <c:ext xmlns:c16="http://schemas.microsoft.com/office/drawing/2014/chart" uri="{C3380CC4-5D6E-409C-BE32-E72D297353CC}">
              <c16:uniqueId val="{00000002-9B10-4547-9704-D103F276D799}"/>
            </c:ext>
          </c:extLst>
        </c:ser>
        <c:dLbls>
          <c:showLegendKey val="0"/>
          <c:showVal val="0"/>
          <c:showCatName val="0"/>
          <c:showSerName val="0"/>
          <c:showPercent val="0"/>
          <c:showBubbleSize val="0"/>
        </c:dLbls>
        <c:gapWidth val="150"/>
        <c:overlap val="100"/>
        <c:axId val="498795679"/>
        <c:axId val="498803583"/>
      </c:barChart>
      <c:catAx>
        <c:axId val="49879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03583"/>
        <c:crosses val="autoZero"/>
        <c:auto val="1"/>
        <c:lblAlgn val="ctr"/>
        <c:lblOffset val="100"/>
        <c:noMultiLvlLbl val="0"/>
      </c:catAx>
      <c:valAx>
        <c:axId val="49880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Likes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79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Sheet.xlsx]Month_Based_Trends!PivotTable4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Trends Across Platforms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Month_Based_Trends!$B$3:$B$4</c:f>
              <c:strCache>
                <c:ptCount val="1"/>
                <c:pt idx="0">
                  <c:v>Facebook</c:v>
                </c:pt>
              </c:strCache>
            </c:strRef>
          </c:tx>
          <c:spPr>
            <a:solidFill>
              <a:schemeClr val="accent1"/>
            </a:solidFill>
            <a:ln>
              <a:noFill/>
            </a:ln>
            <a:effectLst/>
          </c:spPr>
          <c:invertIfNegative val="0"/>
          <c:cat>
            <c:strRef>
              <c:f>Month_Based_Trends!$A$5:$A$17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Month_Based_Trends!$B$5:$B$17</c:f>
              <c:numCache>
                <c:formatCode>General</c:formatCode>
                <c:ptCount val="12"/>
                <c:pt idx="0">
                  <c:v>927</c:v>
                </c:pt>
                <c:pt idx="1">
                  <c:v>1432</c:v>
                </c:pt>
                <c:pt idx="2">
                  <c:v>724</c:v>
                </c:pt>
                <c:pt idx="3">
                  <c:v>430</c:v>
                </c:pt>
                <c:pt idx="4">
                  <c:v>559</c:v>
                </c:pt>
                <c:pt idx="5">
                  <c:v>941</c:v>
                </c:pt>
                <c:pt idx="6">
                  <c:v>726</c:v>
                </c:pt>
                <c:pt idx="7">
                  <c:v>1171</c:v>
                </c:pt>
                <c:pt idx="8">
                  <c:v>911</c:v>
                </c:pt>
                <c:pt idx="9">
                  <c:v>489</c:v>
                </c:pt>
                <c:pt idx="10">
                  <c:v>583</c:v>
                </c:pt>
                <c:pt idx="11">
                  <c:v>779</c:v>
                </c:pt>
              </c:numCache>
            </c:numRef>
          </c:val>
          <c:extLst>
            <c:ext xmlns:c16="http://schemas.microsoft.com/office/drawing/2014/chart" uri="{C3380CC4-5D6E-409C-BE32-E72D297353CC}">
              <c16:uniqueId val="{00000000-6F05-4DEF-B358-3A3ACE71BF16}"/>
            </c:ext>
          </c:extLst>
        </c:ser>
        <c:ser>
          <c:idx val="1"/>
          <c:order val="1"/>
          <c:tx>
            <c:strRef>
              <c:f>Month_Based_Trends!$C$3:$C$4</c:f>
              <c:strCache>
                <c:ptCount val="1"/>
                <c:pt idx="0">
                  <c:v>Instagram</c:v>
                </c:pt>
              </c:strCache>
            </c:strRef>
          </c:tx>
          <c:spPr>
            <a:solidFill>
              <a:schemeClr val="accent2"/>
            </a:solidFill>
            <a:ln>
              <a:noFill/>
            </a:ln>
            <a:effectLst/>
          </c:spPr>
          <c:invertIfNegative val="0"/>
          <c:cat>
            <c:strRef>
              <c:f>Month_Based_Trends!$A$5:$A$17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Month_Based_Trends!$C$5:$C$17</c:f>
              <c:numCache>
                <c:formatCode>General</c:formatCode>
                <c:ptCount val="12"/>
                <c:pt idx="0">
                  <c:v>1171</c:v>
                </c:pt>
                <c:pt idx="1">
                  <c:v>850</c:v>
                </c:pt>
                <c:pt idx="2">
                  <c:v>585</c:v>
                </c:pt>
                <c:pt idx="3">
                  <c:v>1040</c:v>
                </c:pt>
                <c:pt idx="4">
                  <c:v>650</c:v>
                </c:pt>
                <c:pt idx="5">
                  <c:v>1355</c:v>
                </c:pt>
                <c:pt idx="6">
                  <c:v>1519</c:v>
                </c:pt>
                <c:pt idx="7">
                  <c:v>1292</c:v>
                </c:pt>
                <c:pt idx="8">
                  <c:v>1226</c:v>
                </c:pt>
                <c:pt idx="9">
                  <c:v>710</c:v>
                </c:pt>
                <c:pt idx="10">
                  <c:v>1020</c:v>
                </c:pt>
                <c:pt idx="11">
                  <c:v>215</c:v>
                </c:pt>
              </c:numCache>
            </c:numRef>
          </c:val>
          <c:extLst>
            <c:ext xmlns:c16="http://schemas.microsoft.com/office/drawing/2014/chart" uri="{C3380CC4-5D6E-409C-BE32-E72D297353CC}">
              <c16:uniqueId val="{00000001-6F05-4DEF-B358-3A3ACE71BF16}"/>
            </c:ext>
          </c:extLst>
        </c:ser>
        <c:ser>
          <c:idx val="2"/>
          <c:order val="2"/>
          <c:tx>
            <c:strRef>
              <c:f>Month_Based_Trends!$D$3:$D$4</c:f>
              <c:strCache>
                <c:ptCount val="1"/>
                <c:pt idx="0">
                  <c:v>Twitter</c:v>
                </c:pt>
              </c:strCache>
            </c:strRef>
          </c:tx>
          <c:spPr>
            <a:solidFill>
              <a:schemeClr val="accent3"/>
            </a:solidFill>
            <a:ln>
              <a:noFill/>
            </a:ln>
            <a:effectLst/>
          </c:spPr>
          <c:invertIfNegative val="0"/>
          <c:cat>
            <c:strRef>
              <c:f>Month_Based_Trends!$A$5:$A$17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Month_Based_Trends!$D$5:$D$17</c:f>
              <c:numCache>
                <c:formatCode>General</c:formatCode>
                <c:ptCount val="12"/>
                <c:pt idx="0">
                  <c:v>1059</c:v>
                </c:pt>
                <c:pt idx="1">
                  <c:v>1223</c:v>
                </c:pt>
                <c:pt idx="2">
                  <c:v>566</c:v>
                </c:pt>
                <c:pt idx="3">
                  <c:v>705</c:v>
                </c:pt>
                <c:pt idx="4">
                  <c:v>715</c:v>
                </c:pt>
                <c:pt idx="5">
                  <c:v>1062</c:v>
                </c:pt>
                <c:pt idx="6">
                  <c:v>801</c:v>
                </c:pt>
                <c:pt idx="7">
                  <c:v>948</c:v>
                </c:pt>
                <c:pt idx="8">
                  <c:v>1045</c:v>
                </c:pt>
                <c:pt idx="9">
                  <c:v>796</c:v>
                </c:pt>
                <c:pt idx="10">
                  <c:v>540</c:v>
                </c:pt>
                <c:pt idx="11">
                  <c:v>639</c:v>
                </c:pt>
              </c:numCache>
            </c:numRef>
          </c:val>
          <c:extLst>
            <c:ext xmlns:c16="http://schemas.microsoft.com/office/drawing/2014/chart" uri="{C3380CC4-5D6E-409C-BE32-E72D297353CC}">
              <c16:uniqueId val="{00000002-6F05-4DEF-B358-3A3ACE71BF16}"/>
            </c:ext>
          </c:extLst>
        </c:ser>
        <c:dLbls>
          <c:showLegendKey val="0"/>
          <c:showVal val="0"/>
          <c:showCatName val="0"/>
          <c:showSerName val="0"/>
          <c:showPercent val="0"/>
          <c:showBubbleSize val="0"/>
        </c:dLbls>
        <c:gapWidth val="150"/>
        <c:overlap val="100"/>
        <c:axId val="117944271"/>
        <c:axId val="117952175"/>
      </c:barChart>
      <c:catAx>
        <c:axId val="11794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52175"/>
        <c:crosses val="autoZero"/>
        <c:auto val="1"/>
        <c:lblAlgn val="ctr"/>
        <c:lblOffset val="100"/>
        <c:noMultiLvlLbl val="0"/>
      </c:catAx>
      <c:valAx>
        <c:axId val="117952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Likes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Sheet.xlsx]Timeline_Activeness!PivotTable5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Timeline Activeness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Timeline_Activeness!$B$3</c:f>
              <c:strCache>
                <c:ptCount val="1"/>
                <c:pt idx="0">
                  <c:v>Count of Text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Timeline_Activeness!$A$4:$A$8</c:f>
              <c:strCache>
                <c:ptCount val="4"/>
                <c:pt idx="0">
                  <c:v>Afternoon</c:v>
                </c:pt>
                <c:pt idx="1">
                  <c:v>Evening</c:v>
                </c:pt>
                <c:pt idx="2">
                  <c:v>Morning</c:v>
                </c:pt>
                <c:pt idx="3">
                  <c:v>Night</c:v>
                </c:pt>
              </c:strCache>
            </c:strRef>
          </c:cat>
          <c:val>
            <c:numRef>
              <c:f>Timeline_Activeness!$B$4:$B$8</c:f>
              <c:numCache>
                <c:formatCode>General</c:formatCode>
                <c:ptCount val="4"/>
                <c:pt idx="0">
                  <c:v>326</c:v>
                </c:pt>
                <c:pt idx="1">
                  <c:v>271</c:v>
                </c:pt>
                <c:pt idx="2">
                  <c:v>129</c:v>
                </c:pt>
                <c:pt idx="3">
                  <c:v>6</c:v>
                </c:pt>
              </c:numCache>
            </c:numRef>
          </c:val>
          <c:extLst>
            <c:ext xmlns:c16="http://schemas.microsoft.com/office/drawing/2014/chart" uri="{C3380CC4-5D6E-409C-BE32-E72D297353CC}">
              <c16:uniqueId val="{00000000-5519-4E69-B12C-77B391BC327E}"/>
            </c:ext>
          </c:extLst>
        </c:ser>
        <c:ser>
          <c:idx val="1"/>
          <c:order val="1"/>
          <c:tx>
            <c:strRef>
              <c:f>Timeline_Activeness!$C$3</c:f>
              <c:strCache>
                <c:ptCount val="1"/>
                <c:pt idx="0">
                  <c:v>Sum of Engagement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Timeline_Activeness!$A$4:$A$8</c:f>
              <c:strCache>
                <c:ptCount val="4"/>
                <c:pt idx="0">
                  <c:v>Afternoon</c:v>
                </c:pt>
                <c:pt idx="1">
                  <c:v>Evening</c:v>
                </c:pt>
                <c:pt idx="2">
                  <c:v>Morning</c:v>
                </c:pt>
                <c:pt idx="3">
                  <c:v>Night</c:v>
                </c:pt>
              </c:strCache>
            </c:strRef>
          </c:cat>
          <c:val>
            <c:numRef>
              <c:f>Timeline_Activeness!$C$4:$C$8</c:f>
              <c:numCache>
                <c:formatCode>General</c:formatCode>
                <c:ptCount val="4"/>
                <c:pt idx="0">
                  <c:v>20254</c:v>
                </c:pt>
                <c:pt idx="1">
                  <c:v>18962</c:v>
                </c:pt>
                <c:pt idx="2">
                  <c:v>7580</c:v>
                </c:pt>
                <c:pt idx="3">
                  <c:v>352</c:v>
                </c:pt>
              </c:numCache>
            </c:numRef>
          </c:val>
          <c:extLst>
            <c:ext xmlns:c16="http://schemas.microsoft.com/office/drawing/2014/chart" uri="{C3380CC4-5D6E-409C-BE32-E72D297353CC}">
              <c16:uniqueId val="{00000001-5519-4E69-B12C-77B391BC327E}"/>
            </c:ext>
          </c:extLst>
        </c:ser>
        <c:dLbls>
          <c:dLblPos val="outEnd"/>
          <c:showLegendKey val="0"/>
          <c:showVal val="1"/>
          <c:showCatName val="0"/>
          <c:showSerName val="0"/>
          <c:showPercent val="0"/>
          <c:showBubbleSize val="0"/>
        </c:dLbls>
        <c:gapWidth val="219"/>
        <c:overlap val="-27"/>
        <c:axId val="459254767"/>
        <c:axId val="459266415"/>
      </c:barChart>
      <c:catAx>
        <c:axId val="459254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of the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66415"/>
        <c:crosses val="autoZero"/>
        <c:auto val="1"/>
        <c:lblAlgn val="ctr"/>
        <c:lblOffset val="100"/>
        <c:noMultiLvlLbl val="0"/>
      </c:catAx>
      <c:valAx>
        <c:axId val="459266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Engagement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5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Sheet.xlsx]Time_of_Day by Platform!PivotTable9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Usage Against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'Time_of_Day by Platform'!$B$3:$B$4</c:f>
              <c:strCache>
                <c:ptCount val="1"/>
                <c:pt idx="0">
                  <c:v>Facebook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'Time_of_Day by Platform'!$A$5:$A$9</c:f>
              <c:strCache>
                <c:ptCount val="4"/>
                <c:pt idx="0">
                  <c:v>Afternoon</c:v>
                </c:pt>
                <c:pt idx="1">
                  <c:v>Evening</c:v>
                </c:pt>
                <c:pt idx="2">
                  <c:v>Morning</c:v>
                </c:pt>
                <c:pt idx="3">
                  <c:v>Night</c:v>
                </c:pt>
              </c:strCache>
            </c:strRef>
          </c:cat>
          <c:val>
            <c:numRef>
              <c:f>'Time_of_Day by Platform'!$B$5:$B$9</c:f>
              <c:numCache>
                <c:formatCode>General</c:formatCode>
                <c:ptCount val="4"/>
                <c:pt idx="0">
                  <c:v>101</c:v>
                </c:pt>
                <c:pt idx="1">
                  <c:v>95</c:v>
                </c:pt>
                <c:pt idx="2">
                  <c:v>31</c:v>
                </c:pt>
                <c:pt idx="3">
                  <c:v>4</c:v>
                </c:pt>
              </c:numCache>
            </c:numRef>
          </c:val>
          <c:extLst>
            <c:ext xmlns:c16="http://schemas.microsoft.com/office/drawing/2014/chart" uri="{C3380CC4-5D6E-409C-BE32-E72D297353CC}">
              <c16:uniqueId val="{00000000-6321-4B07-8EAE-387CF5F3095F}"/>
            </c:ext>
          </c:extLst>
        </c:ser>
        <c:ser>
          <c:idx val="1"/>
          <c:order val="1"/>
          <c:tx>
            <c:strRef>
              <c:f>'Time_of_Day by Platform'!$C$3:$C$4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'Time_of_Day by Platform'!$A$5:$A$9</c:f>
              <c:strCache>
                <c:ptCount val="4"/>
                <c:pt idx="0">
                  <c:v>Afternoon</c:v>
                </c:pt>
                <c:pt idx="1">
                  <c:v>Evening</c:v>
                </c:pt>
                <c:pt idx="2">
                  <c:v>Morning</c:v>
                </c:pt>
                <c:pt idx="3">
                  <c:v>Night</c:v>
                </c:pt>
              </c:strCache>
            </c:strRef>
          </c:cat>
          <c:val>
            <c:numRef>
              <c:f>'Time_of_Day by Platform'!$C$5:$C$9</c:f>
              <c:numCache>
                <c:formatCode>General</c:formatCode>
                <c:ptCount val="4"/>
                <c:pt idx="0">
                  <c:v>129</c:v>
                </c:pt>
                <c:pt idx="1">
                  <c:v>90</c:v>
                </c:pt>
                <c:pt idx="2">
                  <c:v>39</c:v>
                </c:pt>
              </c:numCache>
            </c:numRef>
          </c:val>
          <c:extLst>
            <c:ext xmlns:c16="http://schemas.microsoft.com/office/drawing/2014/chart" uri="{C3380CC4-5D6E-409C-BE32-E72D297353CC}">
              <c16:uniqueId val="{00000001-6321-4B07-8EAE-387CF5F3095F}"/>
            </c:ext>
          </c:extLst>
        </c:ser>
        <c:ser>
          <c:idx val="2"/>
          <c:order val="2"/>
          <c:tx>
            <c:strRef>
              <c:f>'Time_of_Day by Platform'!$D$3:$D$4</c:f>
              <c:strCache>
                <c:ptCount val="1"/>
                <c:pt idx="0">
                  <c:v>Twitter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'Time_of_Day by Platform'!$A$5:$A$9</c:f>
              <c:strCache>
                <c:ptCount val="4"/>
                <c:pt idx="0">
                  <c:v>Afternoon</c:v>
                </c:pt>
                <c:pt idx="1">
                  <c:v>Evening</c:v>
                </c:pt>
                <c:pt idx="2">
                  <c:v>Morning</c:v>
                </c:pt>
                <c:pt idx="3">
                  <c:v>Night</c:v>
                </c:pt>
              </c:strCache>
            </c:strRef>
          </c:cat>
          <c:val>
            <c:numRef>
              <c:f>'Time_of_Day by Platform'!$D$5:$D$9</c:f>
              <c:numCache>
                <c:formatCode>General</c:formatCode>
                <c:ptCount val="4"/>
                <c:pt idx="0">
                  <c:v>96</c:v>
                </c:pt>
                <c:pt idx="1">
                  <c:v>86</c:v>
                </c:pt>
                <c:pt idx="2">
                  <c:v>59</c:v>
                </c:pt>
                <c:pt idx="3">
                  <c:v>2</c:v>
                </c:pt>
              </c:numCache>
            </c:numRef>
          </c:val>
          <c:extLst>
            <c:ext xmlns:c16="http://schemas.microsoft.com/office/drawing/2014/chart" uri="{C3380CC4-5D6E-409C-BE32-E72D297353CC}">
              <c16:uniqueId val="{00000002-6321-4B07-8EAE-387CF5F3095F}"/>
            </c:ext>
          </c:extLst>
        </c:ser>
        <c:dLbls>
          <c:dLblPos val="outEnd"/>
          <c:showLegendKey val="0"/>
          <c:showVal val="1"/>
          <c:showCatName val="0"/>
          <c:showSerName val="0"/>
          <c:showPercent val="0"/>
          <c:showBubbleSize val="0"/>
        </c:dLbls>
        <c:gapWidth val="219"/>
        <c:overlap val="-27"/>
        <c:axId val="459310511"/>
        <c:axId val="459309679"/>
      </c:barChart>
      <c:catAx>
        <c:axId val="45931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Of Day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09679"/>
        <c:crosses val="autoZero"/>
        <c:auto val="1"/>
        <c:lblAlgn val="ctr"/>
        <c:lblOffset val="100"/>
        <c:noMultiLvlLbl val="0"/>
      </c:catAx>
      <c:valAx>
        <c:axId val="459309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Time of Day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1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Sheet.xlsx]Yearly PlatformEngagement Trend!PivotTable12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Platform Engagement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PlatformEngagement Trend'!$B$3</c:f>
              <c:strCache>
                <c:ptCount val="1"/>
                <c:pt idx="0">
                  <c:v>Count of Text</c:v>
                </c:pt>
              </c:strCache>
            </c:strRef>
          </c:tx>
          <c:spPr>
            <a:ln w="28575" cap="rnd">
              <a:solidFill>
                <a:schemeClr val="accent1"/>
              </a:solidFill>
              <a:round/>
            </a:ln>
            <a:effectLst/>
          </c:spPr>
          <c:marker>
            <c:symbol val="none"/>
          </c:marker>
          <c:cat>
            <c:multiLvlStrRef>
              <c:f>'Yearly PlatformEngagement Trend'!$A$4:$A$45</c:f>
              <c:multiLvlStrCache>
                <c:ptCount val="38"/>
                <c:lvl>
                  <c:pt idx="0">
                    <c:v>2011</c:v>
                  </c:pt>
                  <c:pt idx="1">
                    <c:v>2012</c:v>
                  </c:pt>
                  <c:pt idx="2">
                    <c:v>2013</c:v>
                  </c:pt>
                  <c:pt idx="3">
                    <c:v>2015</c:v>
                  </c:pt>
                  <c:pt idx="4">
                    <c:v>2016</c:v>
                  </c:pt>
                  <c:pt idx="5">
                    <c:v>2017</c:v>
                  </c:pt>
                  <c:pt idx="6">
                    <c:v>2018</c:v>
                  </c:pt>
                  <c:pt idx="7">
                    <c:v>2019</c:v>
                  </c:pt>
                  <c:pt idx="8">
                    <c:v>2020</c:v>
                  </c:pt>
                  <c:pt idx="9">
                    <c:v>2021</c:v>
                  </c:pt>
                  <c:pt idx="10">
                    <c:v>2022</c:v>
                  </c:pt>
                  <c:pt idx="11">
                    <c:v>2023</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2010</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lvl>
                <c:lvl>
                  <c:pt idx="0">
                    <c:v>Facebook</c:v>
                  </c:pt>
                  <c:pt idx="12">
                    <c:v>Instagram</c:v>
                  </c:pt>
                  <c:pt idx="25">
                    <c:v>Twitter</c:v>
                  </c:pt>
                </c:lvl>
              </c:multiLvlStrCache>
            </c:multiLvlStrRef>
          </c:cat>
          <c:val>
            <c:numRef>
              <c:f>'Yearly PlatformEngagement Trend'!$B$4:$B$45</c:f>
              <c:numCache>
                <c:formatCode>General</c:formatCode>
                <c:ptCount val="38"/>
                <c:pt idx="0">
                  <c:v>2</c:v>
                </c:pt>
                <c:pt idx="1">
                  <c:v>2</c:v>
                </c:pt>
                <c:pt idx="2">
                  <c:v>1</c:v>
                </c:pt>
                <c:pt idx="3">
                  <c:v>9</c:v>
                </c:pt>
                <c:pt idx="4">
                  <c:v>16</c:v>
                </c:pt>
                <c:pt idx="5">
                  <c:v>12</c:v>
                </c:pt>
                <c:pt idx="6">
                  <c:v>17</c:v>
                </c:pt>
                <c:pt idx="7">
                  <c:v>15</c:v>
                </c:pt>
                <c:pt idx="8">
                  <c:v>25</c:v>
                </c:pt>
                <c:pt idx="9">
                  <c:v>21</c:v>
                </c:pt>
                <c:pt idx="10">
                  <c:v>20</c:v>
                </c:pt>
                <c:pt idx="11">
                  <c:v>91</c:v>
                </c:pt>
                <c:pt idx="12">
                  <c:v>2</c:v>
                </c:pt>
                <c:pt idx="13">
                  <c:v>1</c:v>
                </c:pt>
                <c:pt idx="14">
                  <c:v>1</c:v>
                </c:pt>
                <c:pt idx="15">
                  <c:v>2</c:v>
                </c:pt>
                <c:pt idx="16">
                  <c:v>6</c:v>
                </c:pt>
                <c:pt idx="17">
                  <c:v>13</c:v>
                </c:pt>
                <c:pt idx="18">
                  <c:v>11</c:v>
                </c:pt>
                <c:pt idx="19">
                  <c:v>20</c:v>
                </c:pt>
                <c:pt idx="20">
                  <c:v>27</c:v>
                </c:pt>
                <c:pt idx="21">
                  <c:v>27</c:v>
                </c:pt>
                <c:pt idx="22">
                  <c:v>23</c:v>
                </c:pt>
                <c:pt idx="23">
                  <c:v>30</c:v>
                </c:pt>
                <c:pt idx="24">
                  <c:v>95</c:v>
                </c:pt>
                <c:pt idx="25">
                  <c:v>3</c:v>
                </c:pt>
                <c:pt idx="26">
                  <c:v>1</c:v>
                </c:pt>
                <c:pt idx="27">
                  <c:v>2</c:v>
                </c:pt>
                <c:pt idx="28">
                  <c:v>2</c:v>
                </c:pt>
                <c:pt idx="29">
                  <c:v>4</c:v>
                </c:pt>
                <c:pt idx="30">
                  <c:v>9</c:v>
                </c:pt>
                <c:pt idx="31">
                  <c:v>20</c:v>
                </c:pt>
                <c:pt idx="32">
                  <c:v>19</c:v>
                </c:pt>
                <c:pt idx="33">
                  <c:v>31</c:v>
                </c:pt>
                <c:pt idx="34">
                  <c:v>17</c:v>
                </c:pt>
                <c:pt idx="35">
                  <c:v>19</c:v>
                </c:pt>
                <c:pt idx="36">
                  <c:v>13</c:v>
                </c:pt>
                <c:pt idx="37">
                  <c:v>103</c:v>
                </c:pt>
              </c:numCache>
            </c:numRef>
          </c:val>
          <c:smooth val="0"/>
          <c:extLst>
            <c:ext xmlns:c16="http://schemas.microsoft.com/office/drawing/2014/chart" uri="{C3380CC4-5D6E-409C-BE32-E72D297353CC}">
              <c16:uniqueId val="{00000000-3E4F-42E8-92FA-F2F90255282C}"/>
            </c:ext>
          </c:extLst>
        </c:ser>
        <c:ser>
          <c:idx val="1"/>
          <c:order val="1"/>
          <c:tx>
            <c:strRef>
              <c:f>'Yearly PlatformEngagement Trend'!$C$3</c:f>
              <c:strCache>
                <c:ptCount val="1"/>
                <c:pt idx="0">
                  <c:v>Sum of Engagement</c:v>
                </c:pt>
              </c:strCache>
            </c:strRef>
          </c:tx>
          <c:spPr>
            <a:ln w="28575" cap="rnd">
              <a:solidFill>
                <a:schemeClr val="accent2"/>
              </a:solidFill>
              <a:round/>
            </a:ln>
            <a:effectLst/>
          </c:spPr>
          <c:marker>
            <c:symbol val="none"/>
          </c:marker>
          <c:cat>
            <c:multiLvlStrRef>
              <c:f>'Yearly PlatformEngagement Trend'!$A$4:$A$45</c:f>
              <c:multiLvlStrCache>
                <c:ptCount val="38"/>
                <c:lvl>
                  <c:pt idx="0">
                    <c:v>2011</c:v>
                  </c:pt>
                  <c:pt idx="1">
                    <c:v>2012</c:v>
                  </c:pt>
                  <c:pt idx="2">
                    <c:v>2013</c:v>
                  </c:pt>
                  <c:pt idx="3">
                    <c:v>2015</c:v>
                  </c:pt>
                  <c:pt idx="4">
                    <c:v>2016</c:v>
                  </c:pt>
                  <c:pt idx="5">
                    <c:v>2017</c:v>
                  </c:pt>
                  <c:pt idx="6">
                    <c:v>2018</c:v>
                  </c:pt>
                  <c:pt idx="7">
                    <c:v>2019</c:v>
                  </c:pt>
                  <c:pt idx="8">
                    <c:v>2020</c:v>
                  </c:pt>
                  <c:pt idx="9">
                    <c:v>2021</c:v>
                  </c:pt>
                  <c:pt idx="10">
                    <c:v>2022</c:v>
                  </c:pt>
                  <c:pt idx="11">
                    <c:v>2023</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2010</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lvl>
                <c:lvl>
                  <c:pt idx="0">
                    <c:v>Facebook</c:v>
                  </c:pt>
                  <c:pt idx="12">
                    <c:v>Instagram</c:v>
                  </c:pt>
                  <c:pt idx="25">
                    <c:v>Twitter</c:v>
                  </c:pt>
                </c:lvl>
              </c:multiLvlStrCache>
            </c:multiLvlStrRef>
          </c:cat>
          <c:val>
            <c:numRef>
              <c:f>'Yearly PlatformEngagement Trend'!$C$4:$C$45</c:f>
              <c:numCache>
                <c:formatCode>General</c:formatCode>
                <c:ptCount val="38"/>
                <c:pt idx="0">
                  <c:v>142</c:v>
                </c:pt>
                <c:pt idx="1">
                  <c:v>90</c:v>
                </c:pt>
                <c:pt idx="2">
                  <c:v>67</c:v>
                </c:pt>
                <c:pt idx="3">
                  <c:v>639</c:v>
                </c:pt>
                <c:pt idx="4">
                  <c:v>1114</c:v>
                </c:pt>
                <c:pt idx="5">
                  <c:v>719</c:v>
                </c:pt>
                <c:pt idx="6">
                  <c:v>975</c:v>
                </c:pt>
                <c:pt idx="7">
                  <c:v>886</c:v>
                </c:pt>
                <c:pt idx="8">
                  <c:v>1497</c:v>
                </c:pt>
                <c:pt idx="9">
                  <c:v>1405</c:v>
                </c:pt>
                <c:pt idx="10">
                  <c:v>1329</c:v>
                </c:pt>
                <c:pt idx="11">
                  <c:v>5653</c:v>
                </c:pt>
                <c:pt idx="12">
                  <c:v>134</c:v>
                </c:pt>
                <c:pt idx="13">
                  <c:v>90</c:v>
                </c:pt>
                <c:pt idx="14">
                  <c:v>90</c:v>
                </c:pt>
                <c:pt idx="15">
                  <c:v>150</c:v>
                </c:pt>
                <c:pt idx="16">
                  <c:v>406</c:v>
                </c:pt>
                <c:pt idx="17">
                  <c:v>787</c:v>
                </c:pt>
                <c:pt idx="18">
                  <c:v>781</c:v>
                </c:pt>
                <c:pt idx="19">
                  <c:v>1456</c:v>
                </c:pt>
                <c:pt idx="20">
                  <c:v>1898</c:v>
                </c:pt>
                <c:pt idx="21">
                  <c:v>1784</c:v>
                </c:pt>
                <c:pt idx="22">
                  <c:v>1543</c:v>
                </c:pt>
                <c:pt idx="23">
                  <c:v>1955</c:v>
                </c:pt>
                <c:pt idx="24">
                  <c:v>6390</c:v>
                </c:pt>
                <c:pt idx="25">
                  <c:v>240</c:v>
                </c:pt>
                <c:pt idx="26">
                  <c:v>60</c:v>
                </c:pt>
                <c:pt idx="27">
                  <c:v>106</c:v>
                </c:pt>
                <c:pt idx="28">
                  <c:v>90</c:v>
                </c:pt>
                <c:pt idx="29">
                  <c:v>248</c:v>
                </c:pt>
                <c:pt idx="30">
                  <c:v>596</c:v>
                </c:pt>
                <c:pt idx="31">
                  <c:v>1177</c:v>
                </c:pt>
                <c:pt idx="32">
                  <c:v>1327</c:v>
                </c:pt>
                <c:pt idx="33">
                  <c:v>2051</c:v>
                </c:pt>
                <c:pt idx="34">
                  <c:v>1094</c:v>
                </c:pt>
                <c:pt idx="35">
                  <c:v>1026</c:v>
                </c:pt>
                <c:pt idx="36">
                  <c:v>820</c:v>
                </c:pt>
                <c:pt idx="37">
                  <c:v>6333</c:v>
                </c:pt>
              </c:numCache>
            </c:numRef>
          </c:val>
          <c:smooth val="0"/>
          <c:extLst>
            <c:ext xmlns:c16="http://schemas.microsoft.com/office/drawing/2014/chart" uri="{C3380CC4-5D6E-409C-BE32-E72D297353CC}">
              <c16:uniqueId val="{00000001-3E4F-42E8-92FA-F2F90255282C}"/>
            </c:ext>
          </c:extLst>
        </c:ser>
        <c:dLbls>
          <c:showLegendKey val="0"/>
          <c:showVal val="0"/>
          <c:showCatName val="0"/>
          <c:showSerName val="0"/>
          <c:showPercent val="0"/>
          <c:showBubbleSize val="0"/>
        </c:dLbls>
        <c:smooth val="0"/>
        <c:axId val="682043311"/>
        <c:axId val="682037487"/>
      </c:lineChart>
      <c:catAx>
        <c:axId val="6820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037487"/>
        <c:crosses val="autoZero"/>
        <c:auto val="1"/>
        <c:lblAlgn val="ctr"/>
        <c:lblOffset val="100"/>
        <c:noMultiLvlLbl val="0"/>
      </c:catAx>
      <c:valAx>
        <c:axId val="68203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04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 Excel Analysis Sheet.xlsx]Continent Engagement!PivotTable4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Continent</a:t>
            </a:r>
            <a:r>
              <a:rPr lang="en-US" baseline="0"/>
              <a:t> Engagements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6666666666666666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'Continent Engagement'!$B$3</c:f>
              <c:strCache>
                <c:ptCount val="1"/>
                <c:pt idx="0">
                  <c:v>Count of Text(Post)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'Continent Engagement'!$A$4:$A$10</c:f>
              <c:strCache>
                <c:ptCount val="6"/>
                <c:pt idx="0">
                  <c:v>Africa</c:v>
                </c:pt>
                <c:pt idx="1">
                  <c:v>Asia</c:v>
                </c:pt>
                <c:pt idx="2">
                  <c:v>Europe</c:v>
                </c:pt>
                <c:pt idx="3">
                  <c:v>North America</c:v>
                </c:pt>
                <c:pt idx="4">
                  <c:v>Oceania</c:v>
                </c:pt>
                <c:pt idx="5">
                  <c:v>South America</c:v>
                </c:pt>
              </c:strCache>
            </c:strRef>
          </c:cat>
          <c:val>
            <c:numRef>
              <c:f>'Continent Engagement'!$B$4:$B$10</c:f>
              <c:numCache>
                <c:formatCode>General</c:formatCode>
                <c:ptCount val="6"/>
                <c:pt idx="0">
                  <c:v>7</c:v>
                </c:pt>
                <c:pt idx="1">
                  <c:v>90</c:v>
                </c:pt>
                <c:pt idx="2">
                  <c:v>217</c:v>
                </c:pt>
                <c:pt idx="3">
                  <c:v>324</c:v>
                </c:pt>
                <c:pt idx="4">
                  <c:v>75</c:v>
                </c:pt>
                <c:pt idx="5">
                  <c:v>19</c:v>
                </c:pt>
              </c:numCache>
            </c:numRef>
          </c:val>
          <c:extLst>
            <c:ext xmlns:c16="http://schemas.microsoft.com/office/drawing/2014/chart" uri="{C3380CC4-5D6E-409C-BE32-E72D297353CC}">
              <c16:uniqueId val="{00000000-3C79-4CE6-8A84-0890C0CA567F}"/>
            </c:ext>
          </c:extLst>
        </c:ser>
        <c:ser>
          <c:idx val="1"/>
          <c:order val="1"/>
          <c:tx>
            <c:strRef>
              <c:f>'Continent Engagement'!$C$3</c:f>
              <c:strCache>
                <c:ptCount val="1"/>
                <c:pt idx="0">
                  <c:v>Sum of Engagement</c:v>
                </c:pt>
              </c:strCache>
            </c:strRef>
          </c:tx>
          <c:spPr>
            <a:solidFill>
              <a:schemeClr val="accent2"/>
            </a:solidFill>
            <a:ln>
              <a:noFill/>
            </a:ln>
            <a:effectLst/>
          </c:spPr>
          <c:invertIfNegative val="0"/>
          <c:dPt>
            <c:idx val="5"/>
            <c:invertIfNegative val="0"/>
            <c:bubble3D val="0"/>
            <c:spPr>
              <a:solidFill>
                <a:schemeClr val="accent2"/>
              </a:solidFill>
              <a:ln>
                <a:noFill/>
              </a:ln>
              <a:effectLst/>
            </c:spPr>
            <c:extLst>
              <c:ext xmlns:c16="http://schemas.microsoft.com/office/drawing/2014/chart" uri="{C3380CC4-5D6E-409C-BE32-E72D297353CC}">
                <c16:uniqueId val="{00000000-04DA-4C3E-ACD3-5CFE800B0BD0}"/>
              </c:ext>
            </c:extLst>
          </c:dPt>
          <c:dLbls>
            <c:dLbl>
              <c:idx val="5"/>
              <c:layout>
                <c:manualLayout>
                  <c:x val="1.6666666666666666E-2"/>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DA-4C3E-ACD3-5CFE800B0B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'Continent Engagement'!$A$4:$A$10</c:f>
              <c:strCache>
                <c:ptCount val="6"/>
                <c:pt idx="0">
                  <c:v>Africa</c:v>
                </c:pt>
                <c:pt idx="1">
                  <c:v>Asia</c:v>
                </c:pt>
                <c:pt idx="2">
                  <c:v>Europe</c:v>
                </c:pt>
                <c:pt idx="3">
                  <c:v>North America</c:v>
                </c:pt>
                <c:pt idx="4">
                  <c:v>Oceania</c:v>
                </c:pt>
                <c:pt idx="5">
                  <c:v>South America</c:v>
                </c:pt>
              </c:strCache>
            </c:strRef>
          </c:cat>
          <c:val>
            <c:numRef>
              <c:f>'Continent Engagement'!$C$4:$C$10</c:f>
              <c:numCache>
                <c:formatCode>General</c:formatCode>
                <c:ptCount val="6"/>
                <c:pt idx="0">
                  <c:v>712</c:v>
                </c:pt>
                <c:pt idx="1">
                  <c:v>5562</c:v>
                </c:pt>
                <c:pt idx="2">
                  <c:v>14089</c:v>
                </c:pt>
                <c:pt idx="3">
                  <c:v>20881</c:v>
                </c:pt>
                <c:pt idx="4">
                  <c:v>4390</c:v>
                </c:pt>
                <c:pt idx="5">
                  <c:v>1514</c:v>
                </c:pt>
              </c:numCache>
            </c:numRef>
          </c:val>
          <c:extLst>
            <c:ext xmlns:c16="http://schemas.microsoft.com/office/drawing/2014/chart" uri="{C3380CC4-5D6E-409C-BE32-E72D297353CC}">
              <c16:uniqueId val="{00000001-3C79-4CE6-8A84-0890C0CA567F}"/>
            </c:ext>
          </c:extLst>
        </c:ser>
        <c:dLbls>
          <c:dLblPos val="outEnd"/>
          <c:showLegendKey val="0"/>
          <c:showVal val="1"/>
          <c:showCatName val="0"/>
          <c:showSerName val="0"/>
          <c:showPercent val="0"/>
          <c:showBubbleSize val="0"/>
        </c:dLbls>
        <c:gapWidth val="219"/>
        <c:overlap val="-27"/>
        <c:axId val="267932175"/>
        <c:axId val="267932591"/>
      </c:barChart>
      <c:catAx>
        <c:axId val="26793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32591"/>
        <c:crosses val="autoZero"/>
        <c:auto val="1"/>
        <c:lblAlgn val="ctr"/>
        <c:lblOffset val="100"/>
        <c:noMultiLvlLbl val="0"/>
      </c:catAx>
      <c:valAx>
        <c:axId val="26793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3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2</xdr:col>
      <xdr:colOff>716281</xdr:colOff>
      <xdr:row>0</xdr:row>
      <xdr:rowOff>152400</xdr:rowOff>
    </xdr:from>
    <xdr:ext cx="4381499" cy="1315809"/>
    <xdr:sp macro="" textlink="">
      <xdr:nvSpPr>
        <xdr:cNvPr id="2" name="TextBox 1">
          <a:extLst>
            <a:ext uri="{FF2B5EF4-FFF2-40B4-BE49-F238E27FC236}">
              <a16:creationId xmlns:a16="http://schemas.microsoft.com/office/drawing/2014/main" id="{07B1F3F6-00BE-256A-3752-088D44A4F387}"/>
            </a:ext>
          </a:extLst>
        </xdr:cNvPr>
        <xdr:cNvSpPr txBox="1"/>
      </xdr:nvSpPr>
      <xdr:spPr>
        <a:xfrm>
          <a:off x="2461261" y="152400"/>
          <a:ext cx="4381499" cy="1315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Goal Seek was used to determine the number of positive posts required to achieve a target sentiment rate of 60% by adjusting the positive post count while holding total posts constant.”</a:t>
          </a:r>
        </a:p>
        <a:p>
          <a:pPr marL="0" marR="0" lvl="0" indent="0" defTabSz="914400" eaLnBrk="1" fontAlgn="auto" latinLnBrk="0" hangingPunct="1">
            <a:lnSpc>
              <a:spcPct val="100000"/>
            </a:lnSpc>
            <a:spcBef>
              <a:spcPts val="0"/>
            </a:spcBef>
            <a:spcAft>
              <a:spcPts val="0"/>
            </a:spcAft>
            <a:buClrTx/>
            <a:buSzTx/>
            <a:buFontTx/>
            <a:buNone/>
            <a:tabLst/>
            <a:defRPr/>
          </a:pP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b="1"/>
            <a:t>You need about 439 positive posts</a:t>
          </a:r>
          <a:br>
            <a:rPr lang="en-US"/>
          </a:br>
          <a:r>
            <a:rPr lang="en-US"/>
            <a:t>To achieve </a:t>
          </a:r>
          <a:r>
            <a:rPr lang="en-US" b="1"/>
            <a:t>60% positive sentiment</a:t>
          </a:r>
          <a:endParaRPr lang="en-US"/>
        </a:p>
        <a:p>
          <a:endParaRPr lang="en-US" sz="1100"/>
        </a:p>
      </xdr:txBody>
    </xdr:sp>
    <xdr:clientData/>
  </xdr:oneCellAnchor>
  <xdr:oneCellAnchor>
    <xdr:from>
      <xdr:col>4</xdr:col>
      <xdr:colOff>213360</xdr:colOff>
      <xdr:row>17</xdr:row>
      <xdr:rowOff>99060</xdr:rowOff>
    </xdr:from>
    <xdr:ext cx="1387431" cy="781240"/>
    <xdr:sp macro="" textlink="">
      <xdr:nvSpPr>
        <xdr:cNvPr id="3" name="TextBox 2">
          <a:extLst>
            <a:ext uri="{FF2B5EF4-FFF2-40B4-BE49-F238E27FC236}">
              <a16:creationId xmlns:a16="http://schemas.microsoft.com/office/drawing/2014/main" id="{F89A4C80-7AF3-CC90-9796-02A7817DD8DC}"/>
            </a:ext>
          </a:extLst>
        </xdr:cNvPr>
        <xdr:cNvSpPr txBox="1"/>
      </xdr:nvSpPr>
      <xdr:spPr>
        <a:xfrm>
          <a:off x="3642360" y="3055620"/>
          <a:ext cx="1387431"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rgbClr val="FF0000"/>
              </a:solidFill>
            </a:rPr>
            <a:t>IMPORTANT:</a:t>
          </a:r>
        </a:p>
        <a:p>
          <a:r>
            <a:rPr lang="en-US"/>
            <a:t>Top row → Retweets</a:t>
          </a:r>
        </a:p>
        <a:p>
          <a:r>
            <a:rPr lang="en-US"/>
            <a:t>First column → Likes</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452635</xdr:colOff>
      <xdr:row>2</xdr:row>
      <xdr:rowOff>11361</xdr:rowOff>
    </xdr:from>
    <xdr:to>
      <xdr:col>12</xdr:col>
      <xdr:colOff>425965</xdr:colOff>
      <xdr:row>18</xdr:row>
      <xdr:rowOff>98992</xdr:rowOff>
    </xdr:to>
    <xdr:graphicFrame macro="">
      <xdr:nvGraphicFramePr>
        <xdr:cNvPr id="2" name="Chart 1">
          <a:extLst>
            <a:ext uri="{FF2B5EF4-FFF2-40B4-BE49-F238E27FC236}">
              <a16:creationId xmlns:a16="http://schemas.microsoft.com/office/drawing/2014/main" id="{A5611D8D-A14D-43C5-81B2-35B11C786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152400</xdr:colOff>
      <xdr:row>2</xdr:row>
      <xdr:rowOff>125730</xdr:rowOff>
    </xdr:from>
    <xdr:to>
      <xdr:col>12</xdr:col>
      <xdr:colOff>457200</xdr:colOff>
      <xdr:row>17</xdr:row>
      <xdr:rowOff>125730</xdr:rowOff>
    </xdr:to>
    <xdr:graphicFrame macro="">
      <xdr:nvGraphicFramePr>
        <xdr:cNvPr id="2" name="Chart 1">
          <a:extLst>
            <a:ext uri="{FF2B5EF4-FFF2-40B4-BE49-F238E27FC236}">
              <a16:creationId xmlns:a16="http://schemas.microsoft.com/office/drawing/2014/main" id="{0351AEE0-C888-4D6A-863A-C54C69834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103361</xdr:colOff>
      <xdr:row>1</xdr:row>
      <xdr:rowOff>170712</xdr:rowOff>
    </xdr:from>
    <xdr:to>
      <xdr:col>13</xdr:col>
      <xdr:colOff>404884</xdr:colOff>
      <xdr:row>16</xdr:row>
      <xdr:rowOff>170712</xdr:rowOff>
    </xdr:to>
    <xdr:graphicFrame macro="">
      <xdr:nvGraphicFramePr>
        <xdr:cNvPr id="2" name="Chart 1">
          <a:extLst>
            <a:ext uri="{FF2B5EF4-FFF2-40B4-BE49-F238E27FC236}">
              <a16:creationId xmlns:a16="http://schemas.microsoft.com/office/drawing/2014/main" id="{CA7159D3-0EFA-47BF-8433-C5B97BFDE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35858</xdr:colOff>
      <xdr:row>2</xdr:row>
      <xdr:rowOff>143436</xdr:rowOff>
    </xdr:from>
    <xdr:to>
      <xdr:col>11</xdr:col>
      <xdr:colOff>171449</xdr:colOff>
      <xdr:row>16</xdr:row>
      <xdr:rowOff>87630</xdr:rowOff>
    </xdr:to>
    <xdr:graphicFrame macro="">
      <xdr:nvGraphicFramePr>
        <xdr:cNvPr id="2" name="Chart 1">
          <a:extLst>
            <a:ext uri="{FF2B5EF4-FFF2-40B4-BE49-F238E27FC236}">
              <a16:creationId xmlns:a16="http://schemas.microsoft.com/office/drawing/2014/main" id="{741ED1F1-5AC0-4587-8C9A-E66E2BA9D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563880</xdr:colOff>
      <xdr:row>1</xdr:row>
      <xdr:rowOff>87630</xdr:rowOff>
    </xdr:from>
    <xdr:to>
      <xdr:col>13</xdr:col>
      <xdr:colOff>259080</xdr:colOff>
      <xdr:row>16</xdr:row>
      <xdr:rowOff>87630</xdr:rowOff>
    </xdr:to>
    <xdr:graphicFrame macro="">
      <xdr:nvGraphicFramePr>
        <xdr:cNvPr id="2" name="Chart 1">
          <a:extLst>
            <a:ext uri="{FF2B5EF4-FFF2-40B4-BE49-F238E27FC236}">
              <a16:creationId xmlns:a16="http://schemas.microsoft.com/office/drawing/2014/main" id="{62088CBA-5DE8-46A4-B1F5-11E0372C3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220980</xdr:colOff>
      <xdr:row>9</xdr:row>
      <xdr:rowOff>148590</xdr:rowOff>
    </xdr:from>
    <xdr:to>
      <xdr:col>15</xdr:col>
      <xdr:colOff>678180</xdr:colOff>
      <xdr:row>24</xdr:row>
      <xdr:rowOff>148590</xdr:rowOff>
    </xdr:to>
    <xdr:graphicFrame macro="">
      <xdr:nvGraphicFramePr>
        <xdr:cNvPr id="2" name="Chart 1">
          <a:extLst>
            <a:ext uri="{FF2B5EF4-FFF2-40B4-BE49-F238E27FC236}">
              <a16:creationId xmlns:a16="http://schemas.microsoft.com/office/drawing/2014/main" id="{8D1D7328-9C2B-4391-AFBF-3879CB783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655320</xdr:colOff>
      <xdr:row>0</xdr:row>
      <xdr:rowOff>152400</xdr:rowOff>
    </xdr:from>
    <xdr:to>
      <xdr:col>8</xdr:col>
      <xdr:colOff>1325880</xdr:colOff>
      <xdr:row>15</xdr:row>
      <xdr:rowOff>152400</xdr:rowOff>
    </xdr:to>
    <xdr:graphicFrame macro="">
      <xdr:nvGraphicFramePr>
        <xdr:cNvPr id="2" name="Chart 1">
          <a:extLst>
            <a:ext uri="{FF2B5EF4-FFF2-40B4-BE49-F238E27FC236}">
              <a16:creationId xmlns:a16="http://schemas.microsoft.com/office/drawing/2014/main" id="{B3B2E9BD-EA17-4BBC-BE33-E3A37128D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7.28381990741" createdVersion="7" refreshedVersion="7" minRefreshableVersion="3" recordCount="732" xr:uid="{2EF2D40B-0E35-4FE2-B3A2-EEACC250CEA2}">
  <cacheSource type="worksheet">
    <worksheetSource ref="A2:T734" sheet="3) Sentiment dataset"/>
  </cacheSource>
  <cacheFields count="21">
    <cacheField name="Unnamed: 0" numFmtId="0">
      <sharedItems containsSemiMixedTypes="0" containsString="0" containsNumber="1" containsInteger="1" minValue="0" maxValue="736"/>
    </cacheField>
    <cacheField name="User" numFmtId="0">
      <sharedItems/>
    </cacheField>
    <cacheField name="Text" numFmtId="0">
      <sharedItems/>
    </cacheField>
    <cacheField name="Sentiment" numFmtId="0">
      <sharedItems count="191">
        <s v="Positive"/>
        <s v="Negative"/>
        <s v="Neutral"/>
        <s v="Anger"/>
        <s v="Fear"/>
        <s v="Sadness"/>
        <s v="Disgust"/>
        <s v="Happiness"/>
        <s v="Joy"/>
        <s v="Love"/>
        <s v="Amusement"/>
        <s v="Enjoyment"/>
        <s v="Admiration"/>
        <s v="Affection"/>
        <s v="Awe"/>
        <s v="Disappointed"/>
        <s v="Surprise"/>
        <s v="Acceptance"/>
        <s v="Adoration"/>
        <s v="Anticipation"/>
        <s v="Bitter"/>
        <s v="Calmness"/>
        <s v="Confusion"/>
        <s v="Excitement"/>
        <s v="Kind"/>
        <s v="Pride"/>
        <s v="Shame"/>
        <s v="Elation"/>
        <s v="Euphoria"/>
        <s v="Contentment"/>
        <s v="Serenity"/>
        <s v="Gratitude"/>
        <s v="Hope"/>
        <s v="Empowerment"/>
        <s v="Compassion"/>
        <s v="Tenderness"/>
        <s v="Arousal"/>
        <s v="Enthusiasm"/>
        <s v="Fulfillment"/>
        <s v="Reverence"/>
        <s v="Despair"/>
        <s v="Grief"/>
        <s v="Loneliness"/>
        <s v="Jealousy"/>
        <s v="Resentment"/>
        <s v="Frustration"/>
        <s v="Boredom"/>
        <s v="Anxiety"/>
        <s v="Intimidation"/>
        <s v="Helplessness"/>
        <s v="Envy"/>
        <s v="Regret"/>
        <s v="Curiosity"/>
        <s v="Indifference"/>
        <s v="Numbness"/>
        <s v="Melancholy"/>
        <s v="Nostalgia"/>
        <s v="Ambivalence"/>
        <s v="Determination"/>
        <s v="Zest"/>
        <s v="Hopeful"/>
        <s v="Proud"/>
        <s v="Grateful"/>
        <s v="Empathetic"/>
        <s v="Compassionate"/>
        <s v="Playful"/>
        <s v="Free-spirited"/>
        <s v="Inspired"/>
        <s v="Confident"/>
        <s v="Bitterness"/>
        <s v="Yearning"/>
        <s v="Fearful"/>
        <s v="Apprehensive"/>
        <s v="Overwhelmed"/>
        <s v="Jealous"/>
        <s v="Devastated"/>
        <s v="Frustrated"/>
        <s v="Envious"/>
        <s v="Dismissive"/>
        <s v="Thrill"/>
        <s v="Bittersweet"/>
        <s v="Overjoyed"/>
        <s v="Inspiration"/>
        <s v="Motivation"/>
        <s v="Contemplation"/>
        <s v="JoyfulReunion"/>
        <s v="Satisfaction"/>
        <s v="Blessed"/>
        <s v="Reflection"/>
        <s v="Appreciation"/>
        <s v="Confidence"/>
        <s v="Accomplishment"/>
        <s v="Wonderment"/>
        <s v="Optimism"/>
        <s v="Enchantment"/>
        <s v="Intrigue"/>
        <s v="PlayfulJoy"/>
        <s v="Mindfulness"/>
        <s v="DreamChaser"/>
        <s v="Elegance"/>
        <s v="Whimsy"/>
        <s v="Pensive"/>
        <s v="Harmony"/>
        <s v="Creativity"/>
        <s v="Radiance"/>
        <s v="Wonder"/>
        <s v="Rejuvenation"/>
        <s v="Coziness"/>
        <s v="Adventure"/>
        <s v="Melodic"/>
        <s v="FestiveJoy"/>
        <s v="InnerJourney"/>
        <s v="Freedom"/>
        <s v="Dazzle"/>
        <s v="Adrenaline"/>
        <s v="ArtisticBurst"/>
        <s v="CulinaryOdyssey"/>
        <s v="Resilience"/>
        <s v="Immersion"/>
        <s v="Spark"/>
        <s v="Marvel"/>
        <s v="Heartbreak"/>
        <s v="Betrayal"/>
        <s v="Suffering"/>
        <s v="EmotionalStorm"/>
        <s v="Isolation"/>
        <s v="Disappointment"/>
        <s v="LostLove"/>
        <s v="Exhaustion"/>
        <s v="Sorrow"/>
        <s v="Darkness"/>
        <s v="Desperation"/>
        <s v="Ruins"/>
        <s v="Desolation"/>
        <s v="Loss"/>
        <s v="Heartache"/>
        <s v="Solitude"/>
        <s v="Positivity"/>
        <s v="Kindness"/>
        <s v="Friendship"/>
        <s v="Success"/>
        <s v="Exploration"/>
        <s v="Amazement"/>
        <s v="Romance"/>
        <s v="Captivation"/>
        <s v="Tranquility"/>
        <s v="Grandeur"/>
        <s v="Emotion"/>
        <s v="Energy"/>
        <s v="Celebration"/>
        <s v="Charm"/>
        <s v="Ecstasy"/>
        <s v="Colorful"/>
        <s v="Hypnotic"/>
        <s v="Connection"/>
        <s v="Iconic"/>
        <s v="Journey"/>
        <s v="Engagement"/>
        <s v="Touched"/>
        <s v="Suspense"/>
        <s v="Triumph"/>
        <s v="Heartwarming"/>
        <s v="Obstacle"/>
        <s v="Sympathy"/>
        <s v="Pressure"/>
        <s v="Renewed Effort"/>
        <s v="Miscalculation"/>
        <s v="Challenge"/>
        <s v="Solace"/>
        <s v="Breakthrough"/>
        <s v="Joy in Baking"/>
        <s v="Envisioning History"/>
        <s v="Imagination"/>
        <s v="Vibrancy"/>
        <s v="Mesmerizing"/>
        <s v="Culinary Adventure"/>
        <s v="Winter Magic"/>
        <s v="Thrilling Journey"/>
        <s v="Nature's Beauty"/>
        <s v="Celestial Wonder"/>
        <s v="Creative Inspiration"/>
        <s v="Runway Creativity"/>
        <s v="Ocean's Freedom"/>
        <s v="Whispers of the Past"/>
        <s v="Relief"/>
        <s v="Embarrassed"/>
        <s v="Mischievous"/>
        <s v="Sad"/>
        <s v="Hate"/>
        <s v="Bad"/>
        <s v="Happy"/>
      </sharedItems>
    </cacheField>
    <cacheField name="Timestamp" numFmtId="22">
      <sharedItems containsSemiMixedTypes="0" containsNonDate="0" containsDate="1" containsString="0" minDate="2010-05-15T15:30:00" maxDate="2023-10-22T20:45:00"/>
    </cacheField>
    <cacheField name="Platform" numFmtId="0">
      <sharedItems count="3">
        <s v="Twitter"/>
        <s v="Instagram"/>
        <s v="Facebook"/>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Year" numFmtId="0">
      <sharedItems containsSemiMixedTypes="0" containsString="0" containsNumber="1" containsInteger="1" minValue="2010" maxValue="2023" count="14">
        <n v="2023"/>
        <n v="2010"/>
        <n v="2021"/>
        <n v="2011"/>
        <n v="2022"/>
        <n v="2012"/>
        <n v="2013"/>
        <n v="2014"/>
        <n v="2015"/>
        <n v="2016"/>
        <n v="2017"/>
        <n v="2018"/>
        <n v="2019"/>
        <n v="2020"/>
      </sharedItems>
    </cacheField>
    <cacheField name="Month" numFmtId="0">
      <sharedItems containsSemiMixedTypes="0" containsString="0" containsNumber="1" containsInteger="1" minValue="1" maxValue="12" count="12">
        <n v="1"/>
        <n v="2"/>
        <n v="3"/>
        <n v="5"/>
        <n v="8"/>
        <n v="6"/>
        <n v="11"/>
        <n v="4"/>
        <n v="9"/>
        <n v="7"/>
        <n v="10"/>
        <n v="12"/>
      </sharedItems>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Engagement" numFmtId="0">
      <sharedItems containsSemiMixedTypes="0" containsString="0" containsNumber="1" containsInteger="1" minValue="15" maxValue="120" count="45">
        <n v="45"/>
        <n v="15"/>
        <n v="60"/>
        <n v="23"/>
        <n v="37"/>
        <n v="75"/>
        <n v="30"/>
        <n v="90"/>
        <n v="53"/>
        <n v="67"/>
        <n v="22"/>
        <n v="83"/>
        <n v="27"/>
        <n v="42"/>
        <n v="39"/>
        <n v="54"/>
        <n v="33"/>
        <n v="66"/>
        <n v="36"/>
        <n v="51"/>
        <n v="57"/>
        <n v="48"/>
        <n v="63"/>
        <n v="69"/>
        <n v="72"/>
        <n v="24"/>
        <n v="120"/>
        <n v="105"/>
        <n v="62"/>
        <n v="58"/>
        <n v="74"/>
        <n v="50"/>
        <n v="56"/>
        <n v="79"/>
        <n v="65"/>
        <n v="59"/>
        <n v="43"/>
        <n v="47"/>
        <n v="41"/>
        <n v="76"/>
        <n v="64"/>
        <n v="68"/>
        <n v="77"/>
        <n v="73"/>
        <n v="71"/>
      </sharedItems>
    </cacheField>
    <cacheField name="Popularity" numFmtId="0">
      <sharedItems/>
    </cacheField>
    <cacheField name="High_Engagement" numFmtId="0">
      <sharedItems/>
    </cacheField>
    <cacheField name="Wide_Reach" numFmtId="0">
      <sharedItems/>
    </cacheField>
    <cacheField name="Time_Of_Day" numFmtId="0">
      <sharedItems count="4">
        <s v="Afternoon"/>
        <s v="Morning"/>
        <s v="Evening"/>
        <s v="Night"/>
      </sharedItems>
    </cacheField>
    <cacheField name="Sentiment Score" numFmtId="0">
      <sharedItems/>
    </cacheField>
    <cacheField name="Engagement_Ratio" numFmtId="165">
      <sharedItems containsSemiMixedTypes="0" containsString="0" containsNumber="1" minValue="1.75" maxValue="2.1428571428571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2.656874652777" createdVersion="7" refreshedVersion="7" minRefreshableVersion="3" recordCount="732" xr:uid="{9943D055-328D-4782-A132-47DDBC1F5959}">
  <cacheSource type="worksheet">
    <worksheetSource ref="A2:T734" sheet="3) Sentiment dataset"/>
  </cacheSource>
  <cacheFields count="20">
    <cacheField name="User" numFmtId="0">
      <sharedItems count="670">
        <s v="User123"/>
        <s v="CommuterX"/>
        <s v="FitnessFan"/>
        <s v="AdventureX"/>
        <s v="ChefCook"/>
        <s v="GratitudeNow"/>
        <s v="RainyDays"/>
        <s v="MovieBuff"/>
        <s v="DebateTalk"/>
        <s v="BeachLover"/>
        <s v="BloggerX"/>
        <s v="WellnessCheck"/>
        <s v="UrbanExplorer"/>
        <s v="FitJourney"/>
        <s v="TechEnthusiast"/>
        <s v="Reflections"/>
        <s v="PetAdopter"/>
        <s v="GamerX"/>
        <s v="TechConference"/>
        <s v="WinterBlues"/>
        <s v="Bookworm"/>
        <s v="VRExplorer"/>
        <s v="ProductivityPro"/>
        <s v="FitnessWarrior"/>
        <s v="CareerMilestone"/>
        <s v="BrunchBuddy"/>
        <s v="LanguageLearner"/>
        <s v="BookLover"/>
        <s v="MentalHealthMatters"/>
        <s v="ArtistInAction"/>
        <s v="RoadTripper"/>
        <s v="SunsetWatcher"/>
        <s v="CodeEnthusiast"/>
        <s v="WorkshopAttendee"/>
        <s v="WinterSports"/>
        <s v="FamilyTime"/>
        <s v="MusicLover"/>
        <s v="MindfulMoments"/>
        <s v="DessertExplorer"/>
        <s v="GamingEnthusiast"/>
        <s v="GardenPlanner"/>
        <s v="BirthdayBash"/>
        <s v="ProductivityWin"/>
        <s v="MovieNight"/>
        <s v="ArtExplorer"/>
        <s v="BookwormX"/>
        <s v="VRMeetup"/>
        <s v="NatureLover"/>
        <s v="ChefAtHome"/>
        <s v="OptimisticMindset"/>
        <s v="FitnessChallenge"/>
        <s v="BikeExplorer"/>
        <s v="SocialJustice"/>
        <s v="ThrillerFan"/>
        <s v="EmpathyFirst"/>
        <s v="EcoAwareness"/>
        <s v="ProudFriend"/>
        <s v="ComedyFan"/>
        <s v="LoveSpreader"/>
        <s v="AmusedSoul"/>
        <s v="BookLoverAgain"/>
        <s v="NatureAdmirer"/>
        <s v="AffectionSender"/>
        <s v="AweStruck"/>
        <s v="FoodieGoneWrong"/>
        <s v="HappySurprise"/>
        <s v="AcceptanceSeeker"/>
        <s v="PetAdorer"/>
        <s v="AdventureAwaits"/>
        <s v="LearnFromBitter"/>
        <s v="ZenMaster"/>
        <s v="ConfusedMind"/>
        <s v="VacationDreamer"/>
        <s v="KindnessPrevails"/>
        <s v="PersonalAchiever"/>
        <s v="ReflectiveSelf"/>
        <s v="AngryDebater"/>
        <s v="FearfulDreamer"/>
        <s v="FarewellHeart"/>
        <s v="AntiCorruption"/>
        <s v="NewParentJoy"/>
        <s v="StandUpFan"/>
        <s v="LoveSender"/>
        <s v="PetAmuser"/>
        <s v="TravelExplorer"/>
        <s v="CharityAdmirer"/>
        <s v="FamilyLover"/>
        <s v="Stargazer"/>
        <s v="ProjectStruggle"/>
        <s v="JoyfulReunion"/>
        <s v="LifeAcceptance"/>
        <s v="PuppyAdmirer"/>
        <s v="MovieBuff2"/>
        <s v="CustomerWoes"/>
        <s v="CalmSoul"/>
        <s v="ConfusedMind2"/>
        <s v="BirthdayExcite"/>
        <s v="KindnessObserver"/>
        <s v="FitAchiever"/>
        <s v="ReflectiveSelf2"/>
        <s v="DiversityLover"/>
        <s v="BookwormJoy"/>
        <s v="WorkplaceWoes"/>
        <s v="MindfulMe"/>
        <s v="ConfusedMind3"/>
        <s v="RoadTripper2"/>
        <s v="KindnessPrevails2"/>
        <s v="GoalAchiever"/>
        <s v="ReflectiveSelf3"/>
        <s v="NostalgiaFan"/>
        <s v="SportsFanatic"/>
        <s v="NatureLover2"/>
        <s v="ZenMaster2"/>
        <s v="ThankfulHeart"/>
        <s v="OptimisticSoul"/>
        <s v="CommunityLeader"/>
        <s v="CharitySupporter"/>
        <s v="LovingHeart"/>
        <s v="ExcitementFan"/>
        <s v="ProjectEnthusiast"/>
        <s v="MilestoneAchiever"/>
        <s v="HistoryLover"/>
        <s v="JoyfulReunion2"/>
        <s v="MusicEnthusiast"/>
        <s v="SimpleJoys"/>
        <s v="BookLover3"/>
        <s v="SupportiveFriend"/>
        <s v="JourneyOptimist"/>
        <s v="GrowthSeeker"/>
        <s v="HolidayHelper"/>
        <s v="WinterWarmth"/>
        <s v="CreativeSpirit"/>
        <s v="FitnessAchiever"/>
        <s v="ArtAppreciator"/>
        <s v="GoalAchiever2"/>
        <s v="UrbanExplorer2"/>
        <s v="BirthdayJoy"/>
        <s v="HomeChef"/>
        <s v="MusicLover4"/>
        <s v="CommunityLove"/>
        <s v="EntrepreneurHope"/>
        <s v="MentorEmpower"/>
        <s v="KindnessInAction"/>
        <s v="LoveExpress"/>
        <s v="TravelExcitement"/>
        <s v="ArtisticSpirit"/>
        <s v="HelperHeart"/>
        <s v="HistoryBuff"/>
        <s v="FitnessAchiever2"/>
        <s v="ProductLaunchJoy"/>
        <s v="LovingEmbrace"/>
        <s v="SunsetWatcher2"/>
        <s v="JoyfulHeart2"/>
        <s v="GrowthOptimist"/>
        <s v="SkillEmpower"/>
        <s v="CharityVolunteer"/>
        <s v="PetLove"/>
        <s v="FestivalFan"/>
        <s v="DIYEnthusiast"/>
        <s v="PuzzleMaster"/>
        <s v="ChildhoodJoy"/>
        <s v="StrugglingSoul"/>
        <s v="MourningHeart"/>
        <s v="SolitarySoul"/>
        <s v="EnviousObserver"/>
        <s v="BitterHeart"/>
        <s v="BlockedGoals"/>
        <s v="BoredMind"/>
        <s v="WorriedMind"/>
        <s v="FearfulSoul"/>
        <s v="OverwhelmedHeart"/>
        <s v="CovetousMind"/>
        <s v="RemorsefulSoul"/>
        <s v="DisgustedHeart"/>
        <s v="HopelessHeart"/>
        <s v="TearfulSoul"/>
        <s v="IsolatedMind"/>
        <s v="SelfDoubt"/>
        <s v="BrokenTrust"/>
        <s v="ExplosiveMind"/>
        <s v="MundaneHeart"/>
        <s v="RestlessMind"/>
        <s v="FearfulJourney"/>
        <s v="OverwhelmedSoul"/>
        <s v="GreenEyedMonster"/>
        <s v="RegretfulMind"/>
        <s v="CorruptedHeart"/>
        <s v="DrowningSoul"/>
        <s v="StormyHeart"/>
        <s v="EchoingSoul"/>
        <s v="PoisonedMind"/>
        <s v="UnforgivingSoul"/>
        <s v="ThunderingMind"/>
        <s v="StagnantHeart"/>
        <s v="InquisitiveMind"/>
        <s v="ApatheticObserver"/>
        <s v="SeekingClarity"/>
        <s v="EmotionallyDistant"/>
        <s v="SunsetDreamer"/>
        <s v="MemoryLaneTraveler"/>
        <s v="MixedFeelings"/>
        <s v="ZenLifestyle"/>
        <s v="ResilientSpirit"/>
        <s v="NatureSoul"/>
        <s v="EternalLearner"/>
        <s v="AloofObserver"/>
        <s v="ThoughtExplorer"/>
        <s v="StoicSoul"/>
        <s v="DreamerInSilence"/>
        <s v="JournalKeeper"/>
        <s v="ThreadWeaver"/>
        <s v="SelfLoveAdvocate"/>
        <s v="DreamChaser"/>
        <s v="OceanSoul"/>
        <s v="HorizonExplorer"/>
        <s v="NonchalantSpirit"/>
        <s v="ComplexThinker"/>
        <s v="ShieldedHeart"/>
        <s v="SymphonySoul"/>
        <s v="YearbookExplorer"/>
        <s v="DecisiveDilemma"/>
        <s v="ImperfectHarmony"/>
        <s v="VisionarySpirit"/>
        <s v="ForestDreamer"/>
        <s v="SilentSpectator"/>
        <s v="MazeNavigator"/>
        <s v="ResilientFortress"/>
        <s v="CanvasDreamer"/>
        <s v="DiaryExplorer"/>
        <s v="CrossroadsTraveler"/>
        <s v="MosaicDreamer"/>
        <s v="PathfinderSpirit"/>
        <s v="RaindropHarmony"/>
        <s v="SeekerOfUnknowns"/>
        <s v="NonchalantWanderer"/>
        <s v="ShadowedSeeker"/>
        <s v="TurbulentShield"/>
        <s v="WistfulPainter"/>
        <s v="TaleWeaver"/>
        <s v="CrossroadsExplorer"/>
        <s v="MosaicArtist"/>
        <s v="DreamSculptor"/>
        <s v="MoonlitSoul"/>
        <s v="FearlessExplorer"/>
        <s v="JoyfulDancer"/>
        <s v="SereneBasker"/>
        <s v="DreamPainter"/>
        <s v="OakAchiever"/>
        <s v="HeartGardener"/>
        <s v="CloudCaretaker"/>
        <s v="RainDancer"/>
        <s v="SkyPainter"/>
        <s v="PhoenixExplorer"/>
        <s v="SunriseNavigator"/>
        <s v="SandStrider"/>
        <s v="NightSerenader"/>
        <s v="KnowledgeSeeker"/>
        <s v="BreezeWaltzer"/>
        <s v="StarNavigator"/>
        <s v="MeadowSprinter"/>
        <s v="RainNurturer"/>
        <s v="PeakConqueror"/>
        <s v="DawnGardener"/>
        <s v="CarnivalDreamer"/>
        <s v="SkyArtist"/>
        <s v="RiverNavigator"/>
        <s v="LanternWanderer"/>
        <s v="DreamSoarer"/>
        <s v="SunsetAdmirer"/>
        <s v="DanceStrider"/>
        <s v="WindWhisperer"/>
        <s v="JugglingArtist"/>
        <s v="StarStoryteller"/>
        <s v="WaveNavigator"/>
        <s v="ShatteredHeart"/>
        <s v="VenomousSoul"/>
        <s v="DesertWanderer"/>
        <s v="ColdEmbrace"/>
        <s v="NightPrisoner"/>
        <s v="TightropeWalker"/>
        <s v="AtlasBearer"/>
        <s v="GreenMonster"/>
        <s v="StormSurvivor"/>
        <s v="PuzzleComposer"/>
        <s v="GildedHeartache"/>
        <s v="IndifferentFort"/>
        <s v="DreamMosaic"/>
        <s v="NocturnalEcho"/>
        <s v="DarkWhispers"/>
        <s v="LingeringTaste"/>
        <s v="TempestSurvivor"/>
        <s v="VenomousHeart"/>
        <s v="FragileTrust"/>
        <s v="BrokenThreads"/>
        <s v="SuccessPill"/>
        <s v="CurtainShield"/>
        <s v="FoggyLabyrinth"/>
        <s v="IcyResentment"/>
        <s v="SolitaryMoon"/>
        <s v="VanishedSunset"/>
        <s v="MazeExplorer"/>
        <s v="WoundedGarden"/>
        <s v="RuinedHeart"/>
        <s v="KnotUntangler"/>
        <s v="ElusiveKeys"/>
        <s v="GoalPursuer"/>
        <s v="MemoryLane"/>
        <s v="CultureEnthusiast"/>
        <s v="RainWatcher"/>
        <s v="PersonalJourney"/>
        <s v="LifeLearner"/>
        <s v="FarewellSender"/>
        <s v="HistoryExplorer"/>
        <s v="CraftEnthusiast"/>
        <s v="WinterLover"/>
        <s v="FitnessJunkie"/>
        <s v="CoffeeLover"/>
        <s v="HikingExplorer"/>
        <s v="KittyObserver"/>
        <s v="FriendshipRenewal"/>
        <s v="CelebrationPlanner"/>
        <s v="CommunityHelper"/>
        <s v="GardenEnthusiast"/>
        <s v="Wanderlust"/>
        <s v="ChildhoodMemories"/>
        <s v="CultureExplorer"/>
        <s v="PublicSpeaker"/>
        <s v="FamilyCelebration"/>
        <s v="LifelongLearner"/>
        <s v="CityExplorer"/>
        <s v="RainbowChaser"/>
        <s v="FutureOptimist"/>
        <s v="CareerAchiever"/>
        <s v="SunnyDayEnthusiast"/>
        <s v="ArchaeologyEnthusiast"/>
        <s v="NightSkyObserver"/>
        <s v="ArtConnoisseur"/>
        <s v="PlayfulParent"/>
        <s v="ZenSeeker"/>
        <s v="SkyDreamer"/>
        <s v="DanceEnthusiast"/>
        <s v="FairyTaleExplorer"/>
        <s v="RuinsExplorer"/>
        <s v="RollercoasterFan"/>
        <s v="MusicHarmonist"/>
        <s v="StudioArtist"/>
        <s v="SpringEnthusiast"/>
        <s v="CosmosExplorer"/>
        <s v="SeaBreezeLover"/>
        <s v="FamilyGatherer"/>
        <s v="CulinaryExplorer"/>
        <s v="PuzzleSolver"/>
        <s v="CathedralVisitor"/>
        <s v="CarnivalGoer"/>
        <s v="MindfulExplorer"/>
        <s v="CoastalExplorer"/>
        <s v="MasqueradeAttendee"/>
        <s v="FairyTaleAdventurer"/>
        <s v="ThrillSeeker"/>
        <s v="SnowfallEnthusiast"/>
        <s v="BreadLover"/>
        <s v="NatureResilient"/>
        <s v="FamilyHistorian"/>
        <s v="NightSkyWatcher"/>
        <s v="TeaEnthusiast"/>
        <s v="MarketExplorer"/>
        <s v="LakesideRetreater"/>
        <s v="LostInLove"/>
        <s v="SolitudeSeeker"/>
        <s v="FriendshipsEnd"/>
        <s v="LostInDarkness"/>
        <s v="SilentSufferer"/>
        <s v="StormyFeelings"/>
        <s v="LingeringGhost"/>
        <s v="EchoesOfLoss"/>
        <s v="WinterOfEmotions"/>
        <s v="ShatteredHopes"/>
        <s v="AbyssOfTime"/>
        <s v="SolitaryDescent"/>
        <s v="SerenadeOfSolitude"/>
        <s v="PoisonedHeart"/>
        <s v="WearySoulCrushed"/>
        <s v="StringsOfSorrow"/>
        <s v="SoulInShadow"/>
        <s v="WhisperedDespair"/>
        <s v="DreamsInWind"/>
        <s v="DreamEchoes"/>
        <s v="RemorseWalker"/>
        <s v="JoyLabyrinth"/>
        <s v="SolitudeSeas"/>
        <s v="PalateStainer"/>
        <s v="HopeRuins"/>
        <s v="OceanSinker"/>
        <s v="InkJournalist"/>
        <s v="TrustWasteland"/>
        <s v="DreamTightrope"/>
        <s v="EchoedLaughter"/>
        <s v="PossibilityGhost"/>
        <s v="EndlessLabyrinth"/>
        <s v="RiverOfSorrow"/>
        <s v="DreamGardener"/>
        <s v="CurrencyOfTears"/>
        <s v="MazeWanderer"/>
        <s v="StormSeeker"/>
        <s v="TapestrySorrow"/>
        <s v="WitheredRose"/>
        <s v="LoveSongEcho"/>
        <s v="MoonlitMemories"/>
        <s v="SymphonyOfTears"/>
        <s v="VenomousGarden"/>
        <s v="QuicksandFighter"/>
        <s v="DreamCemetery"/>
        <s v="RegretRiver"/>
        <s v="HeartAttic"/>
        <s v="PromiseGallery"/>
        <s v="EchoedConversation"/>
        <s v="SunshineDancer"/>
        <s v="GardenOfJoy"/>
        <s v="StarSerenader"/>
        <s v="GlowAchiever"/>
        <s v="DanceHarmony"/>
        <s v="LaughterCup"/>
        <s v="QuiltedCompassion"/>
        <s v="FriendshipGarden"/>
        <s v="MelodyOfLove"/>
        <s v="ColorfulLaughter"/>
        <s v="SymphonyFervor"/>
        <s v="WrappedDelight"/>
        <s v="MazeDiscovery"/>
        <s v="CloudsOfBlessings"/>
        <s v="CometCreativity"/>
        <s v="FireworksTriumph"/>
        <s v="LaughterSymphony"/>
        <s v="EmotionCarnival"/>
        <s v="ParisDreamer"/>
        <s v="DisneylandExplorer"/>
        <s v="FerrariSpeedster"/>
        <s v="KeukenhofAdventurer"/>
        <s v="KyotoAdventurer"/>
        <s v="CanyonMarveler"/>
        <s v="SantoriniTraveler"/>
        <s v="PetraExplorer"/>
        <s v="VeniceRomantic"/>
        <s v="MachuPicchuAdventurer"/>
        <s v="TimesSquareExplorer"/>
        <s v="ColosseumAdventurer"/>
        <s v="MaldivesSailor"/>
        <s v="AmazonExplorer"/>
        <s v="GreatWallWalker"/>
        <s v="FujiSummitAchiever"/>
        <s v="AngkorWatAdventurer"/>
        <s v="AlpsSkiAdventurer"/>
        <s v="KyotoBambooSeeker"/>
        <s v="NorwayFjordExplorer"/>
        <s v="AdeleConcertGoer"/>
        <s v="BeyonceDancer"/>
        <s v="SwiftieDreamer"/>
        <s v="QueenTributeFan"/>
        <s v="SheeranMelodyLover"/>
        <s v="MarsJoyExplorer"/>
        <s v="MJTributeDancer"/>
        <s v="SinatraCharmListener"/>
        <s v="MetallicaMoshWarrior"/>
        <s v="ColdplayHopeSeeker"/>
        <s v="BieberDanceEnthusiast"/>
        <s v="GagaArtisticChameleon"/>
        <s v="AdeleMelodyTearjerker"/>
        <s v="KatyPerryColorExplosion"/>
        <s v="JayZEmpireListener"/>
        <s v="ShakiraHipsDancer"/>
        <s v="U2ConnectionSeeker"/>
        <s v="GunsNRosesRiffRockstar"/>
        <s v="ArianaEuphoriaChaser"/>
        <s v="MarleyReggaeTraveler"/>
        <s v="MovieEnthusiastPremiereAttendee"/>
        <s v="FilmLoverNostalgiaSeeker"/>
        <s v="WebSeriesViewerCharacterConnection"/>
        <s v="IndieFilmmakerFestivalSuccess"/>
        <s v="DramaEnthusiastHeartwarmingMoments"/>
        <s v="AwardWinningActorOscarsRecipient"/>
        <s v="DocumentaryEnthusiastHiddenGemFinder"/>
        <s v="FilmBuffContemplativeViewer"/>
        <s v="CrimeSeriesEnthusiastThrillSeeker"/>
        <s v="FilmCriticSatisfactionSeeker"/>
        <s v="FootballFanWorldCupCelebration"/>
        <s v="OlympicsEnthusiastGoldMedalWinner"/>
        <s v="CricketFanChampionshipThrills"/>
        <s v="MarathonSpectatorRecordBreaking"/>
        <s v="TennisEnthusiastGrandSlamDrama"/>
        <s v="BasketballFanUnderdogTriumph"/>
        <s v="GolfEnthusiastPrecisionVictory"/>
        <s v="F1FanHighSpeedRaceExcitement"/>
        <s v="CyclingEnthusiastWorldChampion"/>
        <s v="HockeyFanComebackVictory"/>
        <s v="SoccerFanTeamDefeats"/>
        <s v="TennisEnthusiastUnexpectedSetback"/>
        <s v="BoxingFanChampionshipDefeat"/>
        <s v="CyclingEnthusiastTireBlowout"/>
        <s v="GymnasticsFanRoutineFall"/>
        <s v="GolfEnthusiastMissedPutt"/>
        <s v="BasketballFanTeamLosses"/>
        <s v="SwimmingEnthusiastRaceSetback"/>
        <s v="WeightliftingFanFailedRecord"/>
        <s v="SoccerPlayerOwnGoalMoment"/>
        <s v="NatureEnthusiastSunsetWonder"/>
        <s v="TravelEnthusiastRoadTripDiscovery"/>
        <s v="UrbanExplorerCafeSolitude"/>
        <s v="ArtEnthusiastStreetArtExploration"/>
        <s v="ScienceEnthusiastDiscoveryMoment"/>
        <s v="MusicLoverLiveOrchestraExperience"/>
        <s v="HomeBakerDeliciousMemories"/>
        <s v="HistoryBuffMuseumExploration"/>
        <s v="BookwormCaptivatingNovelEscape"/>
        <s v="PhotographyEnthusiastMarketMoments"/>
        <s v="DanceEnthusiastCityNightPerformance"/>
        <s v="FoodieMarketStreetFoodExploration"/>
        <s v="SnowLoverWinterEnthusiast"/>
        <s v="MysteryBookwormSuspensefulRead"/>
        <s v="GardeningEnthusiastFlowerGarden"/>
        <s v="AstronomyEnthusiastStargazing"/>
        <s v="CoffeeLoverWritersRetreat"/>
        <s v="FashionEnthusiastDesignerShowcase"/>
        <s v="SurfingEnthusiastWaveRider"/>
        <s v="HistoryExplorerAncientCityTour"/>
        <s v="CrushAvoider"/>
        <s v="SelfieAddict"/>
        <s v="AudioExplorer"/>
        <s v="MemeCreator"/>
        <s v="FashionBlunder"/>
        <s v="GroupGenius"/>
        <s v="ChipExplorer"/>
        <s v="ExcitementSeeker"/>
        <s v="NightReader"/>
        <s v="LazyWatcher"/>
        <s v="TrendExplorer"/>
        <s v="MusicalExplorer"/>
        <s v="MusicAficionado"/>
        <s v="AdventureSeeker"/>
        <s v="NostalgiaExplorer"/>
        <s v="HomeDecorator"/>
        <s v="ThoughtfulBlogger"/>
        <s v="NovelEnthusiast"/>
        <s v="WiseSoul"/>
        <s v="ArtAdventurer"/>
        <s v="HomeChefSenior"/>
        <s v="LinguisticExplorer"/>
        <s v="MusicConnoisseur"/>
        <s v="PhotographySenior"/>
        <s v="TeaTimeSenior"/>
        <s v="RoadTripSenior"/>
        <s v="ChoirEnthusiast"/>
        <s v="MeditationSenior"/>
        <s v="WineConnoisseur"/>
        <s v="ArtisticSenior"/>
        <s v="MemoiristSenior"/>
        <s v="HistoryEnthusiast"/>
        <s v="FamilyChefSenior"/>
        <s v="NaturePhotographySenior"/>
        <s v="JazzMusicLover"/>
        <s v="SeniorWordsmith"/>
        <s v="SoloAdventurer"/>
        <s v="CarEnthusiastSenior"/>
        <s v="GreenThumbSenior"/>
        <s v="FamilyHostSenior"/>
        <s v="DanceEnthusiastSenior"/>
        <s v="ArtGalleryVisitor"/>
        <s v="SeniorBookClub"/>
        <s v="SeniorPicnicHost"/>
        <s v="SeniorActor"/>
        <s v="SeniorHikerExplorer"/>
        <s v="SeniorPhotographerExhibitor"/>
        <s v="SeniorCyclingEnthusiast"/>
        <s v="SeniorWineConnoisseur"/>
        <s v="SeniorBallroomDancer"/>
        <s v="SeniorPaintingOrganizer"/>
        <s v="SeniorMemoriesHost"/>
        <s v="SeniorStargazer"/>
        <s v="SeniorJazzFestivalGoer"/>
        <s v="WisdomBloggerSenior"/>
        <s v="SeniorCharityRunner"/>
        <s v="PhysicsWhizHighSchool"/>
        <s v="CodeExplorerHighSchool"/>
        <s v="DebateWarriorHighSchool"/>
        <s v="PhotoClubHighSchool"/>
        <s v="PromDreamerHighSchool"/>
        <s v="OutdoorClassHighSchool"/>
        <s v="PaintSpillHighSchool"/>
        <s v="SkateProHighSchool"/>
        <s v="KpopFangirlHighSchool"/>
        <s v="ChemistryWizardHighSchool"/>
        <s v="BirthdayPartyPlannerHighSchool"/>
        <s v="DramaClubStarHighSchool"/>
        <s v="FantasyBookNerdHighSchool"/>
        <s v="DoodleMasterHighSchool"/>
        <s v="HandstandChallengeHighSchool"/>
        <s v="SnackSmugglerHighSchool"/>
        <s v="SleepoverHostHighSchool"/>
        <s v="TikTokFailHighSchool"/>
        <s v="SocialMediaBlunderHighSchool"/>
        <s v="CrushFailHighSchool"/>
        <s v="PaperPlaneExpertHighSchool"/>
        <s v="JugglingProHighSchool"/>
        <s v="SnackNinjaHighSchool"/>
        <s v="ScavengerHuntMasterHighSchool"/>
        <s v="RainDanceCelebrationHighSchool"/>
        <s v="GroupChatBlunderHighSchool"/>
        <s v="MagicFailHighSchool"/>
        <s v="OrigamiProHighSchool"/>
        <s v="HackySackChampionHighSchool"/>
        <s v="SecretHandshakeHighSchool"/>
        <s v="BurgerQuestHighSchool"/>
        <s v="ComedyGeniusHighSchool"/>
        <s v="LoveLetterBlunderHighSchool"/>
        <s v="ScienceExperimentProHighSchool"/>
        <s v="BraceletCraftsmanHighSchool"/>
        <s v="CartwheelMasterHighSchool"/>
        <s v="MovieMarathonHostHighSchool"/>
        <s v="HairColorExperimentHighSchool"/>
        <s v="TimeCapsuleCreatorHighSchool"/>
        <s v="ClassroomBlunderHighSchool"/>
        <s v="SmoothieConnoisseurHighSchool"/>
        <s v="OverwhelmedHighSchoolStudent"/>
        <s v="DealingWithHateHighSchool"/>
        <s v="ToughDayHighSchool"/>
        <s v="SportsTeamRejectionHighSchool"/>
        <s v="CafeteriaConflictHighSchool"/>
        <s v="ProjectGradeDisappointmentHighSchool"/>
        <s v="PersonalSetbackHighSchool"/>
        <s v="LonelySaturdayHighSchool"/>
        <s v="CyberbullyingVictimHighSchool"/>
        <s v="RainyDayBluesHighSchool"/>
        <s v="MissedOpportunityHighSchool"/>
        <s v="RumorVictimHighSchool"/>
        <s v="FlatTireWoesHighSchool"/>
        <s v="FriendMovingAwayHighSchool"/>
        <s v="CollegeRejectionHighSchool"/>
        <s v="GamingToxicityHighSchool"/>
        <s v="BadHairDayBluesHighSchool"/>
        <s v="ProjectFailureDespairHighSchool"/>
        <s v="OpinionsHateHighSchool"/>
        <s v="TechMalfunctionWoesHighSchool"/>
        <s v="MissedEventBluesHighSchool"/>
        <s v="StudyTechniqueExperimentHighSchool"/>
        <s v="CommunityCleanupHighSchool"/>
        <s v="BookRecommendationsHighSchool"/>
        <s v="BakeSaleRecipeExperimentHighSchool"/>
        <s v="SchoolProjectCollaborationHighSchool"/>
        <s v="ExtracurricularExplorationHighSchool"/>
        <s v="PartTimeJobExplorationHighSchool"/>
        <s v="SchoolAssemblyParticipationHighSchool"/>
        <s v="PhotographyHobbyHighSchool"/>
        <s v="ScienceFairParticipationHighSchool"/>
        <s v="TimeManagementWorkshopHighSchool"/>
        <s v="CharityEventVolunteerHighSchool"/>
        <s v="GroupProjectCollaborationHighSchool"/>
        <s v="DebateClubParticipationHighSchool"/>
        <s v="BirthdaySurpriseHighSchool"/>
        <s v="CodingSuccessHighSchool"/>
        <s v="TalentShowSupportHighSchool"/>
        <s v="WeekendHikeHighSchool"/>
        <s v="SportsVictoryHighSchool"/>
        <s v="PenPalConnectionHighSchool"/>
        <s v="MuralCreationHighSchool"/>
        <s v="ArtExhibitionJoyHighSchool"/>
        <s v="TrackFieldSuccessHighSchool"/>
        <s v="ScienceProjectSuccessHighSchool"/>
        <s v="BirthdayPartyJoyHighSchool"/>
        <s v="CharityFundraisingTriumphHighSchool"/>
        <s v="MulticulturalFestivalJoyHighSchool"/>
        <s v="VirtualTalentShowSuccessHighSchool"/>
      </sharedItems>
    </cacheField>
    <cacheField name="Text(Post)" numFmtId="0">
      <sharedItems/>
    </cacheField>
    <cacheField name="Sentiment" numFmtId="0">
      <sharedItems/>
    </cacheField>
    <cacheField name="Timestamp" numFmtId="22">
      <sharedItems containsSemiMixedTypes="0" containsNonDate="0" containsDate="1" containsString="0" minDate="2010-05-15T15:30:00" maxDate="2023-10-22T20:45:00"/>
    </cacheField>
    <cacheField name="Platform" numFmtId="0">
      <sharedItems count="3">
        <s v="Twitter"/>
        <s v="Instagram"/>
        <s v="Facebook"/>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Engagement" numFmtId="0">
      <sharedItems containsSemiMixedTypes="0" containsString="0" containsNumber="1" containsInteger="1" minValue="15" maxValue="120"/>
    </cacheField>
    <cacheField name="Popularity" numFmtId="0">
      <sharedItems/>
    </cacheField>
    <cacheField name="High_Engagement" numFmtId="0">
      <sharedItems/>
    </cacheField>
    <cacheField name="Wide_Reach" numFmtId="0">
      <sharedItems/>
    </cacheField>
    <cacheField name="Time_Of_Day" numFmtId="0">
      <sharedItems/>
    </cacheField>
    <cacheField name="Continent " numFmtId="0">
      <sharedItems count="6">
        <s v="North America"/>
        <s v="Europe"/>
        <s v="Oceania"/>
        <s v="Asia"/>
        <s v="South America"/>
        <s v="Africa"/>
      </sharedItems>
    </cacheField>
    <cacheField name="Engagement_Ratio" numFmtId="165">
      <sharedItems containsSemiMixedTypes="0" containsString="0" containsNumber="1" minValue="1.75" maxValue="2.14285714285714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9.069999421299" createdVersion="5" refreshedVersion="8" minRefreshableVersion="3" recordCount="0" supportSubquery="1" supportAdvancedDrill="1" xr:uid="{1DB1D564-3ACE-400F-8A15-6B896F459F18}">
  <cacheSource type="external" connectionId="1"/>
  <cacheFields count="4">
    <cacheField name="[Measures].[_Avg Engagement Per Post Goal]" caption="_Avg Engagement Per Post Goal" numFmtId="0" hierarchy="32" level="32767"/>
    <cacheField name="[Measures].[_Avg Engagement Per Post Status]" caption="_Avg Engagement Per Post Status" numFmtId="0" hierarchy="33" level="32767"/>
    <cacheField name="[Measures].[Avg Engagement Per Post]" caption="Avg Engagement Per Post" numFmtId="0" hierarchy="27" level="32767"/>
    <cacheField name="[Table1].[Platform].[Platform]" caption="Platform" numFmtId="0" hierarchy="4" level="1">
      <sharedItems count="3">
        <s v="Facebook"/>
        <s v="Instagram"/>
        <s v="Twitter"/>
      </sharedItems>
    </cacheField>
  </cacheFields>
  <cacheHierarchies count="34">
    <cacheHierarchy uniqueName="[Table1].[User]" caption="User" attribute="1" defaultMemberUniqueName="[Table1].[User].[All]" allUniqueName="[Table1].[User].[All]" dimensionUniqueName="[Table1]" displayFolder="" count="0" memberValueDatatype="130" unbalanced="0"/>
    <cacheHierarchy uniqueName="[Table1].[Text(Post)]" caption="Text(Post)" attribute="1" defaultMemberUniqueName="[Table1].[Text(Post)].[All]" allUniqueName="[Table1].[Text(Post)].[All]" dimensionUniqueName="[Table1]" displayFolder="" count="0" memberValueDatatype="130" unbalanced="0"/>
    <cacheHierarchy uniqueName="[Table1].[Sentiment]" caption="Sentiment" attribute="1" defaultMemberUniqueName="[Table1].[Sentiment].[All]" allUniqueName="[Table1].[Sentiment].[All]" dimensionUniqueName="[Table1]" displayFolder="" count="0" memberValueDatatype="130" unbalanced="0"/>
    <cacheHierarchy uniqueName="[Table1].[Timestamp]" caption="Timestamp" attribute="1" time="1" defaultMemberUniqueName="[Table1].[Timestamp].[All]" allUniqueName="[Table1].[Timestamp].[All]" dimensionUniqueName="[Table1]" displayFolder="" count="0" memberValueDatatype="7" unbalanced="0"/>
    <cacheHierarchy uniqueName="[Table1].[Platform]" caption="Platform" attribute="1" defaultMemberUniqueName="[Table1].[Platform].[All]" allUniqueName="[Table1].[Platform].[All]" dimensionUniqueName="[Table1]" displayFolder="" count="2" memberValueDatatype="130" unbalanced="0">
      <fieldsUsage count="2">
        <fieldUsage x="-1"/>
        <fieldUsage x="3"/>
      </fieldsUsage>
    </cacheHierarchy>
    <cacheHierarchy uniqueName="[Table1].[Hashtags]" caption="Hashtags" attribute="1" defaultMemberUniqueName="[Table1].[Hashtags].[All]" allUniqueName="[Table1].[Hashtags].[All]" dimensionUniqueName="[Table1]" displayFolder="" count="0" memberValueDatatype="130" unbalanced="0"/>
    <cacheHierarchy uniqueName="[Table1].[Retweets]" caption="Retweets" attribute="1" defaultMemberUniqueName="[Table1].[Retweets].[All]" allUniqueName="[Table1].[Retweets].[All]" dimensionUniqueName="[Table1]" displayFolder="" count="0" memberValueDatatype="20" unbalanced="0"/>
    <cacheHierarchy uniqueName="[Table1].[Likes]" caption="Likes" attribute="1" defaultMemberUniqueName="[Table1].[Likes].[All]" allUniqueName="[Table1].[Lik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ur]" caption="Hour" attribute="1" defaultMemberUniqueName="[Table1].[Hour].[All]" allUniqueName="[Table1].[Hour].[All]" dimensionUniqueName="[Table1]" displayFolder="" count="0" memberValueDatatype="20" unbalanced="0"/>
    <cacheHierarchy uniqueName="[Table1].[Engagement]" caption="Engagement" attribute="1" defaultMemberUniqueName="[Table1].[Engagement].[All]" allUniqueName="[Table1].[Engagement].[All]" dimensionUniqueName="[Table1]" displayFolder="" count="0" memberValueDatatype="20" unbalanced="0"/>
    <cacheHierarchy uniqueName="[Table1].[Popularity]" caption="Popularity" attribute="1" defaultMemberUniqueName="[Table1].[Popularity].[All]" allUniqueName="[Table1].[Popularity].[All]" dimensionUniqueName="[Table1]" displayFolder="" count="0" memberValueDatatype="130" unbalanced="0"/>
    <cacheHierarchy uniqueName="[Table1].[High_Engagement]" caption="High_Engagement" attribute="1" defaultMemberUniqueName="[Table1].[High_Engagement].[All]" allUniqueName="[Table1].[High_Engagement].[All]" dimensionUniqueName="[Table1]" displayFolder="" count="0" memberValueDatatype="130" unbalanced="0"/>
    <cacheHierarchy uniqueName="[Table1].[Wide_Reach]" caption="Wide_Reach" attribute="1" defaultMemberUniqueName="[Table1].[Wide_Reach].[All]" allUniqueName="[Table1].[Wide_Reach].[All]" dimensionUniqueName="[Table1]" displayFolder="" count="0" memberValueDatatype="130" unbalanced="0"/>
    <cacheHierarchy uniqueName="[Table1].[Time_Of_Day]" caption="Time_Of_Day" attribute="1" defaultMemberUniqueName="[Table1].[Time_Of_Day].[All]" allUniqueName="[Table1].[Time_Of_Day].[All]" dimensionUniqueName="[Table1]" displayFolder="" count="0" memberValueDatatype="130" unbalanced="0"/>
    <cacheHierarchy uniqueName="[Table1].[Continent]" caption="Continent" attribute="1" defaultMemberUniqueName="[Table1].[Continent].[All]" allUniqueName="[Table1].[Continent].[All]" dimensionUniqueName="[Table1]" displayFolder="" count="0" memberValueDatatype="130" unbalanced="0"/>
    <cacheHierarchy uniqueName="[Table1].[Engagement_Ratio]" caption="Engagement_Ratio" attribute="1" defaultMemberUniqueName="[Table1].[Engagement_Ratio].[All]" allUniqueName="[Table1].[Engagement_Ratio].[All]" dimensionUniqueName="[Table1]" displayFolder="" count="0" memberValueDatatype="5" unbalanced="0"/>
    <cacheHierarchy uniqueName="[Measures].[Total Post]" caption="Total Post" measure="1" displayFolder="" measureGroup="Table1" count="0"/>
    <cacheHierarchy uniqueName="[Measures].[Positive Posts]" caption="Positive Posts" measure="1" displayFolder="" measureGroup="Table1" count="0"/>
    <cacheHierarchy uniqueName="[Measures].[Negative Posts]" caption="Negative Posts" measure="1" displayFolder="" measureGroup="Table1" count="0"/>
    <cacheHierarchy uniqueName="[Measures].[Target Positive Rate]" caption="Target Positive Rate" measure="1" displayFolder="" measureGroup="Table1" count="0"/>
    <cacheHierarchy uniqueName="[Measures].[Total Engagement]" caption="Total Engagement" measure="1" displayFolder="" measureGroup="Table1" count="0"/>
    <cacheHierarchy uniqueName="[Measures].[Target Engagement]" caption="Target Engagement" measure="1" displayFolder="" measureGroup="Table1" count="0"/>
    <cacheHierarchy uniqueName="[Measures].[Positive Post %]" caption="Positive Post %" measure="1" displayFolder="" measureGroup="Table1" count="0"/>
    <cacheHierarchy uniqueName="[Measures].[Avg Engagement Per Post]" caption="Avg Engagement Per Post"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Positive Post % Goal]" caption="_Positive Post % Goal" measure="1" displayFolder="" measureGroup="Table1" count="0" hidden="1"/>
    <cacheHierarchy uniqueName="[Measures].[_Positive Post % Status]" caption="_Positive Post % Status" measure="1" iconSet="6" displayFolder="" measureGroup="Table1" count="0" hidden="1"/>
    <cacheHierarchy uniqueName="[Measures].[_Avg Engagement Per Post Goal]" caption="_Avg Engagement Per Post Goal" measure="1" displayFolder="" measureGroup="Table1" count="0" oneField="1" hidden="1">
      <fieldsUsage count="1">
        <fieldUsage x="0"/>
      </fieldsUsage>
    </cacheHierarchy>
    <cacheHierarchy uniqueName="[Measures].[_Avg Engagement Per Post Status]" caption="_Avg Engagement Per Post Status" measure="1" iconSet="6" displayFolder="" measureGroup="Table1" count="0" oneField="1" hidden="1">
      <fieldsUsage count="1">
        <fieldUsage x="1"/>
      </fieldsUsage>
    </cacheHierarchy>
  </cacheHierarchies>
  <kpis count="2">
    <kpi uniqueName="Positive Post %" caption="Positive Post %" displayFolder="" measureGroup="Table1" parent="" value="[Measures].[Positive Post %]" goal="[Measures].[_Positive Post % Goal]" status="[Measures].[_Positive Post % Status]" trend="" weight=""/>
    <kpi uniqueName="Avg Engagement Per Post" caption="Avg Engagement Per Post" displayFolder="" measureGroup="Table1" parent="" value="[Measures].[Avg Engagement Per Post]" goal="[Measures].[_Avg Engagement Per Post Goal]" status="[Measures].[_Avg Engagement Per Pos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9.071309259256" createdVersion="5" refreshedVersion="8" minRefreshableVersion="3" recordCount="0" supportSubquery="1" supportAdvancedDrill="1" xr:uid="{D5120367-56F0-4B6D-8D49-07AE055164AB}">
  <cacheSource type="external" connectionId="1"/>
  <cacheFields count="4">
    <cacheField name="[Measures].[_Avg Engagement Per Post Goal]" caption="_Avg Engagement Per Post Goal" numFmtId="0" hierarchy="32" level="32767"/>
    <cacheField name="[Measures].[_Avg Engagement Per Post Status]" caption="_Avg Engagement Per Post Status" numFmtId="0" hierarchy="33" level="32767"/>
    <cacheField name="[Measures].[Avg Engagement Per Post]" caption="Avg Engagement Per Post" numFmtId="0" hierarchy="27" level="32767"/>
    <cacheField name="[Table1].[Month].[Month]" caption="Month" numFmtId="0" hierarchy="1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s>
  <cacheHierarchies count="34">
    <cacheHierarchy uniqueName="[Table1].[User]" caption="User" attribute="1" defaultMemberUniqueName="[Table1].[User].[All]" allUniqueName="[Table1].[User].[All]" dimensionUniqueName="[Table1]" displayFolder="" count="0" memberValueDatatype="130" unbalanced="0"/>
    <cacheHierarchy uniqueName="[Table1].[Text(Post)]" caption="Text(Post)" attribute="1" defaultMemberUniqueName="[Table1].[Text(Post)].[All]" allUniqueName="[Table1].[Text(Post)].[All]" dimensionUniqueName="[Table1]" displayFolder="" count="0" memberValueDatatype="130" unbalanced="0"/>
    <cacheHierarchy uniqueName="[Table1].[Sentiment]" caption="Sentiment" attribute="1" defaultMemberUniqueName="[Table1].[Sentiment].[All]" allUniqueName="[Table1].[Sentiment].[All]" dimensionUniqueName="[Table1]" displayFolder="" count="0" memberValueDatatype="130" unbalanced="0"/>
    <cacheHierarchy uniqueName="[Table1].[Timestamp]" caption="Timestamp" attribute="1" time="1" defaultMemberUniqueName="[Table1].[Timestamp].[All]" allUniqueName="[Table1].[Timestamp].[All]" dimensionUniqueName="[Table1]" displayFolder="" count="0" memberValueDatatype="7" unbalanced="0"/>
    <cacheHierarchy uniqueName="[Table1].[Platform]" caption="Platform" attribute="1" defaultMemberUniqueName="[Table1].[Platform].[All]" allUniqueName="[Table1].[Platform].[All]" dimensionUniqueName="[Table1]" displayFolder="" count="2" memberValueDatatype="130" unbalanced="0"/>
    <cacheHierarchy uniqueName="[Table1].[Hashtags]" caption="Hashtags" attribute="1" defaultMemberUniqueName="[Table1].[Hashtags].[All]" allUniqueName="[Table1].[Hashtags].[All]" dimensionUniqueName="[Table1]" displayFolder="" count="0" memberValueDatatype="130" unbalanced="0"/>
    <cacheHierarchy uniqueName="[Table1].[Retweets]" caption="Retweets" attribute="1" defaultMemberUniqueName="[Table1].[Retweets].[All]" allUniqueName="[Table1].[Retweets].[All]" dimensionUniqueName="[Table1]" displayFolder="" count="0" memberValueDatatype="20" unbalanced="0"/>
    <cacheHierarchy uniqueName="[Table1].[Likes]" caption="Likes" attribute="1" defaultMemberUniqueName="[Table1].[Likes].[All]" allUniqueName="[Table1].[Lik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2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Hour]" caption="Hour" attribute="1" defaultMemberUniqueName="[Table1].[Hour].[All]" allUniqueName="[Table1].[Hour].[All]" dimensionUniqueName="[Table1]" displayFolder="" count="0" memberValueDatatype="20" unbalanced="0"/>
    <cacheHierarchy uniqueName="[Table1].[Engagement]" caption="Engagement" attribute="1" defaultMemberUniqueName="[Table1].[Engagement].[All]" allUniqueName="[Table1].[Engagement].[All]" dimensionUniqueName="[Table1]" displayFolder="" count="0" memberValueDatatype="20" unbalanced="0"/>
    <cacheHierarchy uniqueName="[Table1].[Popularity]" caption="Popularity" attribute="1" defaultMemberUniqueName="[Table1].[Popularity].[All]" allUniqueName="[Table1].[Popularity].[All]" dimensionUniqueName="[Table1]" displayFolder="" count="0" memberValueDatatype="130" unbalanced="0"/>
    <cacheHierarchy uniqueName="[Table1].[High_Engagement]" caption="High_Engagement" attribute="1" defaultMemberUniqueName="[Table1].[High_Engagement].[All]" allUniqueName="[Table1].[High_Engagement].[All]" dimensionUniqueName="[Table1]" displayFolder="" count="0" memberValueDatatype="130" unbalanced="0"/>
    <cacheHierarchy uniqueName="[Table1].[Wide_Reach]" caption="Wide_Reach" attribute="1" defaultMemberUniqueName="[Table1].[Wide_Reach].[All]" allUniqueName="[Table1].[Wide_Reach].[All]" dimensionUniqueName="[Table1]" displayFolder="" count="0" memberValueDatatype="130" unbalanced="0"/>
    <cacheHierarchy uniqueName="[Table1].[Time_Of_Day]" caption="Time_Of_Day" attribute="1" defaultMemberUniqueName="[Table1].[Time_Of_Day].[All]" allUniqueName="[Table1].[Time_Of_Day].[All]" dimensionUniqueName="[Table1]" displayFolder="" count="0" memberValueDatatype="130" unbalanced="0"/>
    <cacheHierarchy uniqueName="[Table1].[Continent]" caption="Continent" attribute="1" defaultMemberUniqueName="[Table1].[Continent].[All]" allUniqueName="[Table1].[Continent].[All]" dimensionUniqueName="[Table1]" displayFolder="" count="0" memberValueDatatype="130" unbalanced="0"/>
    <cacheHierarchy uniqueName="[Table1].[Engagement_Ratio]" caption="Engagement_Ratio" attribute="1" defaultMemberUniqueName="[Table1].[Engagement_Ratio].[All]" allUniqueName="[Table1].[Engagement_Ratio].[All]" dimensionUniqueName="[Table1]" displayFolder="" count="0" memberValueDatatype="5" unbalanced="0"/>
    <cacheHierarchy uniqueName="[Measures].[Total Post]" caption="Total Post" measure="1" displayFolder="" measureGroup="Table1" count="0"/>
    <cacheHierarchy uniqueName="[Measures].[Positive Posts]" caption="Positive Posts" measure="1" displayFolder="" measureGroup="Table1" count="0"/>
    <cacheHierarchy uniqueName="[Measures].[Negative Posts]" caption="Negative Posts" measure="1" displayFolder="" measureGroup="Table1" count="0"/>
    <cacheHierarchy uniqueName="[Measures].[Target Positive Rate]" caption="Target Positive Rate" measure="1" displayFolder="" measureGroup="Table1" count="0"/>
    <cacheHierarchy uniqueName="[Measures].[Total Engagement]" caption="Total Engagement" measure="1" displayFolder="" measureGroup="Table1" count="0"/>
    <cacheHierarchy uniqueName="[Measures].[Target Engagement]" caption="Target Engagement" measure="1" displayFolder="" measureGroup="Table1" count="0"/>
    <cacheHierarchy uniqueName="[Measures].[Positive Post %]" caption="Positive Post %" measure="1" displayFolder="" measureGroup="Table1" count="0"/>
    <cacheHierarchy uniqueName="[Measures].[Avg Engagement Per Post]" caption="Avg Engagement Per Post"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Positive Post % Goal]" caption="_Positive Post % Goal" measure="1" displayFolder="" measureGroup="Table1" count="0" hidden="1"/>
    <cacheHierarchy uniqueName="[Measures].[_Positive Post % Status]" caption="_Positive Post % Status" measure="1" iconSet="6" displayFolder="" measureGroup="Table1" count="0" hidden="1"/>
    <cacheHierarchy uniqueName="[Measures].[_Avg Engagement Per Post Goal]" caption="_Avg Engagement Per Post Goal" measure="1" displayFolder="" measureGroup="Table1" count="0" oneField="1" hidden="1">
      <fieldsUsage count="1">
        <fieldUsage x="0"/>
      </fieldsUsage>
    </cacheHierarchy>
    <cacheHierarchy uniqueName="[Measures].[_Avg Engagement Per Post Status]" caption="_Avg Engagement Per Post Status" measure="1" iconSet="6" displayFolder="" measureGroup="Table1" count="0" oneField="1" hidden="1">
      <fieldsUsage count="1">
        <fieldUsage x="1"/>
      </fieldsUsage>
    </cacheHierarchy>
  </cacheHierarchies>
  <kpis count="2">
    <kpi uniqueName="Positive Post %" caption="Positive Post %" displayFolder="" measureGroup="Table1" parent="" value="[Measures].[Positive Post %]" goal="[Measures].[_Positive Post % Goal]" status="[Measures].[_Positive Post % Status]" trend="" weight=""/>
    <kpi uniqueName="Avg Engagement Per Post" caption="Avg Engagement Per Post" displayFolder="" measureGroup="Table1" parent="" value="[Measures].[Avg Engagement Per Post]" goal="[Measures].[_Avg Engagement Per Post Goal]" status="[Measures].[_Avg Engagement Per Pos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7524224537" createdVersion="5" refreshedVersion="8" minRefreshableVersion="3" recordCount="0" supportSubquery="1" supportAdvancedDrill="1" xr:uid="{3FA9B3E4-0436-4546-90FF-A256A818A5E6}">
  <cacheSource type="external" connectionId="1"/>
  <cacheFields count="4">
    <cacheField name="[Table1].[Platform].[Platform]" caption="Platform" numFmtId="0" hierarchy="4" level="1">
      <sharedItems count="3">
        <s v="Facebook"/>
        <s v="Instagram"/>
        <s v="Twitter"/>
      </sharedItems>
    </cacheField>
    <cacheField name="[Measures].[Positive Post %]" caption="Positive Post %" numFmtId="0" hierarchy="26" level="32767"/>
    <cacheField name="[Measures].[_Positive Post % Status]" caption="_Positive Post % Status" numFmtId="0" hierarchy="31" level="32767"/>
    <cacheField name="[Measures].[_Positive Post % Goal]" caption="_Positive Post % Goal" numFmtId="0" hierarchy="30" level="32767"/>
  </cacheFields>
  <cacheHierarchies count="34">
    <cacheHierarchy uniqueName="[Table1].[User]" caption="User" attribute="1" defaultMemberUniqueName="[Table1].[User].[All]" allUniqueName="[Table1].[User].[All]" dimensionUniqueName="[Table1]" displayFolder="" count="0" memberValueDatatype="130" unbalanced="0"/>
    <cacheHierarchy uniqueName="[Table1].[Text(Post)]" caption="Text(Post)" attribute="1" defaultMemberUniqueName="[Table1].[Text(Post)].[All]" allUniqueName="[Table1].[Text(Post)].[All]" dimensionUniqueName="[Table1]" displayFolder="" count="0" memberValueDatatype="130" unbalanced="0"/>
    <cacheHierarchy uniqueName="[Table1].[Sentiment]" caption="Sentiment" attribute="1" defaultMemberUniqueName="[Table1].[Sentiment].[All]" allUniqueName="[Table1].[Sentiment].[All]" dimensionUniqueName="[Table1]" displayFolder="" count="0" memberValueDatatype="130" unbalanced="0"/>
    <cacheHierarchy uniqueName="[Table1].[Timestamp]" caption="Timestamp" attribute="1" time="1" defaultMemberUniqueName="[Table1].[Timestamp].[All]" allUniqueName="[Table1].[Timestamp].[All]" dimensionUniqueName="[Table1]" displayFolder="" count="0" memberValueDatatype="7" unbalanced="0"/>
    <cacheHierarchy uniqueName="[Table1].[Platform]" caption="Platform" attribute="1" defaultMemberUniqueName="[Table1].[Platform].[All]" allUniqueName="[Table1].[Platform].[All]" dimensionUniqueName="[Table1]" displayFolder="" count="2" memberValueDatatype="130" unbalanced="0">
      <fieldsUsage count="2">
        <fieldUsage x="-1"/>
        <fieldUsage x="0"/>
      </fieldsUsage>
    </cacheHierarchy>
    <cacheHierarchy uniqueName="[Table1].[Hashtags]" caption="Hashtags" attribute="1" defaultMemberUniqueName="[Table1].[Hashtags].[All]" allUniqueName="[Table1].[Hashtags].[All]" dimensionUniqueName="[Table1]" displayFolder="" count="0" memberValueDatatype="130" unbalanced="0"/>
    <cacheHierarchy uniqueName="[Table1].[Retweets]" caption="Retweets" attribute="1" defaultMemberUniqueName="[Table1].[Retweets].[All]" allUniqueName="[Table1].[Retweets].[All]" dimensionUniqueName="[Table1]" displayFolder="" count="0" memberValueDatatype="20" unbalanced="0"/>
    <cacheHierarchy uniqueName="[Table1].[Likes]" caption="Likes" attribute="1" defaultMemberUniqueName="[Table1].[Likes].[All]" allUniqueName="[Table1].[Lik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ur]" caption="Hour" attribute="1" defaultMemberUniqueName="[Table1].[Hour].[All]" allUniqueName="[Table1].[Hour].[All]" dimensionUniqueName="[Table1]" displayFolder="" count="0" memberValueDatatype="20" unbalanced="0"/>
    <cacheHierarchy uniqueName="[Table1].[Engagement]" caption="Engagement" attribute="1" defaultMemberUniqueName="[Table1].[Engagement].[All]" allUniqueName="[Table1].[Engagement].[All]" dimensionUniqueName="[Table1]" displayFolder="" count="0" memberValueDatatype="20" unbalanced="0"/>
    <cacheHierarchy uniqueName="[Table1].[Popularity]" caption="Popularity" attribute="1" defaultMemberUniqueName="[Table1].[Popularity].[All]" allUniqueName="[Table1].[Popularity].[All]" dimensionUniqueName="[Table1]" displayFolder="" count="0" memberValueDatatype="130" unbalanced="0"/>
    <cacheHierarchy uniqueName="[Table1].[High_Engagement]" caption="High_Engagement" attribute="1" defaultMemberUniqueName="[Table1].[High_Engagement].[All]" allUniqueName="[Table1].[High_Engagement].[All]" dimensionUniqueName="[Table1]" displayFolder="" count="0" memberValueDatatype="130" unbalanced="0"/>
    <cacheHierarchy uniqueName="[Table1].[Wide_Reach]" caption="Wide_Reach" attribute="1" defaultMemberUniqueName="[Table1].[Wide_Reach].[All]" allUniqueName="[Table1].[Wide_Reach].[All]" dimensionUniqueName="[Table1]" displayFolder="" count="0" memberValueDatatype="130" unbalanced="0"/>
    <cacheHierarchy uniqueName="[Table1].[Time_Of_Day]" caption="Time_Of_Day" attribute="1" defaultMemberUniqueName="[Table1].[Time_Of_Day].[All]" allUniqueName="[Table1].[Time_Of_Day].[All]" dimensionUniqueName="[Table1]" displayFolder="" count="0" memberValueDatatype="130" unbalanced="0"/>
    <cacheHierarchy uniqueName="[Table1].[Continent]" caption="Continent" attribute="1" defaultMemberUniqueName="[Table1].[Continent].[All]" allUniqueName="[Table1].[Continent].[All]" dimensionUniqueName="[Table1]" displayFolder="" count="0" memberValueDatatype="130" unbalanced="0"/>
    <cacheHierarchy uniqueName="[Table1].[Engagement_Ratio]" caption="Engagement_Ratio" attribute="1" defaultMemberUniqueName="[Table1].[Engagement_Ratio].[All]" allUniqueName="[Table1].[Engagement_Ratio].[All]" dimensionUniqueName="[Table1]" displayFolder="" count="0" memberValueDatatype="5" unbalanced="0"/>
    <cacheHierarchy uniqueName="[Measures].[Total Post]" caption="Total Post" measure="1" displayFolder="" measureGroup="Table1" count="0"/>
    <cacheHierarchy uniqueName="[Measures].[Positive Posts]" caption="Positive Posts" measure="1" displayFolder="" measureGroup="Table1" count="0"/>
    <cacheHierarchy uniqueName="[Measures].[Negative Posts]" caption="Negative Posts" measure="1" displayFolder="" measureGroup="Table1" count="0"/>
    <cacheHierarchy uniqueName="[Measures].[Target Positive Rate]" caption="Target Positive Rate" measure="1" displayFolder="" measureGroup="Table1" count="0"/>
    <cacheHierarchy uniqueName="[Measures].[Total Engagement]" caption="Total Engagement" measure="1" displayFolder="" measureGroup="Table1" count="0"/>
    <cacheHierarchy uniqueName="[Measures].[Target Engagement]" caption="Target Engagement" measure="1" displayFolder="" measureGroup="Table1" count="0"/>
    <cacheHierarchy uniqueName="[Measures].[Positive Post %]" caption="Positive Post %" measure="1" displayFolder="" measureGroup="Table1" count="0" oneField="1">
      <fieldsUsage count="1">
        <fieldUsage x="1"/>
      </fieldsUsage>
    </cacheHierarchy>
    <cacheHierarchy uniqueName="[Measures].[Avg Engagement Per Post]" caption="Avg Engagement Per P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Positive Post % Goal]" caption="_Positive Post % Goal" measure="1" displayFolder="" measureGroup="Table1" count="0" oneField="1" hidden="1">
      <fieldsUsage count="1">
        <fieldUsage x="3"/>
      </fieldsUsage>
    </cacheHierarchy>
    <cacheHierarchy uniqueName="[Measures].[_Positive Post % Status]" caption="_Positive Post % Status" measure="1" iconSet="6" displayFolder="" measureGroup="Table1" count="0" oneField="1" hidden="1">
      <fieldsUsage count="1">
        <fieldUsage x="2"/>
      </fieldsUsage>
    </cacheHierarchy>
    <cacheHierarchy uniqueName="[Measures].[_Avg Engagement Per Post Goal]" caption="_Avg Engagement Per Post Goal" measure="1" displayFolder="" measureGroup="Table1" count="0" hidden="1"/>
    <cacheHierarchy uniqueName="[Measures].[_Avg Engagement Per Post Status]" caption="_Avg Engagement Per Post Status" measure="1" iconSet="6" displayFolder="" measureGroup="Table1" count="0" hidden="1"/>
  </cacheHierarchies>
  <kpis count="2">
    <kpi uniqueName="Positive Post %" caption="Positive Post %" displayFolder="" measureGroup="Table1" parent="" value="[Measures].[Positive Post %]" goal="[Measures].[_Positive Post % Goal]" status="[Measures].[_Positive Post % Status]" trend="" weight=""/>
    <kpi uniqueName="Avg Engagement Per Post" caption="Avg Engagement Per Post" displayFolder="" measureGroup="Table1" parent="" value="[Measures].[Avg Engagement Per Post]" goal="[Measures].[_Avg Engagement Per Post Goal]" status="[Measures].[_Avg Engagement Per Post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s v="User123"/>
    <s v="Enjoying a beautiful day at the park!"/>
    <x v="0"/>
    <d v="2023-01-15T12:30:00"/>
    <x v="0"/>
    <s v=" #Nature #Park                            "/>
    <n v="15"/>
    <n v="30"/>
    <x v="0"/>
    <x v="0"/>
    <x v="0"/>
    <n v="15"/>
    <n v="12"/>
    <x v="0"/>
    <s v="Normal"/>
    <s v="No"/>
    <s v="Standard"/>
    <x v="0"/>
    <s v="North America"/>
    <n v="2"/>
  </r>
  <r>
    <n v="1"/>
    <s v="CommuterX"/>
    <s v="Traffic was terrible this morning."/>
    <x v="1"/>
    <d v="2023-01-15T08:45:00"/>
    <x v="0"/>
    <s v=" #Traffic #Morning                        "/>
    <n v="5"/>
    <n v="10"/>
    <x v="1"/>
    <x v="0"/>
    <x v="0"/>
    <n v="15"/>
    <n v="8"/>
    <x v="1"/>
    <s v="Normal"/>
    <s v="No"/>
    <s v="Standard"/>
    <x v="1"/>
    <s v="North America"/>
    <n v="2"/>
  </r>
  <r>
    <n v="2"/>
    <s v="FitnessFan"/>
    <s v="Just finished an amazing workout! ðŸ’ª"/>
    <x v="0"/>
    <d v="2023-01-15T15:45:00"/>
    <x v="1"/>
    <s v=" #Fitness #Workout                        "/>
    <n v="20"/>
    <n v="40"/>
    <x v="0"/>
    <x v="0"/>
    <x v="0"/>
    <n v="15"/>
    <n v="15"/>
    <x v="2"/>
    <s v="Normal"/>
    <s v="No"/>
    <s v="Standard"/>
    <x v="0"/>
    <s v="North America"/>
    <n v="2"/>
  </r>
  <r>
    <n v="3"/>
    <s v="AdventureX"/>
    <s v="Excited about the upcoming weekend getaway!"/>
    <x v="0"/>
    <d v="2023-01-15T18:20:00"/>
    <x v="2"/>
    <s v=" #Travel #Adventure                       "/>
    <n v="8"/>
    <n v="15"/>
    <x v="2"/>
    <x v="0"/>
    <x v="0"/>
    <n v="15"/>
    <n v="18"/>
    <x v="3"/>
    <s v="Normal"/>
    <s v="No"/>
    <s v="Standard"/>
    <x v="2"/>
    <s v="Europe"/>
    <n v="1.875"/>
  </r>
  <r>
    <n v="4"/>
    <s v="ChefCook"/>
    <s v="Trying out a new recipe for dinner tonight."/>
    <x v="2"/>
    <d v="2023-01-15T19:55:00"/>
    <x v="1"/>
    <s v=" #Cooking #Food                           "/>
    <n v="12"/>
    <n v="25"/>
    <x v="3"/>
    <x v="0"/>
    <x v="0"/>
    <n v="15"/>
    <n v="19"/>
    <x v="4"/>
    <s v="Normal"/>
    <s v="No"/>
    <s v="Standard"/>
    <x v="2"/>
    <s v="Oceania"/>
    <n v="2.0833333333333335"/>
  </r>
  <r>
    <n v="5"/>
    <s v="GratitudeNow"/>
    <s v="Feeling grateful for the little things in life."/>
    <x v="0"/>
    <d v="2023-01-16T09:10:00"/>
    <x v="0"/>
    <s v=" #Gratitude #PositiveVibes              "/>
    <n v="25"/>
    <n v="50"/>
    <x v="4"/>
    <x v="0"/>
    <x v="0"/>
    <n v="16"/>
    <n v="9"/>
    <x v="5"/>
    <s v="Popular"/>
    <s v="No"/>
    <s v="Wide Reach"/>
    <x v="1"/>
    <s v="Asia"/>
    <n v="2"/>
  </r>
  <r>
    <n v="6"/>
    <s v="RainyDays"/>
    <s v="Rainy days call for cozy blankets and hot cocoa."/>
    <x v="0"/>
    <d v="2023-01-16T14:45:00"/>
    <x v="2"/>
    <s v=" #RainyDays #Cozy                         "/>
    <n v="10"/>
    <n v="20"/>
    <x v="1"/>
    <x v="0"/>
    <x v="0"/>
    <n v="16"/>
    <n v="14"/>
    <x v="6"/>
    <s v="Normal"/>
    <s v="No"/>
    <s v="Standard"/>
    <x v="0"/>
    <s v="North America"/>
    <n v="2"/>
  </r>
  <r>
    <n v="7"/>
    <s v="MovieBuff"/>
    <s v="The new movie release is a must-watch!"/>
    <x v="0"/>
    <d v="2023-01-16T19:30:00"/>
    <x v="1"/>
    <s v=" #MovieNight #MustWatch                  "/>
    <n v="15"/>
    <n v="30"/>
    <x v="0"/>
    <x v="0"/>
    <x v="0"/>
    <n v="16"/>
    <n v="19"/>
    <x v="0"/>
    <s v="Normal"/>
    <s v="No"/>
    <s v="Standard"/>
    <x v="2"/>
    <s v="North America"/>
    <n v="2"/>
  </r>
  <r>
    <n v="8"/>
    <s v="DebateTalk"/>
    <s v="Political discussions heating up on the timeline."/>
    <x v="1"/>
    <d v="2023-01-17T08:00:00"/>
    <x v="0"/>
    <s v=" #Politics #Debate                       "/>
    <n v="30"/>
    <n v="60"/>
    <x v="0"/>
    <x v="0"/>
    <x v="0"/>
    <n v="17"/>
    <n v="8"/>
    <x v="7"/>
    <s v="Popular"/>
    <s v="Yes"/>
    <s v="Wide Reach"/>
    <x v="1"/>
    <s v="North America"/>
    <n v="2"/>
  </r>
  <r>
    <n v="9"/>
    <s v="BeachLover"/>
    <s v="Missing summer vibes and beach days."/>
    <x v="2"/>
    <d v="2023-01-17T12:20:00"/>
    <x v="2"/>
    <s v=" #Summer #BeachDays                      "/>
    <n v="18"/>
    <n v="35"/>
    <x v="3"/>
    <x v="0"/>
    <x v="0"/>
    <n v="17"/>
    <n v="12"/>
    <x v="8"/>
    <s v="Normal"/>
    <s v="No"/>
    <s v="Standard"/>
    <x v="0"/>
    <s v="Oceania"/>
    <n v="1.9444444444444444"/>
  </r>
  <r>
    <n v="10"/>
    <s v="BloggerX"/>
    <s v="Just published a new blog post. Check it out!"/>
    <x v="0"/>
    <d v="2023-01-17T15:15:00"/>
    <x v="1"/>
    <s v=" #Blogging #NewPost                      "/>
    <n v="22"/>
    <n v="45"/>
    <x v="0"/>
    <x v="0"/>
    <x v="0"/>
    <n v="17"/>
    <n v="15"/>
    <x v="9"/>
    <s v="Popular"/>
    <s v="No"/>
    <s v="Wide Reach"/>
    <x v="0"/>
    <s v="North America"/>
    <n v="2.0454545454545454"/>
  </r>
  <r>
    <n v="11"/>
    <s v="WellnessCheck"/>
    <s v="Feeling a bit under the weather today."/>
    <x v="1"/>
    <d v="2023-01-18T10:30:00"/>
    <x v="0"/>
    <s v=" #SickDay #Health                        "/>
    <n v="7"/>
    <n v="15"/>
    <x v="1"/>
    <x v="0"/>
    <x v="0"/>
    <n v="18"/>
    <n v="10"/>
    <x v="10"/>
    <s v="Normal"/>
    <s v="No"/>
    <s v="Standard"/>
    <x v="1"/>
    <s v="North America"/>
    <n v="2.1428571428571428"/>
  </r>
  <r>
    <n v="12"/>
    <s v="UrbanExplorer"/>
    <s v="Exploring the city's hidden gems."/>
    <x v="0"/>
    <d v="2023-01-18T14:50:00"/>
    <x v="2"/>
    <s v=" #CityExplore #HiddenGems                "/>
    <n v="12"/>
    <n v="25"/>
    <x v="2"/>
    <x v="0"/>
    <x v="0"/>
    <n v="18"/>
    <n v="14"/>
    <x v="4"/>
    <s v="Normal"/>
    <s v="No"/>
    <s v="Standard"/>
    <x v="0"/>
    <s v="Europe"/>
    <n v="2.0833333333333335"/>
  </r>
  <r>
    <n v="13"/>
    <s v="FitJourney"/>
    <s v="New year, new fitness goals! ðŸ’ª"/>
    <x v="0"/>
    <d v="2023-01-18T18:00:00"/>
    <x v="1"/>
    <s v=" #NewYear #FitnessGoals                  "/>
    <n v="28"/>
    <n v="55"/>
    <x v="0"/>
    <x v="0"/>
    <x v="0"/>
    <n v="18"/>
    <n v="18"/>
    <x v="11"/>
    <s v="Popular"/>
    <s v="Yes"/>
    <s v="Wide Reach"/>
    <x v="2"/>
    <s v="North America"/>
    <n v="1.9642857142857142"/>
  </r>
  <r>
    <n v="14"/>
    <s v="TechEnthusiast"/>
    <s v="Technology is changing the way we live."/>
    <x v="2"/>
    <d v="2023-01-19T09:45:00"/>
    <x v="0"/>
    <s v=" #Tech #Innovation                       "/>
    <n v="15"/>
    <n v="30"/>
    <x v="4"/>
    <x v="0"/>
    <x v="0"/>
    <n v="19"/>
    <n v="9"/>
    <x v="0"/>
    <s v="Normal"/>
    <s v="No"/>
    <s v="Standard"/>
    <x v="1"/>
    <s v="Asia"/>
    <n v="2"/>
  </r>
  <r>
    <n v="15"/>
    <s v="Reflections"/>
    <s v="Reflecting on the past and looking ahead."/>
    <x v="0"/>
    <d v="2023-01-19T13:20:00"/>
    <x v="2"/>
    <s v=" #Reflection #Future                     "/>
    <n v="20"/>
    <n v="40"/>
    <x v="0"/>
    <x v="0"/>
    <x v="0"/>
    <n v="19"/>
    <n v="13"/>
    <x v="2"/>
    <s v="Normal"/>
    <s v="No"/>
    <s v="Standard"/>
    <x v="0"/>
    <s v="North America"/>
    <n v="2"/>
  </r>
  <r>
    <n v="16"/>
    <s v="PetAdopter"/>
    <s v="Just adopted a cute furry friend! ðŸ¾"/>
    <x v="0"/>
    <d v="2023-01-19T17:10:00"/>
    <x v="1"/>
    <s v=" #PetAdoption #FurryFriend               "/>
    <n v="15"/>
    <n v="30"/>
    <x v="1"/>
    <x v="0"/>
    <x v="0"/>
    <n v="19"/>
    <n v="17"/>
    <x v="0"/>
    <s v="Normal"/>
    <s v="No"/>
    <s v="Standard"/>
    <x v="0"/>
    <s v="North America"/>
    <n v="2"/>
  </r>
  <r>
    <n v="17"/>
    <s v="GamerX"/>
    <s v="Late-night gaming session with friends."/>
    <x v="0"/>
    <d v="2023-01-20T00:05:00"/>
    <x v="0"/>
    <s v=" #Gaming #LateNight                      "/>
    <n v="18"/>
    <n v="35"/>
    <x v="2"/>
    <x v="0"/>
    <x v="0"/>
    <n v="20"/>
    <n v="0"/>
    <x v="8"/>
    <s v="Normal"/>
    <s v="No"/>
    <s v="Standard"/>
    <x v="3"/>
    <s v="Europe"/>
    <n v="1.9444444444444444"/>
  </r>
  <r>
    <n v="18"/>
    <s v="TechConference"/>
    <s v="Attending a virtual conference on AI."/>
    <x v="2"/>
    <d v="2023-01-20T11:30:00"/>
    <x v="2"/>
    <s v=" #AI #TechConference                     "/>
    <n v="25"/>
    <n v="50"/>
    <x v="0"/>
    <x v="0"/>
    <x v="0"/>
    <n v="20"/>
    <n v="11"/>
    <x v="5"/>
    <s v="Popular"/>
    <s v="No"/>
    <s v="Wide Reach"/>
    <x v="1"/>
    <s v="North America"/>
    <n v="2"/>
  </r>
  <r>
    <n v="19"/>
    <s v="WinterBlues"/>
    <s v="Winter blues got me feeling low."/>
    <x v="1"/>
    <d v="2023-01-20T15:15:00"/>
    <x v="1"/>
    <s v=" #WinterBlues #Mood                      "/>
    <n v="8"/>
    <n v="15"/>
    <x v="0"/>
    <x v="0"/>
    <x v="0"/>
    <n v="20"/>
    <n v="15"/>
    <x v="3"/>
    <s v="Normal"/>
    <s v="No"/>
    <s v="Standard"/>
    <x v="0"/>
    <s v="North America"/>
    <n v="1.875"/>
  </r>
  <r>
    <n v="20"/>
    <s v="Bookworm"/>
    <s v="Sipping coffee and enjoying a good book."/>
    <x v="0"/>
    <d v="2023-01-21T08:40:00"/>
    <x v="0"/>
    <s v=" #Reading #CoffeeTime                    "/>
    <n v="22"/>
    <n v="45"/>
    <x v="4"/>
    <x v="0"/>
    <x v="0"/>
    <n v="21"/>
    <n v="8"/>
    <x v="9"/>
    <s v="Popular"/>
    <s v="No"/>
    <s v="Wide Reach"/>
    <x v="1"/>
    <s v="Asia"/>
    <n v="2.0454545454545454"/>
  </r>
  <r>
    <n v="21"/>
    <s v="VRExplorer"/>
    <s v="Exploring the world of virtual reality."/>
    <x v="0"/>
    <d v="2023-01-21T13:20:00"/>
    <x v="2"/>
    <s v=" #VR #VirtualReality                     "/>
    <n v="15"/>
    <n v="30"/>
    <x v="0"/>
    <x v="0"/>
    <x v="0"/>
    <n v="21"/>
    <n v="13"/>
    <x v="0"/>
    <s v="Normal"/>
    <s v="No"/>
    <s v="Standard"/>
    <x v="0"/>
    <s v="North America"/>
    <n v="2"/>
  </r>
  <r>
    <n v="22"/>
    <s v="ProductivityPro"/>
    <s v="Productive day ticking off my to-do list."/>
    <x v="0"/>
    <d v="2023-01-21T16:45:00"/>
    <x v="1"/>
    <s v=" #Productivity #WorkFromHome           "/>
    <n v="30"/>
    <n v="60"/>
    <x v="0"/>
    <x v="0"/>
    <x v="0"/>
    <n v="21"/>
    <n v="16"/>
    <x v="7"/>
    <s v="Popular"/>
    <s v="Yes"/>
    <s v="Wide Reach"/>
    <x v="0"/>
    <s v="North America"/>
    <n v="2"/>
  </r>
  <r>
    <n v="23"/>
    <s v="FitnessWarrior"/>
    <s v="Just finished a challenging workout routine."/>
    <x v="0"/>
    <d v="2023-01-22T09:15:00"/>
    <x v="0"/>
    <s v=" #Fitness #ChallengeAccepted             "/>
    <n v="20"/>
    <n v="40"/>
    <x v="2"/>
    <x v="0"/>
    <x v="0"/>
    <n v="22"/>
    <n v="9"/>
    <x v="2"/>
    <s v="Normal"/>
    <s v="No"/>
    <s v="Standard"/>
    <x v="1"/>
    <s v="Europe"/>
    <n v="2"/>
  </r>
  <r>
    <n v="24"/>
    <s v="CareerMilestone"/>
    <s v="Celebrating a milestone at work! ðŸŽ‰"/>
    <x v="0"/>
    <d v="2023-01-22T14:30:00"/>
    <x v="2"/>
    <s v=" #Career #Milestone                      "/>
    <n v="12"/>
    <n v="25"/>
    <x v="1"/>
    <x v="0"/>
    <x v="0"/>
    <n v="22"/>
    <n v="14"/>
    <x v="4"/>
    <s v="Normal"/>
    <s v="No"/>
    <s v="Standard"/>
    <x v="0"/>
    <s v="North America"/>
    <n v="2.0833333333333335"/>
  </r>
  <r>
    <n v="25"/>
    <s v="BrunchBuddy"/>
    <s v="Sunday brunch with friends."/>
    <x v="0"/>
    <d v="2023-01-22T12:00:00"/>
    <x v="1"/>
    <s v=" #Brunch #Friends                       "/>
    <n v="15"/>
    <n v="30"/>
    <x v="2"/>
    <x v="0"/>
    <x v="0"/>
    <n v="22"/>
    <n v="12"/>
    <x v="0"/>
    <s v="Normal"/>
    <s v="No"/>
    <s v="Standard"/>
    <x v="0"/>
    <s v="Europe"/>
    <n v="2"/>
  </r>
  <r>
    <n v="28"/>
    <s v="LanguageLearner"/>
    <s v="Learning a new language for personal growth."/>
    <x v="0"/>
    <d v="2023-01-23T16:20:00"/>
    <x v="2"/>
    <s v=" #LanguageLearning #PersonalGrowth       "/>
    <n v="25"/>
    <n v="50"/>
    <x v="4"/>
    <x v="0"/>
    <x v="0"/>
    <n v="23"/>
    <n v="16"/>
    <x v="5"/>
    <s v="Popular"/>
    <s v="No"/>
    <s v="Wide Reach"/>
    <x v="0"/>
    <s v="Asia"/>
    <n v="2"/>
  </r>
  <r>
    <n v="29"/>
    <s v="BookLover"/>
    <s v="Quiet evening with a good book."/>
    <x v="0"/>
    <d v="2023-01-23T19:45:00"/>
    <x v="1"/>
    <s v=" #Reading #QuietTime                     "/>
    <n v="15"/>
    <n v="30"/>
    <x v="3"/>
    <x v="0"/>
    <x v="0"/>
    <n v="23"/>
    <n v="19"/>
    <x v="0"/>
    <s v="Normal"/>
    <s v="No"/>
    <s v="Standard"/>
    <x v="2"/>
    <s v="Oceania"/>
    <n v="2"/>
  </r>
  <r>
    <n v="30"/>
    <s v="MentalHealthMatters"/>
    <s v="Reflecting on the importance of mental health."/>
    <x v="0"/>
    <d v="2023-01-24T11:30:00"/>
    <x v="0"/>
    <s v=" #MentalHealth #SelfCare                 "/>
    <n v="22"/>
    <n v="45"/>
    <x v="0"/>
    <x v="0"/>
    <x v="0"/>
    <n v="24"/>
    <n v="11"/>
    <x v="9"/>
    <s v="Popular"/>
    <s v="No"/>
    <s v="Wide Reach"/>
    <x v="1"/>
    <s v="North America"/>
    <n v="2.0454545454545454"/>
  </r>
  <r>
    <n v="31"/>
    <s v="ArtistInAction"/>
    <s v="New painting in progress! ðŸŽ¨"/>
    <x v="0"/>
    <d v="2023-01-24T15:00:00"/>
    <x v="2"/>
    <s v=" #Art #PaintingInProgress             "/>
    <n v="12"/>
    <n v="25"/>
    <x v="1"/>
    <x v="0"/>
    <x v="0"/>
    <n v="24"/>
    <n v="15"/>
    <x v="4"/>
    <s v="Normal"/>
    <s v="No"/>
    <s v="Standard"/>
    <x v="0"/>
    <s v="North America"/>
    <n v="2.0833333333333335"/>
  </r>
  <r>
    <n v="32"/>
    <s v="RoadTripper"/>
    <s v="Weekend road trip to explore scenic views."/>
    <x v="0"/>
    <d v="2023-01-24T17:30:00"/>
    <x v="1"/>
    <s v=" #RoadTrip #ScenicViews                  "/>
    <n v="18"/>
    <n v="35"/>
    <x v="2"/>
    <x v="0"/>
    <x v="0"/>
    <n v="24"/>
    <n v="17"/>
    <x v="8"/>
    <s v="Normal"/>
    <s v="No"/>
    <s v="Standard"/>
    <x v="0"/>
    <s v="Europe"/>
    <n v="1.9444444444444444"/>
  </r>
  <r>
    <n v="33"/>
    <s v="SunsetWatcher"/>
    <s v="Enjoying a cup of tea and watching the sunset."/>
    <x v="0"/>
    <d v="2023-01-25T18:00:00"/>
    <x v="0"/>
    <s v=" #TeaTime #Sunset                       "/>
    <n v="15"/>
    <n v="30"/>
    <x v="4"/>
    <x v="0"/>
    <x v="0"/>
    <n v="25"/>
    <n v="18"/>
    <x v="0"/>
    <s v="Normal"/>
    <s v="No"/>
    <s v="Standard"/>
    <x v="2"/>
    <s v="Asia"/>
    <n v="2"/>
  </r>
  <r>
    <n v="34"/>
    <s v="CodeEnthusiast"/>
    <s v="Coding a new project with enthusiasm."/>
    <x v="0"/>
    <d v="2023-01-25T13:15:00"/>
    <x v="2"/>
    <s v=" #Coding #Enthusiasm                   "/>
    <n v="30"/>
    <n v="60"/>
    <x v="0"/>
    <x v="0"/>
    <x v="0"/>
    <n v="25"/>
    <n v="13"/>
    <x v="7"/>
    <s v="Popular"/>
    <s v="Yes"/>
    <s v="Wide Reach"/>
    <x v="0"/>
    <s v="North America"/>
    <n v="2"/>
  </r>
  <r>
    <n v="35"/>
    <s v="WorkshopAttendee"/>
    <s v="Feeling inspired after attending a workshop."/>
    <x v="0"/>
    <d v="2023-01-26T09:45:00"/>
    <x v="1"/>
    <s v=" #Inspiration #Workshop                  "/>
    <n v="25"/>
    <n v="50"/>
    <x v="0"/>
    <x v="0"/>
    <x v="0"/>
    <n v="26"/>
    <n v="9"/>
    <x v="5"/>
    <s v="Popular"/>
    <s v="No"/>
    <s v="Wide Reach"/>
    <x v="1"/>
    <s v="North America"/>
    <n v="2"/>
  </r>
  <r>
    <n v="36"/>
    <s v="WinterSports"/>
    <s v="Winter sports day at the local park."/>
    <x v="0"/>
    <d v="2023-01-26T14:20:00"/>
    <x v="0"/>
    <s v=" #WinterSports #Fun                     "/>
    <n v="15"/>
    <n v="30"/>
    <x v="1"/>
    <x v="0"/>
    <x v="0"/>
    <n v="26"/>
    <n v="14"/>
    <x v="0"/>
    <s v="Normal"/>
    <s v="No"/>
    <s v="Standard"/>
    <x v="0"/>
    <s v="North America"/>
    <n v="2"/>
  </r>
  <r>
    <n v="37"/>
    <s v="FamilyTime"/>
    <s v="Quality time with family this weekend."/>
    <x v="0"/>
    <d v="2023-01-26T17:40:00"/>
    <x v="2"/>
    <s v=" #FamilyTime #Weekend                    "/>
    <n v="22"/>
    <n v="45"/>
    <x v="2"/>
    <x v="0"/>
    <x v="0"/>
    <n v="26"/>
    <n v="17"/>
    <x v="9"/>
    <s v="Popular"/>
    <s v="No"/>
    <s v="Wide Reach"/>
    <x v="0"/>
    <s v="Europe"/>
    <n v="2.0454545454545454"/>
  </r>
  <r>
    <n v="38"/>
    <s v="MusicLover"/>
    <s v="Attending a live music concert tonight."/>
    <x v="0"/>
    <d v="2023-01-27T20:00:00"/>
    <x v="1"/>
    <s v=" #Music #ConcertNight                  "/>
    <n v="18"/>
    <n v="35"/>
    <x v="0"/>
    <x v="0"/>
    <x v="0"/>
    <n v="27"/>
    <n v="20"/>
    <x v="8"/>
    <s v="Normal"/>
    <s v="No"/>
    <s v="Standard"/>
    <x v="2"/>
    <s v="North America"/>
    <n v="1.9444444444444444"/>
  </r>
  <r>
    <n v="39"/>
    <s v="MindfulMoments"/>
    <s v="Practicing mindfulness with meditation."/>
    <x v="0"/>
    <d v="2023-01-27T12:30:00"/>
    <x v="0"/>
    <s v=" #Mindfulness #Meditation               "/>
    <n v="15"/>
    <n v="30"/>
    <x v="4"/>
    <x v="0"/>
    <x v="0"/>
    <n v="27"/>
    <n v="12"/>
    <x v="0"/>
    <s v="Normal"/>
    <s v="No"/>
    <s v="Standard"/>
    <x v="0"/>
    <s v="Asia"/>
    <n v="2"/>
  </r>
  <r>
    <n v="40"/>
    <s v="DessertExplorer"/>
    <s v="Trying out a new dessert recipe."/>
    <x v="0"/>
    <d v="2023-01-27T16:10:00"/>
    <x v="2"/>
    <s v=" #Dessert #Cooking                      "/>
    <n v="12"/>
    <n v="25"/>
    <x v="1"/>
    <x v="0"/>
    <x v="0"/>
    <n v="27"/>
    <n v="16"/>
    <x v="4"/>
    <s v="Normal"/>
    <s v="No"/>
    <s v="Standard"/>
    <x v="0"/>
    <s v="North America"/>
    <n v="2.0833333333333335"/>
  </r>
  <r>
    <n v="41"/>
    <s v="GamingEnthusiast"/>
    <s v="Excited about the upcoming gaming tournament."/>
    <x v="0"/>
    <d v="2023-01-28T09:00:00"/>
    <x v="1"/>
    <s v=" #Gaming #Tournament                     "/>
    <n v="30"/>
    <n v="60"/>
    <x v="0"/>
    <x v="0"/>
    <x v="0"/>
    <n v="28"/>
    <n v="9"/>
    <x v="7"/>
    <s v="Popular"/>
    <s v="Yes"/>
    <s v="Wide Reach"/>
    <x v="1"/>
    <s v="North America"/>
    <n v="2"/>
  </r>
  <r>
    <n v="42"/>
    <s v="GardenPlanner"/>
    <s v="Planning a garden makeover for spring."/>
    <x v="0"/>
    <d v="2023-01-28T14:45:00"/>
    <x v="0"/>
    <s v=" #Gardening #Spring                     "/>
    <n v="25"/>
    <n v="50"/>
    <x v="0"/>
    <x v="0"/>
    <x v="0"/>
    <n v="28"/>
    <n v="14"/>
    <x v="5"/>
    <s v="Popular"/>
    <s v="No"/>
    <s v="Wide Reach"/>
    <x v="0"/>
    <s v="North America"/>
    <n v="2"/>
  </r>
  <r>
    <n v="43"/>
    <s v="BirthdayBash"/>
    <s v="Celebrating a friend's birthday tonight! ðŸŽ‚"/>
    <x v="0"/>
    <d v="2023-01-28T19:30:00"/>
    <x v="2"/>
    <s v=" #Birthday #Celebration                  "/>
    <n v="15"/>
    <n v="30"/>
    <x v="2"/>
    <x v="0"/>
    <x v="0"/>
    <n v="28"/>
    <n v="19"/>
    <x v="0"/>
    <s v="Normal"/>
    <s v="No"/>
    <s v="Standard"/>
    <x v="2"/>
    <s v="Europe"/>
    <n v="2"/>
  </r>
  <r>
    <n v="44"/>
    <s v="ProductivityWin"/>
    <s v="Feeling accomplished after a productive day."/>
    <x v="0"/>
    <d v="2023-01-29T17:00:00"/>
    <x v="1"/>
    <s v=" #Accomplished #Success               "/>
    <n v="22"/>
    <n v="45"/>
    <x v="4"/>
    <x v="0"/>
    <x v="0"/>
    <n v="29"/>
    <n v="17"/>
    <x v="9"/>
    <s v="Popular"/>
    <s v="No"/>
    <s v="Wide Reach"/>
    <x v="0"/>
    <s v="Asia"/>
    <n v="2.0454545454545454"/>
  </r>
  <r>
    <n v="45"/>
    <s v="MovieNight"/>
    <s v="A cozy evening with a good movie."/>
    <x v="0"/>
    <d v="2023-01-29T20:20:00"/>
    <x v="0"/>
    <s v=" #CozyNight #MovieTime                   "/>
    <n v="18"/>
    <n v="35"/>
    <x v="1"/>
    <x v="0"/>
    <x v="0"/>
    <n v="29"/>
    <n v="20"/>
    <x v="8"/>
    <s v="Normal"/>
    <s v="No"/>
    <s v="Standard"/>
    <x v="2"/>
    <s v="North America"/>
    <n v="1.9444444444444444"/>
  </r>
  <r>
    <n v="46"/>
    <s v="ArtExplorer"/>
    <s v="Exploring local art galleries this weekend."/>
    <x v="0"/>
    <d v="2023-01-30T11:30:00"/>
    <x v="2"/>
    <s v=" #Art #GalleryExplore                    "/>
    <n v="15"/>
    <n v="30"/>
    <x v="0"/>
    <x v="0"/>
    <x v="0"/>
    <n v="30"/>
    <n v="11"/>
    <x v="0"/>
    <s v="Normal"/>
    <s v="No"/>
    <s v="Standard"/>
    <x v="1"/>
    <s v="North America"/>
    <n v="2"/>
  </r>
  <r>
    <n v="47"/>
    <s v="BookwormX"/>
    <s v="New book release from my favorite author!"/>
    <x v="0"/>
    <d v="2023-01-30T15:45:00"/>
    <x v="1"/>
    <s v=" #BookRelease #FavoriteAuthor           "/>
    <n v="12"/>
    <n v="25"/>
    <x v="2"/>
    <x v="0"/>
    <x v="0"/>
    <n v="30"/>
    <n v="15"/>
    <x v="4"/>
    <s v="Normal"/>
    <s v="No"/>
    <s v="Standard"/>
    <x v="0"/>
    <s v="Europe"/>
    <n v="2.0833333333333335"/>
  </r>
  <r>
    <n v="48"/>
    <s v="VRMeetup"/>
    <s v="Attending a virtual reality meetup."/>
    <x v="0"/>
    <d v="2023-01-30T18:30:00"/>
    <x v="0"/>
    <s v=" #VRMeetup #VirtualReality               "/>
    <n v="28"/>
    <n v="55"/>
    <x v="4"/>
    <x v="0"/>
    <x v="0"/>
    <n v="30"/>
    <n v="18"/>
    <x v="11"/>
    <s v="Popular"/>
    <s v="Yes"/>
    <s v="Wide Reach"/>
    <x v="2"/>
    <s v="Asia"/>
    <n v="1.9642857142857142"/>
  </r>
  <r>
    <n v="49"/>
    <s v="NatureLover"/>
    <s v="Reflecting on the beauty of nature."/>
    <x v="0"/>
    <d v="2023-01-31T10:45:00"/>
    <x v="2"/>
    <s v=" #Nature #Reflection                     "/>
    <n v="15"/>
    <n v="30"/>
    <x v="3"/>
    <x v="0"/>
    <x v="0"/>
    <n v="31"/>
    <n v="10"/>
    <x v="0"/>
    <s v="Normal"/>
    <s v="No"/>
    <s v="Standard"/>
    <x v="1"/>
    <s v="Oceania"/>
    <n v="2"/>
  </r>
  <r>
    <n v="50"/>
    <s v="ChefAtHome"/>
    <s v="Cooking a special dinner for loved ones."/>
    <x v="0"/>
    <d v="2023-01-31T19:00:00"/>
    <x v="1"/>
    <s v=" #Cooking #SpecialDinner                "/>
    <n v="20"/>
    <n v="40"/>
    <x v="0"/>
    <x v="0"/>
    <x v="0"/>
    <n v="31"/>
    <n v="19"/>
    <x v="2"/>
    <s v="Normal"/>
    <s v="No"/>
    <s v="Standard"/>
    <x v="2"/>
    <s v="North America"/>
    <n v="2"/>
  </r>
  <r>
    <n v="51"/>
    <s v="OptimisticMindset"/>
    <s v="Feeling optimistic about the week ahead."/>
    <x v="0"/>
    <d v="2023-01-31T16:20:00"/>
    <x v="0"/>
    <s v=" #Optimism #NewWeek                     "/>
    <n v="15"/>
    <n v="30"/>
    <x v="1"/>
    <x v="0"/>
    <x v="0"/>
    <n v="31"/>
    <n v="16"/>
    <x v="0"/>
    <s v="Normal"/>
    <s v="No"/>
    <s v="Standard"/>
    <x v="0"/>
    <s v="North America"/>
    <n v="2"/>
  </r>
  <r>
    <n v="52"/>
    <s v="FitnessChallenge"/>
    <s v="Starting a new fitness challenge tomorrow! ðŸ’ª"/>
    <x v="0"/>
    <d v="2023-02-01T08:00:00"/>
    <x v="2"/>
    <s v=" #FitnessChallenge #NewBeginnings       "/>
    <n v="22"/>
    <n v="45"/>
    <x v="2"/>
    <x v="0"/>
    <x v="1"/>
    <n v="1"/>
    <n v="8"/>
    <x v="9"/>
    <s v="Popular"/>
    <s v="No"/>
    <s v="Wide Reach"/>
    <x v="1"/>
    <s v="Europe"/>
    <n v="2.0454545454545454"/>
  </r>
  <r>
    <n v="53"/>
    <s v="BikeExplorer"/>
    <s v="Sunday bike ride through scenic trails."/>
    <x v="0"/>
    <d v="2023-02-01T13:30:00"/>
    <x v="1"/>
    <s v=" #BikeRide #ScenicTrails                "/>
    <n v="18"/>
    <n v="35"/>
    <x v="0"/>
    <x v="0"/>
    <x v="1"/>
    <n v="1"/>
    <n v="13"/>
    <x v="8"/>
    <s v="Normal"/>
    <s v="No"/>
    <s v="Standard"/>
    <x v="0"/>
    <s v="North America"/>
    <n v="1.9444444444444444"/>
  </r>
  <r>
    <n v="55"/>
    <s v="SocialJustice"/>
    <s v="Can't believe the injustice happening in our society."/>
    <x v="3"/>
    <d v="2023-02-11T09:30:00"/>
    <x v="0"/>
    <s v=" #Injustice #Angry                            "/>
    <n v="20"/>
    <n v="40"/>
    <x v="1"/>
    <x v="0"/>
    <x v="1"/>
    <n v="11"/>
    <n v="9"/>
    <x v="2"/>
    <s v="Normal"/>
    <s v="No"/>
    <s v="Standard"/>
    <x v="1"/>
    <s v="North America"/>
    <n v="2"/>
  </r>
  <r>
    <n v="56"/>
    <s v="ThrillerFan"/>
    <s v="Feeling a sense of fear after watching a thriller movie."/>
    <x v="4"/>
    <d v="2023-02-11T21:15:00"/>
    <x v="1"/>
    <s v=" #Fear #ThrillerMovie                         "/>
    <n v="15"/>
    <n v="30"/>
    <x v="0"/>
    <x v="0"/>
    <x v="1"/>
    <n v="11"/>
    <n v="21"/>
    <x v="0"/>
    <s v="Normal"/>
    <s v="No"/>
    <s v="Standard"/>
    <x v="2"/>
    <s v="North America"/>
    <n v="2"/>
  </r>
  <r>
    <n v="57"/>
    <s v="EmpathyFirst"/>
    <s v="Heartbroken after hearing the news about a natural disaster."/>
    <x v="5"/>
    <d v="2023-02-12T14:45:00"/>
    <x v="2"/>
    <s v=" #Sadness #NaturalDisaster                    "/>
    <n v="25"/>
    <n v="50"/>
    <x v="4"/>
    <x v="0"/>
    <x v="1"/>
    <n v="12"/>
    <n v="14"/>
    <x v="5"/>
    <s v="Popular"/>
    <s v="No"/>
    <s v="Wide Reach"/>
    <x v="0"/>
    <s v="Asia"/>
    <n v="2"/>
  </r>
  <r>
    <n v="58"/>
    <s v="EcoAwareness"/>
    <s v="The state of the world's environment is just disgusting."/>
    <x v="6"/>
    <d v="2023-02-12T18:20:00"/>
    <x v="0"/>
    <s v=" #Disgust #Environment                        "/>
    <n v="18"/>
    <n v="35"/>
    <x v="2"/>
    <x v="0"/>
    <x v="1"/>
    <n v="12"/>
    <n v="18"/>
    <x v="8"/>
    <s v="Normal"/>
    <s v="No"/>
    <s v="Standard"/>
    <x v="2"/>
    <s v="Europe"/>
    <n v="1.9444444444444444"/>
  </r>
  <r>
    <n v="59"/>
    <s v="ProudFriend"/>
    <s v="Pure happiness: celebrating a loved one's achievement!"/>
    <x v="7"/>
    <d v="2023-02-13T10:00:00"/>
    <x v="1"/>
    <s v=" #Happiness #Celebration                   "/>
    <n v="30"/>
    <n v="60"/>
    <x v="0"/>
    <x v="0"/>
    <x v="1"/>
    <n v="13"/>
    <n v="10"/>
    <x v="7"/>
    <s v="Popular"/>
    <s v="Yes"/>
    <s v="Wide Reach"/>
    <x v="1"/>
    <s v="North America"/>
    <n v="2"/>
  </r>
  <r>
    <n v="60"/>
    <s v="ComedyFan"/>
    <s v="Laughter is the best medicineâ€”enjoying a comedy show."/>
    <x v="8"/>
    <d v="2023-02-13T19:30:00"/>
    <x v="2"/>
    <s v=" #Joy #ComedyShow                             "/>
    <n v="22"/>
    <n v="45"/>
    <x v="1"/>
    <x v="0"/>
    <x v="1"/>
    <n v="13"/>
    <n v="19"/>
    <x v="9"/>
    <s v="Popular"/>
    <s v="No"/>
    <s v="Wide Reach"/>
    <x v="2"/>
    <s v="North America"/>
    <n v="2.0454545454545454"/>
  </r>
  <r>
    <n v="61"/>
    <s v="LoveSpreader"/>
    <s v="Sharing love and positive vibes with everyone! â¤ï¸"/>
    <x v="9"/>
    <d v="2023-02-14T08:30:00"/>
    <x v="0"/>
    <s v=" #Love #SpreadLove                            "/>
    <n v="15"/>
    <n v="30"/>
    <x v="3"/>
    <x v="0"/>
    <x v="1"/>
    <n v="14"/>
    <n v="8"/>
    <x v="0"/>
    <s v="Normal"/>
    <s v="No"/>
    <s v="Standard"/>
    <x v="1"/>
    <s v="Oceania"/>
    <n v="2"/>
  </r>
  <r>
    <n v="62"/>
    <s v="AmusedSoul"/>
    <s v="An amusing incident brightened up my day!"/>
    <x v="10"/>
    <d v="2023-02-14T14:20:00"/>
    <x v="1"/>
    <s v=" #Amusement #FunTimes                         "/>
    <n v="18"/>
    <n v="35"/>
    <x v="2"/>
    <x v="0"/>
    <x v="1"/>
    <n v="14"/>
    <n v="14"/>
    <x v="8"/>
    <s v="Normal"/>
    <s v="No"/>
    <s v="Standard"/>
    <x v="0"/>
    <s v="Europe"/>
    <n v="1.9444444444444444"/>
  </r>
  <r>
    <n v="63"/>
    <s v="BookLoverAgain"/>
    <s v="Enjoying a quiet evening with a book and some tea."/>
    <x v="11"/>
    <d v="2023-02-14T19:45:00"/>
    <x v="2"/>
    <s v=" #Enjoyment #BookTime                         "/>
    <n v="25"/>
    <n v="50"/>
    <x v="1"/>
    <x v="0"/>
    <x v="1"/>
    <n v="14"/>
    <n v="19"/>
    <x v="5"/>
    <s v="Popular"/>
    <s v="No"/>
    <s v="Wide Reach"/>
    <x v="2"/>
    <s v="North America"/>
    <n v="2"/>
  </r>
  <r>
    <n v="64"/>
    <s v="NatureAdmirer"/>
    <s v="Admiring the beauty of nature during a peaceful hike."/>
    <x v="12"/>
    <d v="2023-02-15T11:30:00"/>
    <x v="0"/>
    <s v=" #Admiration #Nature                         "/>
    <n v="20"/>
    <n v="40"/>
    <x v="0"/>
    <x v="0"/>
    <x v="1"/>
    <n v="15"/>
    <n v="11"/>
    <x v="2"/>
    <s v="Normal"/>
    <s v="No"/>
    <s v="Standard"/>
    <x v="1"/>
    <s v="North America"/>
    <n v="2"/>
  </r>
  <r>
    <n v="65"/>
    <s v="AffectionSender"/>
    <s v="Sending affectionate vibes to all my followers!"/>
    <x v="13"/>
    <d v="2023-02-15T16:00:00"/>
    <x v="1"/>
    <s v=" #Affection #PositiveVibes                   "/>
    <n v="15"/>
    <n v="30"/>
    <x v="0"/>
    <x v="0"/>
    <x v="1"/>
    <n v="15"/>
    <n v="16"/>
    <x v="0"/>
    <s v="Normal"/>
    <s v="No"/>
    <s v="Standard"/>
    <x v="0"/>
    <s v="North America"/>
    <n v="2"/>
  </r>
  <r>
    <n v="66"/>
    <s v="AweStruck"/>
    <s v="Experiencing awe at the breathtaking sunset."/>
    <x v="14"/>
    <d v="2023-02-15T20:30:00"/>
    <x v="2"/>
    <s v=" #Awe #Breathtaking                          "/>
    <n v="22"/>
    <n v="45"/>
    <x v="3"/>
    <x v="0"/>
    <x v="1"/>
    <n v="15"/>
    <n v="20"/>
    <x v="9"/>
    <s v="Popular"/>
    <s v="No"/>
    <s v="Wide Reach"/>
    <x v="2"/>
    <s v="Oceania"/>
    <n v="2.0454545454545454"/>
  </r>
  <r>
    <n v="67"/>
    <s v="FoodieGoneWrong"/>
    <s v="Disappointed with the service at a local restaurant."/>
    <x v="15"/>
    <d v="2023-02-16T09:00:00"/>
    <x v="0"/>
    <s v=" #Disappointed #BadService                   "/>
    <n v="18"/>
    <n v="35"/>
    <x v="4"/>
    <x v="0"/>
    <x v="1"/>
    <n v="16"/>
    <n v="9"/>
    <x v="8"/>
    <s v="Normal"/>
    <s v="No"/>
    <s v="Standard"/>
    <x v="1"/>
    <s v="Asia"/>
    <n v="1.9444444444444444"/>
  </r>
  <r>
    <n v="68"/>
    <s v="HappySurprise"/>
    <s v="A surprise gift from a friend made my day!"/>
    <x v="16"/>
    <d v="2023-02-16T14:45:00"/>
    <x v="1"/>
    <s v=" #Surprise #Gift                              "/>
    <n v="25"/>
    <n v="50"/>
    <x v="0"/>
    <x v="0"/>
    <x v="1"/>
    <n v="16"/>
    <n v="14"/>
    <x v="5"/>
    <s v="Popular"/>
    <s v="No"/>
    <s v="Wide Reach"/>
    <x v="0"/>
    <s v="North America"/>
    <n v="2"/>
  </r>
  <r>
    <n v="69"/>
    <s v="AcceptanceSeeker"/>
    <s v="Finding acceptance in the midst of life's challenges."/>
    <x v="17"/>
    <d v="2023-02-16T18:20:00"/>
    <x v="2"/>
    <s v=" #Acceptance #Challenges                     "/>
    <n v="15"/>
    <n v="30"/>
    <x v="1"/>
    <x v="0"/>
    <x v="1"/>
    <n v="16"/>
    <n v="18"/>
    <x v="0"/>
    <s v="Normal"/>
    <s v="No"/>
    <s v="Standard"/>
    <x v="2"/>
    <s v="North America"/>
    <n v="2"/>
  </r>
  <r>
    <n v="70"/>
    <s v="PetAdorer"/>
    <s v="Overflowing with adoration for my adorable pet! ðŸ¾"/>
    <x v="18"/>
    <d v="2023-02-17T10:45:00"/>
    <x v="0"/>
    <s v=" #Adoration #PetLove                         "/>
    <n v="22"/>
    <n v="45"/>
    <x v="2"/>
    <x v="0"/>
    <x v="1"/>
    <n v="17"/>
    <n v="10"/>
    <x v="9"/>
    <s v="Popular"/>
    <s v="No"/>
    <s v="Wide Reach"/>
    <x v="1"/>
    <s v="Europe"/>
    <n v="2.0454545454545454"/>
  </r>
  <r>
    <n v="71"/>
    <s v="AdventureAwaits"/>
    <s v="Anticipating a thrilling adventure in the coming weeks."/>
    <x v="19"/>
    <d v="2023-02-17T07:30:00"/>
    <x v="1"/>
    <s v=" #Anticipation #Adventure                    "/>
    <n v="20"/>
    <n v="40"/>
    <x v="0"/>
    <x v="0"/>
    <x v="1"/>
    <n v="17"/>
    <n v="7"/>
    <x v="2"/>
    <s v="Normal"/>
    <s v="No"/>
    <s v="Standard"/>
    <x v="1"/>
    <s v="North America"/>
    <n v="2"/>
  </r>
  <r>
    <n v="72"/>
    <s v="LearnFromBitter"/>
    <s v="A bitter experience turned into a valuable lesson."/>
    <x v="20"/>
    <d v="2023-02-17T15:00:00"/>
    <x v="2"/>
    <s v=" #BitterLesson #Growth                      "/>
    <n v="18"/>
    <n v="35"/>
    <x v="0"/>
    <x v="0"/>
    <x v="1"/>
    <n v="17"/>
    <n v="15"/>
    <x v="8"/>
    <s v="Normal"/>
    <s v="No"/>
    <s v="Standard"/>
    <x v="0"/>
    <s v="North America"/>
    <n v="1.9444444444444444"/>
  </r>
  <r>
    <n v="73"/>
    <s v="ZenMaster"/>
    <s v="Finding calmness in the midst of a busy day."/>
    <x v="21"/>
    <d v="2023-02-18T09:30:00"/>
    <x v="0"/>
    <s v=" #Calmness #PeacefulMind                    "/>
    <n v="15"/>
    <n v="30"/>
    <x v="4"/>
    <x v="0"/>
    <x v="1"/>
    <n v="18"/>
    <n v="9"/>
    <x v="0"/>
    <s v="Normal"/>
    <s v="No"/>
    <s v="Standard"/>
    <x v="1"/>
    <s v="Asia"/>
    <n v="2"/>
  </r>
  <r>
    <n v="74"/>
    <s v="ConfusedMind"/>
    <s v="Confusion clouds my mind as I navigate through decisions."/>
    <x v="22"/>
    <d v="2023-02-18T14:20:00"/>
    <x v="1"/>
    <s v=" #Confusion #DecisionMaking                 "/>
    <n v="25"/>
    <n v="50"/>
    <x v="2"/>
    <x v="0"/>
    <x v="1"/>
    <n v="18"/>
    <n v="14"/>
    <x v="5"/>
    <s v="Popular"/>
    <s v="No"/>
    <s v="Wide Reach"/>
    <x v="0"/>
    <s v="Europe"/>
    <n v="2"/>
  </r>
  <r>
    <n v="75"/>
    <s v="VacationDreamer"/>
    <s v="Excitement building up for the upcoming vacation!"/>
    <x v="23"/>
    <d v="2023-02-18T18:45:00"/>
    <x v="2"/>
    <s v=" #Excitement #TravelPlans                   "/>
    <n v="22"/>
    <n v="45"/>
    <x v="1"/>
    <x v="0"/>
    <x v="1"/>
    <n v="18"/>
    <n v="18"/>
    <x v="9"/>
    <s v="Popular"/>
    <s v="No"/>
    <s v="Wide Reach"/>
    <x v="2"/>
    <s v="North America"/>
    <n v="2.0454545454545454"/>
  </r>
  <r>
    <n v="76"/>
    <s v="KindnessPrevails"/>
    <s v="Kindness witnessed today restored my faith in humanity."/>
    <x v="24"/>
    <d v="2023-02-19T11:30:00"/>
    <x v="0"/>
    <s v=" #Kindness #Humanity                        "/>
    <n v="20"/>
    <n v="40"/>
    <x v="0"/>
    <x v="0"/>
    <x v="1"/>
    <n v="19"/>
    <n v="11"/>
    <x v="2"/>
    <s v="Normal"/>
    <s v="No"/>
    <s v="Standard"/>
    <x v="1"/>
    <s v="North America"/>
    <n v="2"/>
  </r>
  <r>
    <n v="77"/>
    <s v="PersonalAchiever"/>
    <s v="Pride in achieving a personal milestone."/>
    <x v="25"/>
    <d v="2023-02-19T16:00:00"/>
    <x v="1"/>
    <s v=" #Pride #Milestone                           "/>
    <n v="30"/>
    <n v="60"/>
    <x v="3"/>
    <x v="0"/>
    <x v="1"/>
    <n v="19"/>
    <n v="16"/>
    <x v="7"/>
    <s v="Popular"/>
    <s v="Yes"/>
    <s v="Wide Reach"/>
    <x v="0"/>
    <s v="Oceania"/>
    <n v="2"/>
  </r>
  <r>
    <n v="78"/>
    <s v="ReflectiveSelf"/>
    <s v="A moment of shame for not standing up against injustice."/>
    <x v="26"/>
    <d v="2023-02-19T19:45:00"/>
    <x v="2"/>
    <s v=" #Shame #Injustice                           "/>
    <n v="15"/>
    <n v="30"/>
    <x v="4"/>
    <x v="0"/>
    <x v="1"/>
    <n v="19"/>
    <n v="19"/>
    <x v="0"/>
    <s v="Normal"/>
    <s v="No"/>
    <s v="Standard"/>
    <x v="2"/>
    <s v="Asia"/>
    <n v="2"/>
  </r>
  <r>
    <n v="79"/>
    <s v="AngryDebater"/>
    <s v="Fuming with anger after a heated argument."/>
    <x v="3"/>
    <d v="2023-02-20T09:30:00"/>
    <x v="0"/>
    <s v=" #Anger #Argument                             "/>
    <n v="20"/>
    <n v="40"/>
    <x v="1"/>
    <x v="0"/>
    <x v="1"/>
    <n v="20"/>
    <n v="9"/>
    <x v="2"/>
    <s v="Normal"/>
    <s v="No"/>
    <s v="Standard"/>
    <x v="1"/>
    <s v="North America"/>
    <n v="2"/>
  </r>
  <r>
    <n v="80"/>
    <s v="FearfulDreamer"/>
    <s v="The fear of the unknown is keeping me up at night."/>
    <x v="4"/>
    <d v="2023-02-20T21:15:00"/>
    <x v="1"/>
    <s v=" #Fear #Unknown                               "/>
    <n v="15"/>
    <n v="30"/>
    <x v="0"/>
    <x v="0"/>
    <x v="1"/>
    <n v="20"/>
    <n v="21"/>
    <x v="0"/>
    <s v="Normal"/>
    <s v="No"/>
    <s v="Standard"/>
    <x v="2"/>
    <s v="North America"/>
    <n v="2"/>
  </r>
  <r>
    <n v="81"/>
    <s v="FarewellHeart"/>
    <s v="Heartfelt sadness after bidding farewell to a dear friend."/>
    <x v="5"/>
    <d v="2023-02-21T14:45:00"/>
    <x v="2"/>
    <s v=" #Sadness #Farewell                          "/>
    <n v="25"/>
    <n v="50"/>
    <x v="4"/>
    <x v="0"/>
    <x v="1"/>
    <n v="21"/>
    <n v="14"/>
    <x v="5"/>
    <s v="Popular"/>
    <s v="No"/>
    <s v="Wide Reach"/>
    <x v="0"/>
    <s v="Asia"/>
    <n v="2"/>
  </r>
  <r>
    <n v="82"/>
    <s v="AntiCorruption"/>
    <s v="The state of corruption in our society is utterly disgusting."/>
    <x v="6"/>
    <d v="2023-02-21T18:20:00"/>
    <x v="0"/>
    <s v=" #Disgust #Corruption                         "/>
    <n v="18"/>
    <n v="35"/>
    <x v="2"/>
    <x v="0"/>
    <x v="1"/>
    <n v="21"/>
    <n v="18"/>
    <x v="8"/>
    <s v="Normal"/>
    <s v="No"/>
    <s v="Standard"/>
    <x v="2"/>
    <s v="Europe"/>
    <n v="1.9444444444444444"/>
  </r>
  <r>
    <n v="83"/>
    <s v="NewParentJoy"/>
    <s v="Overflowing happiness: welcoming a new family member!"/>
    <x v="7"/>
    <d v="2023-02-22T10:00:00"/>
    <x v="1"/>
    <s v=" #Happiness #NewFamilyMember                 "/>
    <n v="30"/>
    <n v="60"/>
    <x v="2"/>
    <x v="0"/>
    <x v="1"/>
    <n v="22"/>
    <n v="10"/>
    <x v="7"/>
    <s v="Popular"/>
    <s v="Yes"/>
    <s v="Wide Reach"/>
    <x v="1"/>
    <s v="Europe"/>
    <n v="2"/>
  </r>
  <r>
    <n v="84"/>
    <s v="StandUpFan"/>
    <s v="Laughter is the key to joyâ€”attending a stand-up comedy show."/>
    <x v="8"/>
    <d v="2023-02-22T19:30:00"/>
    <x v="2"/>
    <s v=" #Joy #StandUpComedy                         "/>
    <n v="22"/>
    <n v="45"/>
    <x v="1"/>
    <x v="0"/>
    <x v="1"/>
    <n v="22"/>
    <n v="19"/>
    <x v="9"/>
    <s v="Popular"/>
    <s v="No"/>
    <s v="Wide Reach"/>
    <x v="2"/>
    <s v="North America"/>
    <n v="2.0454545454545454"/>
  </r>
  <r>
    <n v="85"/>
    <s v="LoveSender"/>
    <s v="Sending love to all my followers on this beautiful day! â¤ï¸"/>
    <x v="9"/>
    <d v="2023-02-23T08:30:00"/>
    <x v="0"/>
    <s v=" #Love #SpreadLove                            "/>
    <n v="15"/>
    <n v="30"/>
    <x v="3"/>
    <x v="0"/>
    <x v="1"/>
    <n v="23"/>
    <n v="8"/>
    <x v="0"/>
    <s v="Normal"/>
    <s v="No"/>
    <s v="Standard"/>
    <x v="1"/>
    <s v="Oceania"/>
    <n v="2"/>
  </r>
  <r>
    <n v="86"/>
    <s v="PetAmuser"/>
    <s v="Amused by the antics of my petâ€”it's pure amusement!"/>
    <x v="10"/>
    <d v="2023-02-23T14:20:00"/>
    <x v="1"/>
    <s v=" #Amusement #PetAntics                       "/>
    <n v="18"/>
    <n v="35"/>
    <x v="2"/>
    <x v="0"/>
    <x v="1"/>
    <n v="23"/>
    <n v="14"/>
    <x v="8"/>
    <s v="Normal"/>
    <s v="No"/>
    <s v="Standard"/>
    <x v="0"/>
    <s v="Europe"/>
    <n v="1.9444444444444444"/>
  </r>
  <r>
    <n v="87"/>
    <s v="TravelExplorer"/>
    <s v="Enjoying every moment of this tripâ€”pure enjoyment!"/>
    <x v="11"/>
    <d v="2023-02-23T19:45:00"/>
    <x v="2"/>
    <s v=" #Enjoyment #Travel                           "/>
    <n v="25"/>
    <n v="50"/>
    <x v="0"/>
    <x v="0"/>
    <x v="1"/>
    <n v="23"/>
    <n v="19"/>
    <x v="5"/>
    <s v="Popular"/>
    <s v="No"/>
    <s v="Wide Reach"/>
    <x v="2"/>
    <s v="North America"/>
    <n v="2"/>
  </r>
  <r>
    <n v="88"/>
    <s v="CharityAdmirer"/>
    <s v="Admiring the dedication of volunteers at a local charity."/>
    <x v="12"/>
    <d v="2023-02-24T11:30:00"/>
    <x v="0"/>
    <s v=" #Admiration #Volunteers                     "/>
    <n v="20"/>
    <n v="40"/>
    <x v="0"/>
    <x v="0"/>
    <x v="1"/>
    <n v="24"/>
    <n v="11"/>
    <x v="2"/>
    <s v="Normal"/>
    <s v="No"/>
    <s v="Standard"/>
    <x v="1"/>
    <s v="North America"/>
    <n v="2"/>
  </r>
  <r>
    <n v="89"/>
    <s v="FamilyLover"/>
    <s v="Sending affectionate vibes to friends and family."/>
    <x v="13"/>
    <d v="2023-02-24T16:00:00"/>
    <x v="1"/>
    <s v=" #Affection #FamilyLove                      "/>
    <n v="15"/>
    <n v="30"/>
    <x v="0"/>
    <x v="0"/>
    <x v="1"/>
    <n v="24"/>
    <n v="16"/>
    <x v="0"/>
    <s v="Normal"/>
    <s v="No"/>
    <s v="Standard"/>
    <x v="0"/>
    <s v="North America"/>
    <n v="2"/>
  </r>
  <r>
    <n v="90"/>
    <s v="Stargazer"/>
    <s v="Awe-struck by the beauty of the night sky."/>
    <x v="14"/>
    <d v="2023-02-24T20:30:00"/>
    <x v="2"/>
    <s v=" #Awe #StarryNight                        "/>
    <n v="22"/>
    <n v="45"/>
    <x v="3"/>
    <x v="0"/>
    <x v="1"/>
    <n v="24"/>
    <n v="20"/>
    <x v="9"/>
    <s v="Popular"/>
    <s v="No"/>
    <s v="Wide Reach"/>
    <x v="2"/>
    <s v="Oceania"/>
    <n v="2.0454545454545454"/>
  </r>
  <r>
    <n v="91"/>
    <s v="ProjectStruggle"/>
    <s v="Disappointed with the lack of progress in a personal project."/>
    <x v="15"/>
    <d v="2023-02-25T09:00:00"/>
    <x v="0"/>
    <s v=" #Disappointed #Project                     "/>
    <n v="18"/>
    <n v="35"/>
    <x v="4"/>
    <x v="0"/>
    <x v="1"/>
    <n v="25"/>
    <n v="9"/>
    <x v="8"/>
    <s v="Normal"/>
    <s v="No"/>
    <s v="Standard"/>
    <x v="1"/>
    <s v="Asia"/>
    <n v="1.9444444444444444"/>
  </r>
  <r>
    <n v="92"/>
    <s v="JoyfulReunion"/>
    <s v="A surprise visit from an old friend brought tears of joy."/>
    <x v="16"/>
    <d v="2023-02-25T14:45:00"/>
    <x v="1"/>
    <s v=" #Surprise #OldFriends                       "/>
    <n v="25"/>
    <n v="50"/>
    <x v="0"/>
    <x v="0"/>
    <x v="1"/>
    <n v="25"/>
    <n v="14"/>
    <x v="5"/>
    <s v="Popular"/>
    <s v="No"/>
    <s v="Wide Reach"/>
    <x v="0"/>
    <s v="North America"/>
    <n v="2"/>
  </r>
  <r>
    <n v="93"/>
    <s v="LifeAcceptance"/>
    <s v="Embracing acceptance of life's ups and downs."/>
    <x v="17"/>
    <d v="2023-02-25T18:20:00"/>
    <x v="2"/>
    <s v=" #Acceptance #LifeJourney                   "/>
    <n v="15"/>
    <n v="30"/>
    <x v="1"/>
    <x v="0"/>
    <x v="1"/>
    <n v="25"/>
    <n v="18"/>
    <x v="0"/>
    <s v="Normal"/>
    <s v="No"/>
    <s v="Standard"/>
    <x v="2"/>
    <s v="North America"/>
    <n v="2"/>
  </r>
  <r>
    <n v="94"/>
    <s v="PuppyAdmirer"/>
    <s v="Overflowing adoration for a cute rescue puppy! ðŸ¶"/>
    <x v="18"/>
    <d v="2023-02-26T10:45:00"/>
    <x v="0"/>
    <s v=" #Adoration #PuppyLove                       "/>
    <n v="22"/>
    <n v="45"/>
    <x v="2"/>
    <x v="0"/>
    <x v="1"/>
    <n v="26"/>
    <n v="10"/>
    <x v="9"/>
    <s v="Popular"/>
    <s v="No"/>
    <s v="Wide Reach"/>
    <x v="1"/>
    <s v="Europe"/>
    <n v="2.0454545454545454"/>
  </r>
  <r>
    <n v="95"/>
    <s v="MovieBuff2"/>
    <s v="Anticipating the release of a much-awaited movie."/>
    <x v="19"/>
    <d v="2023-02-26T07:30:00"/>
    <x v="1"/>
    <s v=" #Anticipation #MovieRelease                 "/>
    <n v="20"/>
    <n v="40"/>
    <x v="3"/>
    <x v="0"/>
    <x v="1"/>
    <n v="26"/>
    <n v="7"/>
    <x v="2"/>
    <s v="Normal"/>
    <s v="No"/>
    <s v="Standard"/>
    <x v="1"/>
    <s v="Oceania"/>
    <n v="2"/>
  </r>
  <r>
    <n v="96"/>
    <s v="CustomerWoes"/>
    <s v="Bitter experience at the customer service department."/>
    <x v="20"/>
    <d v="2023-02-26T15:00:00"/>
    <x v="2"/>
    <s v=" #BitterExperience #CustomerService         "/>
    <n v="18"/>
    <n v="35"/>
    <x v="0"/>
    <x v="0"/>
    <x v="1"/>
    <n v="26"/>
    <n v="15"/>
    <x v="8"/>
    <s v="Normal"/>
    <s v="No"/>
    <s v="Standard"/>
    <x v="0"/>
    <s v="North America"/>
    <n v="1.9444444444444444"/>
  </r>
  <r>
    <n v="97"/>
    <s v="CalmSoul"/>
    <s v="Finding calmness amidst the chaos of daily life."/>
    <x v="21"/>
    <d v="2023-02-27T09:30:00"/>
    <x v="0"/>
    <s v=" #Calmness #InnerPeace                      "/>
    <n v="15"/>
    <n v="30"/>
    <x v="4"/>
    <x v="0"/>
    <x v="1"/>
    <n v="27"/>
    <n v="9"/>
    <x v="0"/>
    <s v="Normal"/>
    <s v="No"/>
    <s v="Standard"/>
    <x v="1"/>
    <s v="Asia"/>
    <n v="2"/>
  </r>
  <r>
    <n v="98"/>
    <s v="ConfusedMind2"/>
    <s v="Confusion reigns as I try to make sense of recent events."/>
    <x v="22"/>
    <d v="2023-02-27T14:20:00"/>
    <x v="1"/>
    <s v=" #Confusion #MakingSense                    "/>
    <n v="25"/>
    <n v="50"/>
    <x v="2"/>
    <x v="0"/>
    <x v="1"/>
    <n v="27"/>
    <n v="14"/>
    <x v="5"/>
    <s v="Popular"/>
    <s v="No"/>
    <s v="Wide Reach"/>
    <x v="0"/>
    <s v="Europe"/>
    <n v="2"/>
  </r>
  <r>
    <n v="99"/>
    <s v="BirthdayExcite"/>
    <s v="Excitement building up for a surprise birthday party."/>
    <x v="23"/>
    <d v="2023-02-27T18:45:00"/>
    <x v="2"/>
    <s v=" #Excitement #SurpriseParty                 "/>
    <n v="22"/>
    <n v="45"/>
    <x v="1"/>
    <x v="0"/>
    <x v="1"/>
    <n v="27"/>
    <n v="18"/>
    <x v="9"/>
    <s v="Popular"/>
    <s v="No"/>
    <s v="Wide Reach"/>
    <x v="2"/>
    <s v="North America"/>
    <n v="2.0454545454545454"/>
  </r>
  <r>
    <n v="100"/>
    <s v="KindnessObserver"/>
    <s v="Witnessed an act of kindness that made my day."/>
    <x v="24"/>
    <d v="2023-02-28T11:30:00"/>
    <x v="0"/>
    <s v=" #Kindness #ActsOfKindness                  "/>
    <n v="20"/>
    <n v="40"/>
    <x v="0"/>
    <x v="0"/>
    <x v="1"/>
    <n v="28"/>
    <n v="11"/>
    <x v="2"/>
    <s v="Normal"/>
    <s v="No"/>
    <s v="Standard"/>
    <x v="1"/>
    <s v="North America"/>
    <n v="2"/>
  </r>
  <r>
    <n v="101"/>
    <s v="FitAchiever"/>
    <s v="Pride in completing a challenging fitness challenge."/>
    <x v="25"/>
    <d v="2023-02-28T16:00:00"/>
    <x v="1"/>
    <s v=" #Pride #FitnessChallengeCompleted          "/>
    <n v="30"/>
    <n v="60"/>
    <x v="2"/>
    <x v="0"/>
    <x v="1"/>
    <n v="28"/>
    <n v="16"/>
    <x v="7"/>
    <s v="Popular"/>
    <s v="Yes"/>
    <s v="Wide Reach"/>
    <x v="0"/>
    <s v="Europe"/>
    <n v="2"/>
  </r>
  <r>
    <n v="102"/>
    <s v="ReflectiveSelf2"/>
    <s v="A moment of shame for not speaking up against injustice."/>
    <x v="26"/>
    <d v="2023-02-28T19:45:00"/>
    <x v="2"/>
    <s v=" #Shame #Injustice                           "/>
    <n v="15"/>
    <n v="30"/>
    <x v="4"/>
    <x v="0"/>
    <x v="1"/>
    <n v="28"/>
    <n v="19"/>
    <x v="0"/>
    <s v="Normal"/>
    <s v="No"/>
    <s v="Standard"/>
    <x v="2"/>
    <s v="Asia"/>
    <n v="2"/>
  </r>
  <r>
    <n v="103"/>
    <s v="DiversityLover"/>
    <s v="Reflecting on the beauty of diversity in our world."/>
    <x v="17"/>
    <d v="2023-03-01T10:45:00"/>
    <x v="0"/>
    <s v=" #Acceptance #Diversity                      "/>
    <n v="22"/>
    <n v="45"/>
    <x v="3"/>
    <x v="0"/>
    <x v="2"/>
    <n v="1"/>
    <n v="10"/>
    <x v="9"/>
    <s v="Popular"/>
    <s v="No"/>
    <s v="Wide Reach"/>
    <x v="1"/>
    <s v="Oceania"/>
    <n v="2.0454545454545454"/>
  </r>
  <r>
    <n v="104"/>
    <s v="BookwormJoy"/>
    <s v="Excitement for a quiet evening with a good book."/>
    <x v="23"/>
    <d v="2023-03-01T13:30:00"/>
    <x v="1"/>
    <s v=" #Excitement #BookTime                       "/>
    <n v="18"/>
    <n v="35"/>
    <x v="0"/>
    <x v="0"/>
    <x v="2"/>
    <n v="1"/>
    <n v="13"/>
    <x v="8"/>
    <s v="Normal"/>
    <s v="No"/>
    <s v="Standard"/>
    <x v="0"/>
    <s v="North America"/>
    <n v="1.9444444444444444"/>
  </r>
  <r>
    <n v="105"/>
    <s v="WorkplaceWoes"/>
    <s v="Feeling bitter about the unfairness in the workplace."/>
    <x v="20"/>
    <d v="2023-03-01T17:45:00"/>
    <x v="0"/>
    <s v=" #Bitter #Unfairness                         "/>
    <n v="15"/>
    <n v="30"/>
    <x v="1"/>
    <x v="0"/>
    <x v="2"/>
    <n v="1"/>
    <n v="17"/>
    <x v="0"/>
    <s v="Normal"/>
    <s v="No"/>
    <s v="Standard"/>
    <x v="0"/>
    <s v="North America"/>
    <n v="2"/>
  </r>
  <r>
    <n v="106"/>
    <s v="MindfulMe"/>
    <s v="Calmness prevails as I practice mindfulness."/>
    <x v="21"/>
    <d v="2023-03-02T18:00:00"/>
    <x v="2"/>
    <s v=" #Calmness #Mindfulness                      "/>
    <n v="15"/>
    <n v="30"/>
    <x v="2"/>
    <x v="0"/>
    <x v="2"/>
    <n v="2"/>
    <n v="18"/>
    <x v="0"/>
    <s v="Normal"/>
    <s v="No"/>
    <s v="Standard"/>
    <x v="2"/>
    <s v="Europe"/>
    <n v="2"/>
  </r>
  <r>
    <n v="107"/>
    <s v="ConfusedMind3"/>
    <s v="Confusion surrounds me as I navigate through life's choices."/>
    <x v="22"/>
    <d v="2023-03-02T13:15:00"/>
    <x v="1"/>
    <s v=" #Confusion #LifeChoices                     "/>
    <n v="30"/>
    <n v="60"/>
    <x v="0"/>
    <x v="0"/>
    <x v="2"/>
    <n v="2"/>
    <n v="13"/>
    <x v="7"/>
    <s v="Popular"/>
    <s v="Yes"/>
    <s v="Wide Reach"/>
    <x v="0"/>
    <s v="North America"/>
    <n v="2"/>
  </r>
  <r>
    <n v="108"/>
    <s v="RoadTripper2"/>
    <s v="Excitement for a weekend road trip to explore new places."/>
    <x v="23"/>
    <d v="2023-03-02T16:45:00"/>
    <x v="0"/>
    <s v=" #Excitement #WeekendAdventure               "/>
    <n v="25"/>
    <n v="50"/>
    <x v="4"/>
    <x v="0"/>
    <x v="2"/>
    <n v="2"/>
    <n v="16"/>
    <x v="5"/>
    <s v="Popular"/>
    <s v="No"/>
    <s v="Wide Reach"/>
    <x v="0"/>
    <s v="Asia"/>
    <n v="2"/>
  </r>
  <r>
    <n v="109"/>
    <s v="KindnessPrevails2"/>
    <s v="Kindness witnessed today restores my faith in humanity."/>
    <x v="24"/>
    <d v="2023-03-03T11:30:00"/>
    <x v="2"/>
    <s v=" #Kindness #HumanityRestored                 "/>
    <n v="22"/>
    <n v="45"/>
    <x v="0"/>
    <x v="0"/>
    <x v="2"/>
    <n v="3"/>
    <n v="11"/>
    <x v="9"/>
    <s v="Popular"/>
    <s v="No"/>
    <s v="Wide Reach"/>
    <x v="1"/>
    <s v="North America"/>
    <n v="2.0454545454545454"/>
  </r>
  <r>
    <n v="110"/>
    <s v="GoalAchiever"/>
    <s v="Pride in accomplishing personal and professional goals."/>
    <x v="25"/>
    <d v="2023-03-03T14:30:00"/>
    <x v="1"/>
    <s v=" #Pride #Accomplishments                     "/>
    <n v="12"/>
    <n v="25"/>
    <x v="1"/>
    <x v="0"/>
    <x v="2"/>
    <n v="3"/>
    <n v="14"/>
    <x v="4"/>
    <s v="Normal"/>
    <s v="No"/>
    <s v="Standard"/>
    <x v="0"/>
    <s v="North America"/>
    <n v="2.0833333333333335"/>
  </r>
  <r>
    <n v="111"/>
    <s v="ReflectiveSelf3"/>
    <s v="Shame for not being true to my values in a difficult situation."/>
    <x v="26"/>
    <d v="2023-03-03T12:00:00"/>
    <x v="0"/>
    <s v=" #Shame #Integrity                           "/>
    <n v="15"/>
    <n v="30"/>
    <x v="2"/>
    <x v="0"/>
    <x v="2"/>
    <n v="3"/>
    <n v="12"/>
    <x v="0"/>
    <s v="Normal"/>
    <s v="No"/>
    <s v="Standard"/>
    <x v="0"/>
    <s v="Europe"/>
    <n v="2"/>
  </r>
  <r>
    <n v="112"/>
    <s v="NostalgiaFan"/>
    <s v="Revisiting old memories, feeling a sense of elation."/>
    <x v="27"/>
    <d v="2010-05-15T15:30:00"/>
    <x v="0"/>
    <s v=" #Elation #Memories                             "/>
    <n v="20"/>
    <n v="40"/>
    <x v="1"/>
    <x v="1"/>
    <x v="3"/>
    <n v="15"/>
    <n v="15"/>
    <x v="2"/>
    <s v="Normal"/>
    <s v="No"/>
    <s v="Standard"/>
    <x v="0"/>
    <s v="North America"/>
    <n v="2"/>
  </r>
  <r>
    <n v="113"/>
    <s v="SportsFanatic"/>
    <s v="The victory of our team brought euphoria to the city."/>
    <x v="28"/>
    <d v="2021-08-10T21:15:00"/>
    <x v="1"/>
    <s v=" #Euphoria #Victory                             "/>
    <n v="15"/>
    <n v="30"/>
    <x v="0"/>
    <x v="2"/>
    <x v="4"/>
    <n v="10"/>
    <n v="21"/>
    <x v="0"/>
    <s v="Normal"/>
    <s v="No"/>
    <s v="Standard"/>
    <x v="2"/>
    <s v="North America"/>
    <n v="2"/>
  </r>
  <r>
    <n v="114"/>
    <s v="NatureLover2"/>
    <s v="Embracing the beauty of nature, a moment of contentment."/>
    <x v="29"/>
    <d v="2011-06-20T14:45:00"/>
    <x v="2"/>
    <s v=" #Contentment #Nature                           "/>
    <n v="25"/>
    <n v="50"/>
    <x v="4"/>
    <x v="3"/>
    <x v="5"/>
    <n v="20"/>
    <n v="14"/>
    <x v="5"/>
    <s v="Popular"/>
    <s v="No"/>
    <s v="Wide Reach"/>
    <x v="0"/>
    <s v="Asia"/>
    <n v="2"/>
  </r>
  <r>
    <n v="115"/>
    <s v="ZenMaster2"/>
    <s v="Meditating by the serene lake, finding inner peace."/>
    <x v="30"/>
    <d v="2022-02-12T18:20:00"/>
    <x v="0"/>
    <s v=" #Serenity #Meditation                          "/>
    <n v="18"/>
    <n v="35"/>
    <x v="2"/>
    <x v="4"/>
    <x v="1"/>
    <n v="12"/>
    <n v="18"/>
    <x v="8"/>
    <s v="Normal"/>
    <s v="No"/>
    <s v="Standard"/>
    <x v="2"/>
    <s v="Europe"/>
    <n v="1.9444444444444444"/>
  </r>
  <r>
    <n v="116"/>
    <s v="ThankfulHeart"/>
    <s v="Overflowing with gratitude for life's blessings."/>
    <x v="31"/>
    <d v="2012-11-25T10:00:00"/>
    <x v="1"/>
    <s v=" #Gratitude #Blessed                            "/>
    <n v="30"/>
    <n v="60"/>
    <x v="3"/>
    <x v="5"/>
    <x v="6"/>
    <n v="25"/>
    <n v="10"/>
    <x v="7"/>
    <s v="Popular"/>
    <s v="Yes"/>
    <s v="Wide Reach"/>
    <x v="1"/>
    <s v="Oceania"/>
    <n v="2"/>
  </r>
  <r>
    <n v="117"/>
    <s v="OptimisticSoul"/>
    <s v="Hopeful for a brighter tomorrow, despite challenges."/>
    <x v="32"/>
    <d v="2013-04-05T19:30:00"/>
    <x v="2"/>
    <s v=" #Hope #Optimism                                "/>
    <n v="22"/>
    <n v="45"/>
    <x v="0"/>
    <x v="6"/>
    <x v="7"/>
    <n v="5"/>
    <n v="19"/>
    <x v="9"/>
    <s v="Popular"/>
    <s v="No"/>
    <s v="Wide Reach"/>
    <x v="2"/>
    <s v="North America"/>
    <n v="2.0454545454545454"/>
  </r>
  <r>
    <n v="118"/>
    <s v="CommunityLeader"/>
    <s v="Empowered to make a difference in my community."/>
    <x v="33"/>
    <d v="2014-09-14T08:30:00"/>
    <x v="0"/>
    <s v=" #Empowerment #Community                        "/>
    <n v="15"/>
    <n v="30"/>
    <x v="2"/>
    <x v="7"/>
    <x v="8"/>
    <n v="14"/>
    <n v="8"/>
    <x v="0"/>
    <s v="Normal"/>
    <s v="No"/>
    <s v="Standard"/>
    <x v="1"/>
    <s v="Europe"/>
    <n v="2"/>
  </r>
  <r>
    <n v="119"/>
    <s v="CharitySupporter"/>
    <s v="Compassion in action: supporting a local charity event."/>
    <x v="34"/>
    <d v="2015-07-18T14:20:00"/>
    <x v="1"/>
    <s v=" #Compassion #CharityEvent                   "/>
    <n v="18"/>
    <n v="35"/>
    <x v="1"/>
    <x v="8"/>
    <x v="9"/>
    <n v="18"/>
    <n v="14"/>
    <x v="8"/>
    <s v="Normal"/>
    <s v="No"/>
    <s v="Standard"/>
    <x v="0"/>
    <s v="North America"/>
    <n v="1.9444444444444444"/>
  </r>
  <r>
    <n v="120"/>
    <s v="LovingHeart"/>
    <s v="A moment of tenderness, connecting with loved ones."/>
    <x v="35"/>
    <d v="2016-02-23T19:45:00"/>
    <x v="2"/>
    <s v=" #Tenderness #FamilyTime                       "/>
    <n v="25"/>
    <n v="50"/>
    <x v="2"/>
    <x v="9"/>
    <x v="1"/>
    <n v="23"/>
    <n v="19"/>
    <x v="5"/>
    <s v="Popular"/>
    <s v="No"/>
    <s v="Wide Reach"/>
    <x v="2"/>
    <s v="Europe"/>
    <n v="2"/>
  </r>
  <r>
    <n v="121"/>
    <s v="ExcitementFan"/>
    <s v="Arousal of excitement as I await a special announcement."/>
    <x v="36"/>
    <d v="2017-10-30T11:30:00"/>
    <x v="0"/>
    <s v=" #Arousal #Excitement                           "/>
    <n v="20"/>
    <n v="40"/>
    <x v="3"/>
    <x v="10"/>
    <x v="10"/>
    <n v="30"/>
    <n v="11"/>
    <x v="2"/>
    <s v="Normal"/>
    <s v="No"/>
    <s v="Standard"/>
    <x v="1"/>
    <s v="Oceania"/>
    <n v="2"/>
  </r>
  <r>
    <n v="122"/>
    <s v="ProjectEnthusiast"/>
    <s v="Enthusiastically diving into a new project."/>
    <x v="37"/>
    <d v="2018-06-15T16:00:00"/>
    <x v="1"/>
    <s v=" #Enthusiasm #NewProject                       "/>
    <n v="15"/>
    <n v="30"/>
    <x v="0"/>
    <x v="11"/>
    <x v="5"/>
    <n v="15"/>
    <n v="16"/>
    <x v="0"/>
    <s v="Normal"/>
    <s v="No"/>
    <s v="Standard"/>
    <x v="0"/>
    <s v="North America"/>
    <n v="2"/>
  </r>
  <r>
    <n v="123"/>
    <s v="MilestoneAchiever"/>
    <s v="Feeling a sense of fulfillment after reaching a milestone."/>
    <x v="38"/>
    <d v="2019-03-28T18:20:00"/>
    <x v="2"/>
    <s v=" #Fulfillment #Milestone                       "/>
    <n v="22"/>
    <n v="45"/>
    <x v="4"/>
    <x v="12"/>
    <x v="2"/>
    <n v="28"/>
    <n v="18"/>
    <x v="9"/>
    <s v="Popular"/>
    <s v="No"/>
    <s v="Wide Reach"/>
    <x v="2"/>
    <s v="Asia"/>
    <n v="2.0454545454545454"/>
  </r>
  <r>
    <n v="124"/>
    <s v="HistoryLover"/>
    <s v="Reverence for the beauty of a historic landmark."/>
    <x v="39"/>
    <d v="2019-11-11T15:00:00"/>
    <x v="0"/>
    <s v=" #Reverence #History                           "/>
    <n v="18"/>
    <n v="35"/>
    <x v="2"/>
    <x v="12"/>
    <x v="6"/>
    <n v="11"/>
    <n v="15"/>
    <x v="8"/>
    <s v="Normal"/>
    <s v="No"/>
    <s v="Standard"/>
    <x v="0"/>
    <s v="Europe"/>
    <n v="1.9444444444444444"/>
  </r>
  <r>
    <n v="125"/>
    <s v="JoyfulReunion2"/>
    <s v="Elation after a surprise reunion with old friends."/>
    <x v="27"/>
    <d v="2020-04-02T09:30:00"/>
    <x v="1"/>
    <s v=" #Elation #OldFriends                          "/>
    <n v="25"/>
    <n v="50"/>
    <x v="1"/>
    <x v="13"/>
    <x v="7"/>
    <n v="2"/>
    <n v="9"/>
    <x v="5"/>
    <s v="Popular"/>
    <s v="No"/>
    <s v="Wide Reach"/>
    <x v="1"/>
    <s v="North America"/>
    <n v="2"/>
  </r>
  <r>
    <n v="126"/>
    <s v="MusicEnthusiast"/>
    <s v="The euphoria of a live music concert under the stars."/>
    <x v="28"/>
    <d v="2021-06-19T14:45:00"/>
    <x v="2"/>
    <s v=" #Euphoria #LiveMusic                          "/>
    <n v="15"/>
    <n v="30"/>
    <x v="0"/>
    <x v="2"/>
    <x v="5"/>
    <n v="19"/>
    <n v="14"/>
    <x v="0"/>
    <s v="Normal"/>
    <s v="No"/>
    <s v="Standard"/>
    <x v="0"/>
    <s v="North America"/>
    <n v="2"/>
  </r>
  <r>
    <n v="127"/>
    <s v="SimpleJoys"/>
    <s v="Contentment in the simplicity of a quiet Sunday."/>
    <x v="29"/>
    <d v="2010-08-15T10:00:00"/>
    <x v="0"/>
    <s v=" #Contentment #SundayMood                      "/>
    <n v="30"/>
    <n v="60"/>
    <x v="3"/>
    <x v="1"/>
    <x v="4"/>
    <n v="15"/>
    <n v="10"/>
    <x v="7"/>
    <s v="Popular"/>
    <s v="Yes"/>
    <s v="Wide Reach"/>
    <x v="1"/>
    <s v="Oceania"/>
    <n v="2"/>
  </r>
  <r>
    <n v="128"/>
    <s v="BookLover3"/>
    <s v="Serenity found in the pages of a favorite book."/>
    <x v="30"/>
    <d v="2011-09-22T19:30:00"/>
    <x v="1"/>
    <s v=" #Serenity #BookTime                           "/>
    <n v="22"/>
    <n v="45"/>
    <x v="2"/>
    <x v="3"/>
    <x v="8"/>
    <n v="22"/>
    <n v="19"/>
    <x v="9"/>
    <s v="Popular"/>
    <s v="No"/>
    <s v="Wide Reach"/>
    <x v="2"/>
    <s v="Europe"/>
    <n v="2.0454545454545454"/>
  </r>
  <r>
    <n v="129"/>
    <s v="SupportiveFriend"/>
    <s v="Gratitude for the support received during tough times."/>
    <x v="31"/>
    <d v="2012-03-10T08:30:00"/>
    <x v="2"/>
    <s v=" #Gratitude #Supportive                        "/>
    <n v="15"/>
    <n v="30"/>
    <x v="4"/>
    <x v="5"/>
    <x v="2"/>
    <n v="10"/>
    <n v="8"/>
    <x v="0"/>
    <s v="Normal"/>
    <s v="No"/>
    <s v="Standard"/>
    <x v="1"/>
    <s v="Asia"/>
    <n v="2"/>
  </r>
  <r>
    <n v="130"/>
    <s v="JourneyOptimist"/>
    <s v="Hopeful about the possibilities of a new journey."/>
    <x v="32"/>
    <d v="2013-12-05T16:00:00"/>
    <x v="0"/>
    <s v=" #Hope #NewBeginnings                          "/>
    <n v="18"/>
    <n v="35"/>
    <x v="1"/>
    <x v="6"/>
    <x v="11"/>
    <n v="5"/>
    <n v="16"/>
    <x v="8"/>
    <s v="Normal"/>
    <s v="No"/>
    <s v="Standard"/>
    <x v="0"/>
    <s v="North America"/>
    <n v="1.9444444444444444"/>
  </r>
  <r>
    <n v="131"/>
    <s v="GrowthSeeker"/>
    <s v="Empowerment through learning and personal growth."/>
    <x v="33"/>
    <d v="2014-07-20T11:30:00"/>
    <x v="1"/>
    <s v=" #Empowerment #PersonalGrowth                  "/>
    <n v="25"/>
    <n v="50"/>
    <x v="0"/>
    <x v="7"/>
    <x v="9"/>
    <n v="20"/>
    <n v="11"/>
    <x v="5"/>
    <s v="Popular"/>
    <s v="No"/>
    <s v="Wide Reach"/>
    <x v="1"/>
    <s v="North America"/>
    <n v="2"/>
  </r>
  <r>
    <n v="132"/>
    <s v="HolidayHelper"/>
    <s v="Compassion towards those in need during the holidays."/>
    <x v="34"/>
    <d v="2015-12-22T14:20:00"/>
    <x v="2"/>
    <s v=" #Compassion #HolidaySupport                   "/>
    <n v="18"/>
    <n v="35"/>
    <x v="0"/>
    <x v="8"/>
    <x v="11"/>
    <n v="22"/>
    <n v="14"/>
    <x v="8"/>
    <s v="Normal"/>
    <s v="No"/>
    <s v="Standard"/>
    <x v="0"/>
    <s v="North America"/>
    <n v="1.9444444444444444"/>
  </r>
  <r>
    <n v="133"/>
    <s v="WinterWarmth"/>
    <s v="Tenderness in the warmth of a cozy winter evening."/>
    <x v="35"/>
    <d v="2016-02-10T19:45:00"/>
    <x v="0"/>
    <s v=" #Tenderness #CozyEvening                     "/>
    <n v="25"/>
    <n v="50"/>
    <x v="2"/>
    <x v="9"/>
    <x v="1"/>
    <n v="10"/>
    <n v="19"/>
    <x v="5"/>
    <s v="Popular"/>
    <s v="No"/>
    <s v="Wide Reach"/>
    <x v="2"/>
    <s v="Europe"/>
    <n v="2"/>
  </r>
  <r>
    <n v="134"/>
    <s v="AdventureAwaits"/>
    <s v="Arousal of excitement for an upcoming adventure."/>
    <x v="36"/>
    <d v="2017-04-30T11:30:00"/>
    <x v="1"/>
    <s v=" #Arousal #AdventureTime                       "/>
    <n v="20"/>
    <n v="40"/>
    <x v="3"/>
    <x v="10"/>
    <x v="7"/>
    <n v="30"/>
    <n v="11"/>
    <x v="2"/>
    <s v="Normal"/>
    <s v="No"/>
    <s v="Standard"/>
    <x v="1"/>
    <s v="Oceania"/>
    <n v="2"/>
  </r>
  <r>
    <n v="135"/>
    <s v="CreativeSpirit"/>
    <s v="Enthusiasm for a creative project in the making."/>
    <x v="37"/>
    <d v="2018-09-15T16:00:00"/>
    <x v="2"/>
    <s v=" #Enthusiasm #Creativity                       "/>
    <n v="15"/>
    <n v="30"/>
    <x v="1"/>
    <x v="11"/>
    <x v="8"/>
    <n v="15"/>
    <n v="16"/>
    <x v="0"/>
    <s v="Normal"/>
    <s v="No"/>
    <s v="Standard"/>
    <x v="0"/>
    <s v="North America"/>
    <n v="2"/>
  </r>
  <r>
    <n v="136"/>
    <s v="FitnessAchiever"/>
    <s v="Fulfillment in completing a challenging workout routine."/>
    <x v="38"/>
    <d v="2019-06-28T18:20:00"/>
    <x v="0"/>
    <s v=" #Fulfillment #FitnessGoals                   "/>
    <n v="22"/>
    <n v="45"/>
    <x v="4"/>
    <x v="12"/>
    <x v="5"/>
    <n v="28"/>
    <n v="18"/>
    <x v="9"/>
    <s v="Popular"/>
    <s v="No"/>
    <s v="Wide Reach"/>
    <x v="2"/>
    <s v="Asia"/>
    <n v="2.0454545454545454"/>
  </r>
  <r>
    <n v="137"/>
    <s v="ArtAppreciator"/>
    <s v="Reverence for the artistry displayed in a museum."/>
    <x v="39"/>
    <d v="2020-11-11T15:00:00"/>
    <x v="1"/>
    <s v=" #Reverence #ArtAppreciation                  "/>
    <n v="18"/>
    <n v="35"/>
    <x v="2"/>
    <x v="13"/>
    <x v="6"/>
    <n v="11"/>
    <n v="15"/>
    <x v="8"/>
    <s v="Normal"/>
    <s v="No"/>
    <s v="Standard"/>
    <x v="0"/>
    <s v="Europe"/>
    <n v="1.9444444444444444"/>
  </r>
  <r>
    <n v="138"/>
    <s v="GoalAchiever2"/>
    <s v="Elation after achieving a personal goal."/>
    <x v="27"/>
    <d v="2021-03-02T09:30:00"/>
    <x v="2"/>
    <s v=" #Elation #PersonalAchievement                "/>
    <n v="25"/>
    <n v="50"/>
    <x v="0"/>
    <x v="2"/>
    <x v="2"/>
    <n v="2"/>
    <n v="9"/>
    <x v="5"/>
    <s v="Popular"/>
    <s v="No"/>
    <s v="Wide Reach"/>
    <x v="1"/>
    <s v="North America"/>
    <n v="2"/>
  </r>
  <r>
    <n v="139"/>
    <s v="UrbanExplorer2"/>
    <s v="Elation over discovering a hidden gem in the city."/>
    <x v="27"/>
    <d v="2012-02-18T14:30:00"/>
    <x v="0"/>
    <s v=" #Elation #HiddenGem                            "/>
    <n v="20"/>
    <n v="40"/>
    <x v="0"/>
    <x v="5"/>
    <x v="1"/>
    <n v="18"/>
    <n v="14"/>
    <x v="2"/>
    <s v="Normal"/>
    <s v="No"/>
    <s v="Standard"/>
    <x v="0"/>
    <s v="North America"/>
    <n v="2"/>
  </r>
  <r>
    <n v="140"/>
    <s v="BirthdayJoy"/>
    <s v="The euphoria of a surprise birthday celebration."/>
    <x v="28"/>
    <d v="2018-11-05T21:45:00"/>
    <x v="1"/>
    <s v=" #Euphoria #BirthdaySurprise                   "/>
    <n v="15"/>
    <n v="30"/>
    <x v="2"/>
    <x v="11"/>
    <x v="6"/>
    <n v="5"/>
    <n v="21"/>
    <x v="0"/>
    <s v="Normal"/>
    <s v="No"/>
    <s v="Standard"/>
    <x v="2"/>
    <s v="Europe"/>
    <n v="2"/>
  </r>
  <r>
    <n v="141"/>
    <s v="HomeChef"/>
    <s v="Contentment in the simplicity of a home-cooked meal."/>
    <x v="29"/>
    <d v="2015-09-12T13:20:00"/>
    <x v="2"/>
    <s v=" #Contentment #HomeCooking                     "/>
    <n v="25"/>
    <n v="50"/>
    <x v="4"/>
    <x v="8"/>
    <x v="8"/>
    <n v="12"/>
    <n v="13"/>
    <x v="5"/>
    <s v="Popular"/>
    <s v="No"/>
    <s v="Wide Reach"/>
    <x v="0"/>
    <s v="Asia"/>
    <n v="2"/>
  </r>
  <r>
    <n v="142"/>
    <s v="MusicLover4"/>
    <s v="Serenity found in the melody of a peaceful piano."/>
    <x v="30"/>
    <d v="2016-07-30T18:10:00"/>
    <x v="0"/>
    <s v=" #Serenity #PeacefulMelody                    "/>
    <n v="18"/>
    <n v="35"/>
    <x v="1"/>
    <x v="9"/>
    <x v="9"/>
    <n v="30"/>
    <n v="18"/>
    <x v="8"/>
    <s v="Normal"/>
    <s v="No"/>
    <s v="Standard"/>
    <x v="2"/>
    <s v="North America"/>
    <n v="1.9444444444444444"/>
  </r>
  <r>
    <n v="143"/>
    <s v="CommunityLove"/>
    <s v="Gratitude for the supportive community around me."/>
    <x v="31"/>
    <d v="2013-04-20T10:30:00"/>
    <x v="1"/>
    <s v=" #Gratitude #CommunitySupport                   "/>
    <n v="30"/>
    <n v="60"/>
    <x v="0"/>
    <x v="6"/>
    <x v="7"/>
    <n v="20"/>
    <n v="10"/>
    <x v="7"/>
    <s v="Popular"/>
    <s v="Yes"/>
    <s v="Wide Reach"/>
    <x v="1"/>
    <s v="North America"/>
    <n v="2"/>
  </r>
  <r>
    <n v="144"/>
    <s v="EntrepreneurHope"/>
    <s v="Hopeful about the prospects of a new business venture."/>
    <x v="32"/>
    <d v="2017-12-08T19:15:00"/>
    <x v="2"/>
    <s v=" #Hope #BusinessVenture                        "/>
    <n v="22"/>
    <n v="45"/>
    <x v="1"/>
    <x v="10"/>
    <x v="11"/>
    <n v="8"/>
    <n v="19"/>
    <x v="9"/>
    <s v="Popular"/>
    <s v="No"/>
    <s v="Wide Reach"/>
    <x v="2"/>
    <s v="North America"/>
    <n v="2.0454545454545454"/>
  </r>
  <r>
    <n v="145"/>
    <s v="MentorEmpower"/>
    <s v="Empowerment through mentoring and guiding others."/>
    <x v="33"/>
    <d v="2014-06-03T08:20:00"/>
    <x v="0"/>
    <s v=" #Empowerment #Mentorship                      "/>
    <n v="15"/>
    <n v="30"/>
    <x v="2"/>
    <x v="7"/>
    <x v="5"/>
    <n v="3"/>
    <n v="8"/>
    <x v="0"/>
    <s v="Normal"/>
    <s v="No"/>
    <s v="Standard"/>
    <x v="1"/>
    <s v="Europe"/>
    <n v="2"/>
  </r>
  <r>
    <n v="146"/>
    <s v="KindnessInAction"/>
    <s v="Compassion shown through acts of kindness in the community."/>
    <x v="34"/>
    <d v="2019-01-15T14:50:00"/>
    <x v="1"/>
    <s v=" #Compassion #CommunityKindness               "/>
    <n v="18"/>
    <n v="35"/>
    <x v="3"/>
    <x v="12"/>
    <x v="0"/>
    <n v="15"/>
    <n v="14"/>
    <x v="8"/>
    <s v="Normal"/>
    <s v="No"/>
    <s v="Standard"/>
    <x v="0"/>
    <s v="Oceania"/>
    <n v="1.9444444444444444"/>
  </r>
  <r>
    <n v="147"/>
    <s v="LoveExpress"/>
    <s v="Tenderness in a heartfelt message to a loved one."/>
    <x v="35"/>
    <d v="2016-12-25T19:30:00"/>
    <x v="2"/>
    <s v=" #Tenderness #LoveNote                         "/>
    <n v="25"/>
    <n v="50"/>
    <x v="2"/>
    <x v="9"/>
    <x v="11"/>
    <n v="25"/>
    <n v="19"/>
    <x v="5"/>
    <s v="Popular"/>
    <s v="No"/>
    <s v="Wide Reach"/>
    <x v="2"/>
    <s v="Europe"/>
    <n v="2"/>
  </r>
  <r>
    <n v="148"/>
    <s v="TravelExcitement"/>
    <s v="Arousal of excitement before a much-awaited trip."/>
    <x v="36"/>
    <d v="2018-03-10T09:45:00"/>
    <x v="0"/>
    <s v=" #Arousal #TravelAdventure                     "/>
    <n v="20"/>
    <n v="40"/>
    <x v="4"/>
    <x v="11"/>
    <x v="2"/>
    <n v="10"/>
    <n v="9"/>
    <x v="2"/>
    <s v="Normal"/>
    <s v="No"/>
    <s v="Standard"/>
    <x v="1"/>
    <s v="Asia"/>
    <n v="2"/>
  </r>
  <r>
    <n v="149"/>
    <s v="ArtisticSpirit"/>
    <s v="Enthusiasm for a new artistic project in the works."/>
    <x v="37"/>
    <d v="2020-09-17T16:30:00"/>
    <x v="1"/>
    <s v=" #Enthusiasm #ArtisticProject                 "/>
    <n v="15"/>
    <n v="30"/>
    <x v="0"/>
    <x v="13"/>
    <x v="8"/>
    <n v="17"/>
    <n v="16"/>
    <x v="0"/>
    <s v="Normal"/>
    <s v="No"/>
    <s v="Standard"/>
    <x v="0"/>
    <s v="North America"/>
    <n v="2"/>
  </r>
  <r>
    <n v="150"/>
    <s v="HelperHeart"/>
    <s v="Feeling a sense of fulfillment after helping others."/>
    <x v="38"/>
    <d v="2011-08-28T18:45:00"/>
    <x v="2"/>
    <s v=" #Fulfillment #HelpingOthers                  "/>
    <n v="22"/>
    <n v="45"/>
    <x v="1"/>
    <x v="3"/>
    <x v="4"/>
    <n v="28"/>
    <n v="18"/>
    <x v="9"/>
    <s v="Popular"/>
    <s v="No"/>
    <s v="Wide Reach"/>
    <x v="2"/>
    <s v="North America"/>
    <n v="2.0454545454545454"/>
  </r>
  <r>
    <n v="151"/>
    <s v="HistoryBuff"/>
    <s v="Reverence for the historical significance of a landmark."/>
    <x v="39"/>
    <d v="2017-11-01T15:30:00"/>
    <x v="0"/>
    <s v=" #Reverence #HistoricalSite                   "/>
    <n v="18"/>
    <n v="35"/>
    <x v="3"/>
    <x v="10"/>
    <x v="6"/>
    <n v="1"/>
    <n v="15"/>
    <x v="8"/>
    <s v="Normal"/>
    <s v="No"/>
    <s v="Standard"/>
    <x v="0"/>
    <s v="Oceania"/>
    <n v="1.9444444444444444"/>
  </r>
  <r>
    <n v="152"/>
    <s v="FitnessAchiever2"/>
    <s v="Elation after achieving a fitness milestone."/>
    <x v="27"/>
    <d v="2019-06-15T10:00:00"/>
    <x v="1"/>
    <s v=" #Elation #FitnessMilestone                   "/>
    <n v="25"/>
    <n v="50"/>
    <x v="2"/>
    <x v="12"/>
    <x v="5"/>
    <n v="15"/>
    <n v="10"/>
    <x v="5"/>
    <s v="Popular"/>
    <s v="No"/>
    <s v="Wide Reach"/>
    <x v="1"/>
    <s v="Europe"/>
    <n v="2"/>
  </r>
  <r>
    <n v="153"/>
    <s v="ProductLaunchJoy"/>
    <s v="The euphoria of a successful product launch."/>
    <x v="28"/>
    <d v="2022-04-03T11:45:00"/>
    <x v="2"/>
    <s v=" #Euphoria #ProductLaunchSuccess              "/>
    <n v="15"/>
    <n v="30"/>
    <x v="0"/>
    <x v="4"/>
    <x v="7"/>
    <n v="3"/>
    <n v="11"/>
    <x v="0"/>
    <s v="Normal"/>
    <s v="No"/>
    <s v="Standard"/>
    <x v="1"/>
    <s v="North America"/>
    <n v="2"/>
  </r>
  <r>
    <n v="154"/>
    <s v="LovingEmbrace"/>
    <s v="Contentment in the embrace of a loved one."/>
    <x v="29"/>
    <d v="2010-11-12T20:20:00"/>
    <x v="0"/>
    <s v=" #Contentment #Love                             "/>
    <n v="30"/>
    <n v="60"/>
    <x v="4"/>
    <x v="1"/>
    <x v="6"/>
    <n v="12"/>
    <n v="20"/>
    <x v="7"/>
    <s v="Popular"/>
    <s v="Yes"/>
    <s v="Wide Reach"/>
    <x v="2"/>
    <s v="Asia"/>
    <n v="2"/>
  </r>
  <r>
    <n v="155"/>
    <s v="SunsetWatcher2"/>
    <s v="Serenity found in the beauty of a sunset by the sea."/>
    <x v="30"/>
    <d v="2011-07-22T18:30:00"/>
    <x v="1"/>
    <s v=" #Serenity #SunsetViews                       "/>
    <n v="22"/>
    <n v="45"/>
    <x v="1"/>
    <x v="3"/>
    <x v="9"/>
    <n v="22"/>
    <n v="18"/>
    <x v="9"/>
    <s v="Popular"/>
    <s v="No"/>
    <s v="Wide Reach"/>
    <x v="2"/>
    <s v="North America"/>
    <n v="2.0454545454545454"/>
  </r>
  <r>
    <n v="156"/>
    <s v="JoyfulHeart2"/>
    <s v="Gratitude for the small joys that each day brings."/>
    <x v="31"/>
    <d v="2012-03-30T11:20:00"/>
    <x v="2"/>
    <s v=" #Gratitude #SmallJoys                        "/>
    <n v="15"/>
    <n v="30"/>
    <x v="3"/>
    <x v="5"/>
    <x v="2"/>
    <n v="30"/>
    <n v="11"/>
    <x v="0"/>
    <s v="Normal"/>
    <s v="No"/>
    <s v="Standard"/>
    <x v="1"/>
    <s v="Oceania"/>
    <n v="2"/>
  </r>
  <r>
    <n v="157"/>
    <s v="GrowthOptimist"/>
    <s v="Hopeful about the potential for personal growth."/>
    <x v="32"/>
    <d v="2013-10-05T16:40:00"/>
    <x v="0"/>
    <s v=" #Hope #PersonalDevelopment                    "/>
    <n v="18"/>
    <n v="35"/>
    <x v="2"/>
    <x v="6"/>
    <x v="10"/>
    <n v="5"/>
    <n v="16"/>
    <x v="8"/>
    <s v="Normal"/>
    <s v="No"/>
    <s v="Standard"/>
    <x v="0"/>
    <s v="Europe"/>
    <n v="1.9444444444444444"/>
  </r>
  <r>
    <n v="158"/>
    <s v="SkillEmpower"/>
    <s v="Empowerment through learning a new skill."/>
    <x v="33"/>
    <d v="2014-07-10T13:15:00"/>
    <x v="1"/>
    <s v=" #Empowerment #SkillBuilding                   "/>
    <n v="25"/>
    <n v="50"/>
    <x v="4"/>
    <x v="7"/>
    <x v="9"/>
    <n v="10"/>
    <n v="13"/>
    <x v="5"/>
    <s v="Popular"/>
    <s v="No"/>
    <s v="Wide Reach"/>
    <x v="0"/>
    <s v="Asia"/>
    <n v="2"/>
  </r>
  <r>
    <n v="159"/>
    <s v="CharityVolunteer"/>
    <s v="Compassion in volunteering for a local charity."/>
    <x v="34"/>
    <d v="2015-12-18T14:20:00"/>
    <x v="2"/>
    <s v=" #Compassion #VolunteerWork                   "/>
    <n v="18"/>
    <n v="35"/>
    <x v="0"/>
    <x v="8"/>
    <x v="11"/>
    <n v="18"/>
    <n v="14"/>
    <x v="8"/>
    <s v="Normal"/>
    <s v="No"/>
    <s v="Standard"/>
    <x v="0"/>
    <s v="North America"/>
    <n v="1.9444444444444444"/>
  </r>
  <r>
    <n v="160"/>
    <s v="PetLove"/>
    <s v="Tenderness in a quiet moment shared with a pet."/>
    <x v="35"/>
    <d v="2016-02-10T19:45:00"/>
    <x v="0"/>
    <s v=" #Tenderness #PetLove                          "/>
    <n v="25"/>
    <n v="50"/>
    <x v="1"/>
    <x v="9"/>
    <x v="1"/>
    <n v="10"/>
    <n v="19"/>
    <x v="5"/>
    <s v="Popular"/>
    <s v="No"/>
    <s v="Wide Reach"/>
    <x v="2"/>
    <s v="North America"/>
    <n v="2"/>
  </r>
  <r>
    <n v="161"/>
    <s v="FestivalFan"/>
    <s v="Arousal of excitement for an upcoming festival."/>
    <x v="36"/>
    <d v="2017-09-25T11:30:00"/>
    <x v="1"/>
    <s v=" #Arousal #FestivalExcitement               "/>
    <n v="20"/>
    <n v="40"/>
    <x v="2"/>
    <x v="10"/>
    <x v="8"/>
    <n v="25"/>
    <n v="11"/>
    <x v="2"/>
    <s v="Normal"/>
    <s v="No"/>
    <s v="Standard"/>
    <x v="1"/>
    <s v="Europe"/>
    <n v="2"/>
  </r>
  <r>
    <n v="162"/>
    <s v="DIYEnthusiast"/>
    <s v="Enthusiasm for a DIY home improvement project."/>
    <x v="37"/>
    <d v="2018-04-15T16:00:00"/>
    <x v="2"/>
    <s v=" #Enthusiasm #HomeImprovement                 "/>
    <n v="15"/>
    <n v="30"/>
    <x v="3"/>
    <x v="11"/>
    <x v="7"/>
    <n v="15"/>
    <n v="16"/>
    <x v="0"/>
    <s v="Normal"/>
    <s v="No"/>
    <s v="Standard"/>
    <x v="0"/>
    <s v="Oceania"/>
    <n v="2"/>
  </r>
  <r>
    <n v="163"/>
    <s v="PuzzleMaster"/>
    <s v="Fulfillment in completing a challenging puzzle."/>
    <x v="38"/>
    <d v="2019-11-28T18:20:00"/>
    <x v="0"/>
    <s v=" #Fulfillment #PuzzleChallenge                "/>
    <n v="22"/>
    <n v="45"/>
    <x v="4"/>
    <x v="12"/>
    <x v="6"/>
    <n v="28"/>
    <n v="18"/>
    <x v="9"/>
    <s v="Popular"/>
    <s v="No"/>
    <s v="Wide Reach"/>
    <x v="2"/>
    <s v="Asia"/>
    <n v="2.0454545454545454"/>
  </r>
  <r>
    <n v="164"/>
    <s v="NatureAdmirer"/>
    <s v="Reverence for the wonders of nature on a hiking trail."/>
    <x v="39"/>
    <d v="2020-05-11T15:00:00"/>
    <x v="1"/>
    <s v=" #Reverence #NatureExploration                "/>
    <n v="18"/>
    <n v="35"/>
    <x v="0"/>
    <x v="13"/>
    <x v="3"/>
    <n v="11"/>
    <n v="15"/>
    <x v="8"/>
    <s v="Normal"/>
    <s v="No"/>
    <s v="Standard"/>
    <x v="0"/>
    <s v="North America"/>
    <n v="1.9444444444444444"/>
  </r>
  <r>
    <n v="165"/>
    <s v="ChildhoodJoy"/>
    <s v="Elation after a surprise reunion with a childhood friend."/>
    <x v="27"/>
    <d v="2021-02-05T09:30:00"/>
    <x v="2"/>
    <s v=" #Elation #FriendshipReunion                  "/>
    <n v="25"/>
    <n v="50"/>
    <x v="1"/>
    <x v="2"/>
    <x v="1"/>
    <n v="5"/>
    <n v="9"/>
    <x v="5"/>
    <s v="Popular"/>
    <s v="No"/>
    <s v="Wide Reach"/>
    <x v="1"/>
    <s v="North America"/>
    <n v="2"/>
  </r>
  <r>
    <n v="166"/>
    <s v="StrugglingSoul"/>
    <s v="Suffering from despair after another setback."/>
    <x v="40"/>
    <d v="2021-03-10T08:30:00"/>
    <x v="0"/>
    <s v=" #Despair #Struggle                              "/>
    <n v="5"/>
    <n v="10"/>
    <x v="0"/>
    <x v="2"/>
    <x v="2"/>
    <n v="10"/>
    <n v="8"/>
    <x v="1"/>
    <s v="Normal"/>
    <s v="No"/>
    <s v="Standard"/>
    <x v="1"/>
    <s v="North America"/>
    <n v="2"/>
  </r>
  <r>
    <n v="167"/>
    <s v="MourningHeart"/>
    <s v="Overwhelmed by grief, missing a loved one dearly."/>
    <x v="41"/>
    <d v="2022-07-05T15:45:00"/>
    <x v="1"/>
    <s v=" #Grief #Loss                                   "/>
    <n v="8"/>
    <n v="15"/>
    <x v="1"/>
    <x v="4"/>
    <x v="9"/>
    <n v="5"/>
    <n v="15"/>
    <x v="3"/>
    <s v="Normal"/>
    <s v="No"/>
    <s v="Standard"/>
    <x v="0"/>
    <s v="North America"/>
    <n v="1.875"/>
  </r>
  <r>
    <n v="168"/>
    <s v="SolitarySoul"/>
    <s v="Loneliness creeps in as the night grows colder."/>
    <x v="42"/>
    <d v="2019-11-18T21:20:00"/>
    <x v="2"/>
    <s v=" #Loneliness #Isolation                         "/>
    <n v="10"/>
    <n v="20"/>
    <x v="2"/>
    <x v="12"/>
    <x v="6"/>
    <n v="18"/>
    <n v="21"/>
    <x v="6"/>
    <s v="Normal"/>
    <s v="No"/>
    <s v="Standard"/>
    <x v="2"/>
    <s v="Europe"/>
    <n v="2"/>
  </r>
  <r>
    <n v="169"/>
    <s v="EnviousObserver"/>
    <s v="Jealousy consumes me as I witness others' success."/>
    <x v="43"/>
    <d v="2020-08-12T11:30:00"/>
    <x v="0"/>
    <s v=" #Jealousy #Envy                               "/>
    <n v="12"/>
    <n v="25"/>
    <x v="4"/>
    <x v="13"/>
    <x v="4"/>
    <n v="12"/>
    <n v="11"/>
    <x v="4"/>
    <s v="Normal"/>
    <s v="No"/>
    <s v="Standard"/>
    <x v="1"/>
    <s v="Asia"/>
    <n v="2.0833333333333335"/>
  </r>
  <r>
    <n v="170"/>
    <s v="BitterHeart"/>
    <s v="Resentment building up over past betrayals."/>
    <x v="44"/>
    <d v="2018-05-22T14:45:00"/>
    <x v="1"/>
    <s v=" #Resentment #Bitterness                       "/>
    <n v="7"/>
    <n v="15"/>
    <x v="3"/>
    <x v="11"/>
    <x v="3"/>
    <n v="22"/>
    <n v="14"/>
    <x v="10"/>
    <s v="Normal"/>
    <s v="No"/>
    <s v="Standard"/>
    <x v="0"/>
    <s v="Oceania"/>
    <n v="2.1428571428571428"/>
  </r>
  <r>
    <n v="171"/>
    <s v="BlockedGoals"/>
    <s v="Frustration mounts as obstacles block my path."/>
    <x v="45"/>
    <d v="2017-01-30T16:10:00"/>
    <x v="2"/>
    <s v=" #Frustration #Obstacles                       "/>
    <n v="10"/>
    <n v="20"/>
    <x v="0"/>
    <x v="10"/>
    <x v="0"/>
    <n v="30"/>
    <n v="16"/>
    <x v="6"/>
    <s v="Normal"/>
    <s v="No"/>
    <s v="Standard"/>
    <x v="0"/>
    <s v="North America"/>
    <n v="2"/>
  </r>
  <r>
    <n v="172"/>
    <s v="BoredMind"/>
    <s v="Boredom sets in, the day feels endlessly dull."/>
    <x v="46"/>
    <d v="2016-09-28T19:45:00"/>
    <x v="0"/>
    <s v=" #Boredom #LackOfInterest                     "/>
    <n v="8"/>
    <n v="15"/>
    <x v="1"/>
    <x v="9"/>
    <x v="8"/>
    <n v="28"/>
    <n v="19"/>
    <x v="3"/>
    <s v="Normal"/>
    <s v="No"/>
    <s v="Standard"/>
    <x v="2"/>
    <s v="North America"/>
    <n v="1.875"/>
  </r>
  <r>
    <n v="173"/>
    <s v="WorriedMind"/>
    <s v="Anxiety grips my heart, worry clouds my thoughts."/>
    <x v="47"/>
    <d v="2019-04-15T09:00:00"/>
    <x v="1"/>
    <s v=" #Anxiety #Worry                               "/>
    <n v="12"/>
    <n v="25"/>
    <x v="2"/>
    <x v="12"/>
    <x v="7"/>
    <n v="15"/>
    <n v="9"/>
    <x v="4"/>
    <s v="Normal"/>
    <s v="No"/>
    <s v="Standard"/>
    <x v="1"/>
    <s v="Europe"/>
    <n v="2.0833333333333335"/>
  </r>
  <r>
    <n v="174"/>
    <s v="FearfulSoul"/>
    <s v="Intimidation by the unknown future ahead."/>
    <x v="48"/>
    <d v="2021-12-03T18:30:00"/>
    <x v="2"/>
    <s v=" #Intimidation #Fear                           "/>
    <n v="15"/>
    <n v="30"/>
    <x v="4"/>
    <x v="2"/>
    <x v="11"/>
    <n v="3"/>
    <n v="18"/>
    <x v="0"/>
    <s v="Normal"/>
    <s v="No"/>
    <s v="Standard"/>
    <x v="2"/>
    <s v="Asia"/>
    <n v="2"/>
  </r>
  <r>
    <n v="175"/>
    <s v="OverwhelmedHeart"/>
    <s v="Helplessness sinks in as challenges pile up."/>
    <x v="49"/>
    <d v="2020-06-20T14:20:00"/>
    <x v="0"/>
    <s v=" #Helplessness #Overwhelmed                    "/>
    <n v="8"/>
    <n v="15"/>
    <x v="3"/>
    <x v="13"/>
    <x v="5"/>
    <n v="20"/>
    <n v="14"/>
    <x v="3"/>
    <s v="Normal"/>
    <s v="No"/>
    <s v="Standard"/>
    <x v="0"/>
    <s v="Oceania"/>
    <n v="1.875"/>
  </r>
  <r>
    <n v="176"/>
    <s v="CovetousMind"/>
    <s v="Envy eats away at me as I see others' prosperity."/>
    <x v="50"/>
    <d v="2018-11-07T11:30:00"/>
    <x v="1"/>
    <s v=" #Envy #Desire                                "/>
    <n v="10"/>
    <n v="20"/>
    <x v="1"/>
    <x v="11"/>
    <x v="6"/>
    <n v="7"/>
    <n v="11"/>
    <x v="6"/>
    <s v="Normal"/>
    <s v="No"/>
    <s v="Standard"/>
    <x v="1"/>
    <s v="North America"/>
    <n v="2"/>
  </r>
  <r>
    <n v="177"/>
    <s v="RemorsefulSoul"/>
    <s v="Regret over missed opportunities haunts my thoughts."/>
    <x v="51"/>
    <d v="2017-08-25T16:00:00"/>
    <x v="2"/>
    <s v=" #Regret #MissedChances                       "/>
    <n v="12"/>
    <n v="25"/>
    <x v="2"/>
    <x v="10"/>
    <x v="4"/>
    <n v="25"/>
    <n v="16"/>
    <x v="4"/>
    <s v="Normal"/>
    <s v="No"/>
    <s v="Standard"/>
    <x v="0"/>
    <s v="Europe"/>
    <n v="2.0833333333333335"/>
  </r>
  <r>
    <n v="178"/>
    <s v="DisgustedHeart"/>
    <s v="Disgust at the sight of injustice and cruelty."/>
    <x v="6"/>
    <d v="2019-02-11T09:45:00"/>
    <x v="0"/>
    <s v=" #Disgust #Injustice                          "/>
    <n v="7"/>
    <n v="15"/>
    <x v="4"/>
    <x v="12"/>
    <x v="1"/>
    <n v="11"/>
    <n v="9"/>
    <x v="10"/>
    <s v="Normal"/>
    <s v="No"/>
    <s v="Standard"/>
    <x v="1"/>
    <s v="Asia"/>
    <n v="2.1428571428571428"/>
  </r>
  <r>
    <n v="179"/>
    <s v="HopelessHeart"/>
    <s v="Drowning in despair, hope slipping through my fingers."/>
    <x v="40"/>
    <d v="2016-04-02T20:20:00"/>
    <x v="1"/>
    <s v=" #Despair #Hopeless                           "/>
    <n v="10"/>
    <n v="20"/>
    <x v="0"/>
    <x v="9"/>
    <x v="7"/>
    <n v="2"/>
    <n v="20"/>
    <x v="6"/>
    <s v="Normal"/>
    <s v="No"/>
    <s v="Standard"/>
    <x v="2"/>
    <s v="North America"/>
    <n v="2"/>
  </r>
  <r>
    <n v="180"/>
    <s v="TearfulSoul"/>
    <s v="Grief weighs heavy, tears a constant companion."/>
    <x v="41"/>
    <d v="2015-10-18T15:30:00"/>
    <x v="2"/>
    <s v=" #Grief #Tears                                "/>
    <n v="12"/>
    <n v="25"/>
    <x v="1"/>
    <x v="8"/>
    <x v="10"/>
    <n v="18"/>
    <n v="15"/>
    <x v="4"/>
    <s v="Normal"/>
    <s v="No"/>
    <s v="Standard"/>
    <x v="0"/>
    <s v="North America"/>
    <n v="2.0833333333333335"/>
  </r>
  <r>
    <n v="181"/>
    <s v="IsolatedMind"/>
    <s v="Loneliness in a crowded room, a silent cry for connection."/>
    <x v="42"/>
    <d v="2019-07-12T18:10:00"/>
    <x v="0"/>
    <s v=" #Loneliness #SeekingConnection              "/>
    <n v="15"/>
    <n v="30"/>
    <x v="2"/>
    <x v="12"/>
    <x v="9"/>
    <n v="12"/>
    <n v="18"/>
    <x v="0"/>
    <s v="Normal"/>
    <s v="No"/>
    <s v="Standard"/>
    <x v="2"/>
    <s v="Europe"/>
    <n v="2"/>
  </r>
  <r>
    <n v="182"/>
    <s v="SelfDoubt"/>
    <s v="Jealousy gnaws at my confidence, a toxic emotion."/>
    <x v="43"/>
    <d v="2018-06-03T16:30:00"/>
    <x v="1"/>
    <s v=" #Jealousy #Insecurity                       "/>
    <n v="8"/>
    <n v="15"/>
    <x v="4"/>
    <x v="11"/>
    <x v="5"/>
    <n v="3"/>
    <n v="16"/>
    <x v="3"/>
    <s v="Normal"/>
    <s v="No"/>
    <s v="Standard"/>
    <x v="0"/>
    <s v="Asia"/>
    <n v="1.875"/>
  </r>
  <r>
    <n v="183"/>
    <s v="BrokenTrust"/>
    <s v="Resentment festers, poisoning relationships."/>
    <x v="44"/>
    <d v="2022-01-15T12:00:00"/>
    <x v="2"/>
    <s v=" #Resentment #BrokenTrust                     "/>
    <n v="10"/>
    <n v="20"/>
    <x v="3"/>
    <x v="4"/>
    <x v="0"/>
    <n v="15"/>
    <n v="12"/>
    <x v="6"/>
    <s v="Normal"/>
    <s v="No"/>
    <s v="Standard"/>
    <x v="0"/>
    <s v="Oceania"/>
    <n v="2"/>
  </r>
  <r>
    <n v="184"/>
    <s v="ExplosiveMind"/>
    <s v="Frustration boils over, a volcanic eruption of emotions."/>
    <x v="45"/>
    <d v="2017-04-10T14:45:00"/>
    <x v="0"/>
    <s v=" #Frustration #EmotionalOutburst             "/>
    <n v="12"/>
    <n v="25"/>
    <x v="0"/>
    <x v="10"/>
    <x v="7"/>
    <n v="10"/>
    <n v="14"/>
    <x v="4"/>
    <s v="Normal"/>
    <s v="No"/>
    <s v="Standard"/>
    <x v="0"/>
    <s v="North America"/>
    <n v="2.0833333333333335"/>
  </r>
  <r>
    <n v="185"/>
    <s v="MundaneHeart"/>
    <s v="Boredom settles like dust, life feels mundane."/>
    <x v="46"/>
    <d v="2016-11-28T19:00:00"/>
    <x v="1"/>
    <s v=" #Boredom #Monotony                          "/>
    <n v="7"/>
    <n v="15"/>
    <x v="1"/>
    <x v="9"/>
    <x v="6"/>
    <n v="28"/>
    <n v="19"/>
    <x v="10"/>
    <s v="Normal"/>
    <s v="No"/>
    <s v="Standard"/>
    <x v="2"/>
    <s v="North America"/>
    <n v="2.1428571428571428"/>
  </r>
  <r>
    <n v="186"/>
    <s v="RestlessMind"/>
    <s v="Anxiety grips my chest, a relentless grip on my thoughts."/>
    <x v="47"/>
    <d v="2018-09-05T09:30:00"/>
    <x v="2"/>
    <s v=" #Anxiety #Restlessness                      "/>
    <n v="10"/>
    <n v="20"/>
    <x v="2"/>
    <x v="11"/>
    <x v="8"/>
    <n v="5"/>
    <n v="9"/>
    <x v="6"/>
    <s v="Normal"/>
    <s v="No"/>
    <s v="Standard"/>
    <x v="1"/>
    <s v="Europe"/>
    <n v="2"/>
  </r>
  <r>
    <n v="187"/>
    <s v="FearfulJourney"/>
    <s v="Intimidation by the challenges ahead, fear takes hold."/>
    <x v="48"/>
    <d v="2021-10-22T18:30:00"/>
    <x v="0"/>
    <s v=" #Intimidation #FacingFear                   "/>
    <n v="15"/>
    <n v="30"/>
    <x v="4"/>
    <x v="2"/>
    <x v="10"/>
    <n v="22"/>
    <n v="18"/>
    <x v="0"/>
    <s v="Normal"/>
    <s v="No"/>
    <s v="Standard"/>
    <x v="2"/>
    <s v="Asia"/>
    <n v="2"/>
  </r>
  <r>
    <n v="188"/>
    <s v="OverwhelmedSoul"/>
    <s v="Helplessness engulfs me, drowning in a sea of problems."/>
    <x v="49"/>
    <d v="2019-05-08T14:20:00"/>
    <x v="1"/>
    <s v=" #Helplessness #Struggling                   "/>
    <n v="8"/>
    <n v="15"/>
    <x v="3"/>
    <x v="12"/>
    <x v="3"/>
    <n v="8"/>
    <n v="14"/>
    <x v="3"/>
    <s v="Normal"/>
    <s v="No"/>
    <s v="Standard"/>
    <x v="0"/>
    <s v="Oceania"/>
    <n v="1.875"/>
  </r>
  <r>
    <n v="189"/>
    <s v="GreenEyedMonster"/>
    <s v="Envy poisons my thoughts, coveting others' success."/>
    <x v="50"/>
    <d v="2017-03-20T11:30:00"/>
    <x v="2"/>
    <s v=" #Envy #Success                              "/>
    <n v="10"/>
    <n v="20"/>
    <x v="1"/>
    <x v="10"/>
    <x v="2"/>
    <n v="20"/>
    <n v="11"/>
    <x v="6"/>
    <s v="Normal"/>
    <s v="No"/>
    <s v="Standard"/>
    <x v="1"/>
    <s v="North America"/>
    <n v="2"/>
  </r>
  <r>
    <n v="190"/>
    <s v="RegretfulMind"/>
    <s v="Regret for decisions that led to a painful present."/>
    <x v="51"/>
    <d v="2018-12-15T16:00:00"/>
    <x v="0"/>
    <s v=" #Regret #PastChoices                        "/>
    <n v="12"/>
    <n v="25"/>
    <x v="0"/>
    <x v="11"/>
    <x v="11"/>
    <n v="15"/>
    <n v="16"/>
    <x v="4"/>
    <s v="Normal"/>
    <s v="No"/>
    <s v="Standard"/>
    <x v="0"/>
    <s v="North America"/>
    <n v="2.0833333333333335"/>
  </r>
  <r>
    <n v="191"/>
    <s v="CorruptedHeart"/>
    <s v="Disgust at the corruption that stains society."/>
    <x v="6"/>
    <d v="2016-07-01T09:45:00"/>
    <x v="1"/>
    <s v=" #Disgust #Corruption                        "/>
    <n v="7"/>
    <n v="15"/>
    <x v="2"/>
    <x v="9"/>
    <x v="9"/>
    <n v="1"/>
    <n v="9"/>
    <x v="10"/>
    <s v="Normal"/>
    <s v="No"/>
    <s v="Standard"/>
    <x v="1"/>
    <s v="Europe"/>
    <n v="2.1428571428571428"/>
  </r>
  <r>
    <n v="192"/>
    <s v="DrowningSoul"/>
    <s v="Sinking in despair, each day darker than the last."/>
    <x v="40"/>
    <d v="2020-08-20T20:20:00"/>
    <x v="2"/>
    <s v=" #Despair #DarkDays                          "/>
    <n v="10"/>
    <n v="20"/>
    <x v="4"/>
    <x v="13"/>
    <x v="4"/>
    <n v="20"/>
    <n v="20"/>
    <x v="6"/>
    <s v="Normal"/>
    <s v="No"/>
    <s v="Standard"/>
    <x v="2"/>
    <s v="Asia"/>
    <n v="2"/>
  </r>
  <r>
    <n v="193"/>
    <s v="StormyHeart"/>
    <s v="Grief overwhelms, a storm of emotions within."/>
    <x v="41"/>
    <d v="2021-02-25T15:30:00"/>
    <x v="0"/>
    <s v=" #Grief #EmotionalStorm                      "/>
    <n v="12"/>
    <n v="25"/>
    <x v="1"/>
    <x v="2"/>
    <x v="1"/>
    <n v="25"/>
    <n v="15"/>
    <x v="4"/>
    <s v="Normal"/>
    <s v="No"/>
    <s v="Standard"/>
    <x v="0"/>
    <s v="North America"/>
    <n v="2.0833333333333335"/>
  </r>
  <r>
    <n v="194"/>
    <s v="EchoingSoul"/>
    <s v="Loneliness echoes in empty spaces, yearning for connection."/>
    <x v="42"/>
    <d v="2019-09-12T18:10:00"/>
    <x v="1"/>
    <s v=" #Loneliness #YearningForConnection         "/>
    <n v="15"/>
    <n v="30"/>
    <x v="3"/>
    <x v="12"/>
    <x v="8"/>
    <n v="12"/>
    <n v="18"/>
    <x v="0"/>
    <s v="Normal"/>
    <s v="No"/>
    <s v="Standard"/>
    <x v="2"/>
    <s v="Oceania"/>
    <n v="2"/>
  </r>
  <r>
    <n v="195"/>
    <s v="PoisonedMind"/>
    <s v="Jealousy poisons my thoughts, resentment brewing within."/>
    <x v="43"/>
    <d v="2018-08-05T16:30:00"/>
    <x v="2"/>
    <s v=" #Jealousy #Resentment                       "/>
    <n v="8"/>
    <n v="15"/>
    <x v="0"/>
    <x v="11"/>
    <x v="4"/>
    <n v="5"/>
    <n v="16"/>
    <x v="3"/>
    <s v="Normal"/>
    <s v="No"/>
    <s v="Standard"/>
    <x v="0"/>
    <s v="North America"/>
    <n v="1.875"/>
  </r>
  <r>
    <n v="196"/>
    <s v="UnforgivingSoul"/>
    <s v="Resentment festers, a wound that refuses to heal."/>
    <x v="44"/>
    <d v="2017-01-12T12:00:00"/>
    <x v="0"/>
    <s v=" #Resentment #Unforgiving                    "/>
    <n v="10"/>
    <n v="20"/>
    <x v="4"/>
    <x v="10"/>
    <x v="0"/>
    <n v="12"/>
    <n v="12"/>
    <x v="6"/>
    <s v="Normal"/>
    <s v="No"/>
    <s v="Standard"/>
    <x v="0"/>
    <s v="Asia"/>
    <n v="2"/>
  </r>
  <r>
    <n v="197"/>
    <s v="ThunderingMind"/>
    <s v="Frustration escalates, a thunderstorm of emotions."/>
    <x v="45"/>
    <d v="2022-04-05T14:45:00"/>
    <x v="1"/>
    <s v=" #Frustration #EmotionalOutburst            "/>
    <n v="12"/>
    <n v="25"/>
    <x v="2"/>
    <x v="4"/>
    <x v="7"/>
    <n v="5"/>
    <n v="14"/>
    <x v="4"/>
    <s v="Normal"/>
    <s v="No"/>
    <s v="Standard"/>
    <x v="0"/>
    <s v="Europe"/>
    <n v="2.0833333333333335"/>
  </r>
  <r>
    <n v="198"/>
    <s v="StagnantHeart"/>
    <s v="Boredom lingers, a stagnant pool of indifference."/>
    <x v="46"/>
    <d v="2021-10-02T19:00:00"/>
    <x v="2"/>
    <s v=" #Boredom #Stagnation                        "/>
    <n v="7"/>
    <n v="15"/>
    <x v="1"/>
    <x v="2"/>
    <x v="10"/>
    <n v="2"/>
    <n v="19"/>
    <x v="10"/>
    <s v="Normal"/>
    <s v="No"/>
    <s v="Standard"/>
    <x v="2"/>
    <s v="North America"/>
    <n v="2.1428571428571428"/>
  </r>
  <r>
    <n v="199"/>
    <s v="InquisitiveMind"/>
    <s v="Embarking on a journey of discovery, fueled by curiosity and a thirst for knowledge."/>
    <x v="52"/>
    <d v="2023-04-15T10:15:00"/>
    <x v="0"/>
    <s v=" #Curiosity #Learning                        "/>
    <n v="15"/>
    <n v="30"/>
    <x v="0"/>
    <x v="0"/>
    <x v="7"/>
    <n v="15"/>
    <n v="10"/>
    <x v="0"/>
    <s v="Normal"/>
    <s v="No"/>
    <s v="Standard"/>
    <x v="1"/>
    <s v="North America"/>
    <n v="2"/>
  </r>
  <r>
    <n v="200"/>
    <s v="ApatheticObserver"/>
    <s v="Lost in the vast sea of information, an indifferent wave in the digital ocean."/>
    <x v="53"/>
    <d v="2022-11-28T17:30:00"/>
    <x v="1"/>
    <s v=" #Indifference #DigitalOverload              "/>
    <n v="7"/>
    <n v="15"/>
    <x v="1"/>
    <x v="4"/>
    <x v="6"/>
    <n v="28"/>
    <n v="17"/>
    <x v="10"/>
    <s v="Normal"/>
    <s v="No"/>
    <s v="Standard"/>
    <x v="0"/>
    <s v="North America"/>
    <n v="2.1428571428571428"/>
  </r>
  <r>
    <n v="201"/>
    <s v="SeekingClarity"/>
    <s v="The complex puzzle of life leaves me in a state of perpetual confusion, seeking answers in the chaos."/>
    <x v="22"/>
    <d v="2020-04-02T09:45:00"/>
    <x v="2"/>
    <s v=" #Confusion #LifePuzzle                     "/>
    <n v="10"/>
    <n v="20"/>
    <x v="2"/>
    <x v="13"/>
    <x v="7"/>
    <n v="2"/>
    <n v="9"/>
    <x v="6"/>
    <s v="Normal"/>
    <s v="No"/>
    <s v="Standard"/>
    <x v="1"/>
    <s v="Europe"/>
    <n v="2"/>
  </r>
  <r>
    <n v="202"/>
    <s v="EmotionallyDistant"/>
    <s v="A numbness settles over me, a shield against the overwhelming emotions life throws my way."/>
    <x v="54"/>
    <d v="2021-08-10T14:00:00"/>
    <x v="0"/>
    <s v=" #Numbness #EmotionalShield                 "/>
    <n v="8"/>
    <n v="15"/>
    <x v="4"/>
    <x v="2"/>
    <x v="4"/>
    <n v="10"/>
    <n v="14"/>
    <x v="3"/>
    <s v="Normal"/>
    <s v="No"/>
    <s v="Standard"/>
    <x v="0"/>
    <s v="Asia"/>
    <n v="1.875"/>
  </r>
  <r>
    <n v="203"/>
    <s v="SunsetDreamer"/>
    <s v="Gazing at the sunset, a melancholic longing for moments that slip through the fingers of time."/>
    <x v="55"/>
    <d v="2019-06-18T20:45:00"/>
    <x v="1"/>
    <s v=" #Melancholy #SunsetMoments                 "/>
    <n v="12"/>
    <n v="25"/>
    <x v="3"/>
    <x v="12"/>
    <x v="5"/>
    <n v="18"/>
    <n v="20"/>
    <x v="4"/>
    <s v="Normal"/>
    <s v="No"/>
    <s v="Standard"/>
    <x v="2"/>
    <s v="Oceania"/>
    <n v="2.0833333333333335"/>
  </r>
  <r>
    <n v="204"/>
    <s v="MemoryLaneTraveler"/>
    <s v="Revisiting old photographs, caught in the embrace of nostalgia's bittersweet symphony."/>
    <x v="56"/>
    <d v="2018-02-05T15:15:00"/>
    <x v="2"/>
    <s v=" #Nostalgia #MemoryLane                     "/>
    <n v="10"/>
    <n v="20"/>
    <x v="0"/>
    <x v="11"/>
    <x v="1"/>
    <n v="5"/>
    <n v="15"/>
    <x v="6"/>
    <s v="Normal"/>
    <s v="No"/>
    <s v="Standard"/>
    <x v="0"/>
    <s v="North America"/>
    <n v="2"/>
  </r>
  <r>
    <n v="205"/>
    <s v="MixedFeelings"/>
    <s v="Torn between conflicting emotions, an ambivalence that paints my decisions in shades of uncertainty."/>
    <x v="57"/>
    <d v="2022-05-30T11:30:00"/>
    <x v="0"/>
    <s v=" #Ambivalence #UncertainChoices             "/>
    <n v="12"/>
    <n v="25"/>
    <x v="1"/>
    <x v="4"/>
    <x v="3"/>
    <n v="30"/>
    <n v="11"/>
    <x v="4"/>
    <s v="Normal"/>
    <s v="No"/>
    <s v="Standard"/>
    <x v="1"/>
    <s v="North America"/>
    <n v="2.0833333333333335"/>
  </r>
  <r>
    <n v="206"/>
    <s v="ZenLifestyle"/>
    <s v="Embracing the ebb and flow of life, finding acceptance in the dance of existence."/>
    <x v="17"/>
    <d v="2023-01-10T16:20:00"/>
    <x v="1"/>
    <s v=" #Acceptance #LifeJourney                   "/>
    <n v="15"/>
    <n v="30"/>
    <x v="2"/>
    <x v="0"/>
    <x v="0"/>
    <n v="10"/>
    <n v="16"/>
    <x v="0"/>
    <s v="Normal"/>
    <s v="No"/>
    <s v="Standard"/>
    <x v="0"/>
    <s v="Europe"/>
    <n v="2"/>
  </r>
  <r>
    <n v="207"/>
    <s v="ResilientSpirit"/>
    <s v="Facing challenges head-on, a determination that fuels the fire within to achieve the impossible."/>
    <x v="58"/>
    <d v="2020-09-18T13:45:00"/>
    <x v="2"/>
    <s v=" #Determination #AchieveTheImpossible       "/>
    <n v="10"/>
    <n v="20"/>
    <x v="4"/>
    <x v="13"/>
    <x v="8"/>
    <n v="18"/>
    <n v="13"/>
    <x v="6"/>
    <s v="Normal"/>
    <s v="No"/>
    <s v="Standard"/>
    <x v="0"/>
    <s v="Asia"/>
    <n v="2"/>
  </r>
  <r>
    <n v="208"/>
    <s v="NatureSoul"/>
    <s v="Serenity found in the stillness of nature, a tranquil retreat from the chaos of the modern world."/>
    <x v="30"/>
    <d v="2021-07-03T19:00:00"/>
    <x v="0"/>
    <s v=" #Serenity #NatureRetreat                   "/>
    <n v="12"/>
    <n v="25"/>
    <x v="3"/>
    <x v="2"/>
    <x v="9"/>
    <n v="3"/>
    <n v="19"/>
    <x v="4"/>
    <s v="Normal"/>
    <s v="No"/>
    <s v="Standard"/>
    <x v="2"/>
    <s v="Oceania"/>
    <n v="2.0833333333333335"/>
  </r>
  <r>
    <n v="209"/>
    <s v="EternalLearner"/>
    <s v="Curiosity leading me down the rabbit hole of knowledge, a perpetual student in life's classroom."/>
    <x v="52"/>
    <d v="2022-10-08T08:15:00"/>
    <x v="1"/>
    <s v=" #Curiosity #KnowledgeQuest                "/>
    <n v="20"/>
    <n v="40"/>
    <x v="0"/>
    <x v="4"/>
    <x v="10"/>
    <n v="8"/>
    <n v="8"/>
    <x v="2"/>
    <s v="Normal"/>
    <s v="No"/>
    <s v="Standard"/>
    <x v="1"/>
    <s v="North America"/>
    <n v="2"/>
  </r>
  <r>
    <n v="210"/>
    <s v="AloofObserver"/>
    <s v="Floating through the day with an air of indifference, detached from the mundane happenings around."/>
    <x v="53"/>
    <d v="2023-03-22T16:30:00"/>
    <x v="2"/>
    <s v=" #Indifference #FloatingThroughLife        "/>
    <n v="10"/>
    <n v="20"/>
    <x v="1"/>
    <x v="0"/>
    <x v="2"/>
    <n v="22"/>
    <n v="16"/>
    <x v="6"/>
    <s v="Normal"/>
    <s v="No"/>
    <s v="Standard"/>
    <x v="0"/>
    <s v="North America"/>
    <n v="2"/>
  </r>
  <r>
    <n v="211"/>
    <s v="ThoughtExplorer"/>
    <s v="Entangled in the web of thoughts, confusion reigning as I navigate the labyrinth of ideas."/>
    <x v="22"/>
    <d v="2021-05-15T11:45:00"/>
    <x v="0"/>
    <s v=" #Confusion #ThoughtLabyrinth              "/>
    <n v="15"/>
    <n v="30"/>
    <x v="2"/>
    <x v="2"/>
    <x v="3"/>
    <n v="15"/>
    <n v="11"/>
    <x v="0"/>
    <s v="Normal"/>
    <s v="No"/>
    <s v="Standard"/>
    <x v="1"/>
    <s v="Europe"/>
    <n v="2"/>
  </r>
  <r>
    <n v="212"/>
    <s v="StoicSoul"/>
    <s v="Numb to the chaos, emotions locked away, a stoic facade concealing the inner turmoil."/>
    <x v="54"/>
    <d v="2019-12-28T14:30:00"/>
    <x v="1"/>
    <s v=" #Numbness #StoicFacade                    "/>
    <n v="8"/>
    <n v="15"/>
    <x v="3"/>
    <x v="12"/>
    <x v="11"/>
    <n v="28"/>
    <n v="14"/>
    <x v="3"/>
    <s v="Normal"/>
    <s v="No"/>
    <s v="Standard"/>
    <x v="0"/>
    <s v="Oceania"/>
    <n v="1.875"/>
  </r>
  <r>
    <n v="213"/>
    <s v="DreamerInSilence"/>
    <s v="Melancholy whispers in the breeze, a silent conversation with the echoes of forgotten dreams."/>
    <x v="55"/>
    <d v="2020-03-01T19:00:00"/>
    <x v="2"/>
    <s v=" #Melancholy #WhispersInTheBreeze         "/>
    <n v="12"/>
    <n v="25"/>
    <x v="4"/>
    <x v="13"/>
    <x v="2"/>
    <n v="1"/>
    <n v="19"/>
    <x v="4"/>
    <s v="Normal"/>
    <s v="No"/>
    <s v="Standard"/>
    <x v="2"/>
    <s v="Asia"/>
    <n v="2.0833333333333335"/>
  </r>
  <r>
    <n v="214"/>
    <s v="JournalKeeper"/>
    <s v="Stumbling upon an old journal, nostalgia flooding in waves, carrying me to moments long gone."/>
    <x v="56"/>
    <d v="2018-07-10T15:45:00"/>
    <x v="0"/>
    <s v=" #Nostalgia #JournalMoments               "/>
    <n v="10"/>
    <n v="20"/>
    <x v="1"/>
    <x v="11"/>
    <x v="9"/>
    <n v="10"/>
    <n v="15"/>
    <x v="6"/>
    <s v="Normal"/>
    <s v="No"/>
    <s v="Standard"/>
    <x v="0"/>
    <s v="North America"/>
    <n v="2"/>
  </r>
  <r>
    <n v="215"/>
    <s v="ThreadWeaver"/>
    <s v="A tapestry of conflicting feelings, weaving through uncertainty, caught in the threads of ambivalence."/>
    <x v="57"/>
    <d v="2022-01-05T10:30:00"/>
    <x v="1"/>
    <s v=" #Ambivalence #ConflictingFeelings        "/>
    <n v="12"/>
    <n v="25"/>
    <x v="2"/>
    <x v="4"/>
    <x v="0"/>
    <n v="5"/>
    <n v="10"/>
    <x v="4"/>
    <s v="Normal"/>
    <s v="No"/>
    <s v="Standard"/>
    <x v="1"/>
    <s v="Europe"/>
    <n v="2.0833333333333335"/>
  </r>
  <r>
    <n v="216"/>
    <s v="SelfLoveAdvocate"/>
    <s v="Embracing the flaws, finding acceptance in imperfection, a journey towards self-love."/>
    <x v="17"/>
    <d v="2021-08-20T16:20:00"/>
    <x v="2"/>
    <s v=" #Acceptance #SelfLoveJourney              "/>
    <n v="15"/>
    <n v="30"/>
    <x v="3"/>
    <x v="2"/>
    <x v="4"/>
    <n v="20"/>
    <n v="16"/>
    <x v="0"/>
    <s v="Normal"/>
    <s v="No"/>
    <s v="Standard"/>
    <x v="0"/>
    <s v="Oceania"/>
    <n v="2"/>
  </r>
  <r>
    <n v="217"/>
    <s v="DreamChaser"/>
    <s v="Determination burning like a wildfire, overcoming obstacles, turning dreams into reality."/>
    <x v="58"/>
    <d v="2019-11-03T13:45:00"/>
    <x v="0"/>
    <s v=" #Determination #DreamsIntoReality        "/>
    <n v="18"/>
    <n v="35"/>
    <x v="0"/>
    <x v="12"/>
    <x v="6"/>
    <n v="3"/>
    <n v="13"/>
    <x v="8"/>
    <s v="Normal"/>
    <s v="No"/>
    <s v="Standard"/>
    <x v="0"/>
    <s v="North America"/>
    <n v="1.9444444444444444"/>
  </r>
  <r>
    <n v="218"/>
    <s v="OceanSoul"/>
    <s v="Tranquil moments by the ocean, serenity washing over, a peaceful retreat within the waves' embrace."/>
    <x v="30"/>
    <d v="2020-04-12T19:30:00"/>
    <x v="1"/>
    <s v=" #Serenity #OceanRetreat                   "/>
    <n v="25"/>
    <n v="50"/>
    <x v="1"/>
    <x v="13"/>
    <x v="7"/>
    <n v="12"/>
    <n v="19"/>
    <x v="5"/>
    <s v="Popular"/>
    <s v="No"/>
    <s v="Wide Reach"/>
    <x v="2"/>
    <s v="North America"/>
    <n v="2"/>
  </r>
  <r>
    <n v="219"/>
    <s v="HorizonExplorer"/>
    <s v="Exploring new horizons with the spark of curiosity, an adventurer in the vast landscape of knowledge."/>
    <x v="52"/>
    <d v="2022-04-15T08:45:00"/>
    <x v="2"/>
    <s v=" #Curiosity #NewHorizons                  "/>
    <n v="22"/>
    <n v="45"/>
    <x v="4"/>
    <x v="4"/>
    <x v="7"/>
    <n v="15"/>
    <n v="8"/>
    <x v="9"/>
    <s v="Popular"/>
    <s v="No"/>
    <s v="Wide Reach"/>
    <x v="1"/>
    <s v="Asia"/>
    <n v="2.0454545454545454"/>
  </r>
  <r>
    <n v="220"/>
    <s v="NonchalantSpirit"/>
    <s v="Drifting through the day with a nonchalant demeanor, embracing the art of indifference."/>
    <x v="53"/>
    <d v="2023-02-10T17:00:00"/>
    <x v="0"/>
    <s v=" #Indifference #DriftingThroughLife       "/>
    <n v="9"/>
    <n v="18"/>
    <x v="2"/>
    <x v="0"/>
    <x v="1"/>
    <n v="10"/>
    <n v="17"/>
    <x v="12"/>
    <s v="Normal"/>
    <s v="No"/>
    <s v="Standard"/>
    <x v="0"/>
    <s v="Europe"/>
    <n v="2"/>
  </r>
  <r>
    <n v="221"/>
    <s v="ComplexThinker"/>
    <s v="Wrestling with thoughts, a perplexed mind lost in the labyrinth of life's complexities."/>
    <x v="22"/>
    <d v="2020-08-05T12:15:00"/>
    <x v="1"/>
    <s v=" #Confusion #PerplexedMind                "/>
    <n v="14"/>
    <n v="28"/>
    <x v="3"/>
    <x v="13"/>
    <x v="4"/>
    <n v="5"/>
    <n v="12"/>
    <x v="13"/>
    <s v="Normal"/>
    <s v="No"/>
    <s v="Standard"/>
    <x v="0"/>
    <s v="Oceania"/>
    <n v="2"/>
  </r>
  <r>
    <n v="222"/>
    <s v="ShieldedHeart"/>
    <s v="Immersed in a state of emotional numbness, a shield against the storm of daily struggles."/>
    <x v="54"/>
    <d v="2021-12-01T15:30:00"/>
    <x v="2"/>
    <s v=" #Numbness #EmotionalShield               "/>
    <n v="10"/>
    <n v="20"/>
    <x v="0"/>
    <x v="2"/>
    <x v="11"/>
    <n v="1"/>
    <n v="15"/>
    <x v="6"/>
    <s v="Normal"/>
    <s v="No"/>
    <s v="Standard"/>
    <x v="0"/>
    <s v="North America"/>
    <n v="2"/>
  </r>
  <r>
    <n v="223"/>
    <s v="SymphonySoul"/>
    <s v="A melancholic symphony playing in the background, the soundtrack of a wistful heart."/>
    <x v="55"/>
    <d v="2019-03-25T21:00:00"/>
    <x v="0"/>
    <s v=" #Melancholy #WistfulHeart                "/>
    <n v="13"/>
    <n v="26"/>
    <x v="1"/>
    <x v="12"/>
    <x v="2"/>
    <n v="25"/>
    <n v="21"/>
    <x v="14"/>
    <s v="Normal"/>
    <s v="No"/>
    <s v="Standard"/>
    <x v="2"/>
    <s v="North America"/>
    <n v="2"/>
  </r>
  <r>
    <n v="224"/>
    <s v="YearbookExplorer"/>
    <s v="Flipping through the pages of an old yearbook, nostalgia painting smiles and tears on my face."/>
    <x v="56"/>
    <d v="2017-06-18T14:45:00"/>
    <x v="1"/>
    <s v=" #Nostalgia #YearbookMemories            "/>
    <n v="12"/>
    <n v="25"/>
    <x v="4"/>
    <x v="10"/>
    <x v="5"/>
    <n v="18"/>
    <n v="14"/>
    <x v="4"/>
    <s v="Normal"/>
    <s v="No"/>
    <s v="Standard"/>
    <x v="0"/>
    <s v="Asia"/>
    <n v="2.0833333333333335"/>
  </r>
  <r>
    <n v="225"/>
    <s v="DecisiveDilemma"/>
    <s v="Torn between opposing emotions, an ambivalence that colors my decisions with shades of uncertainty."/>
    <x v="57"/>
    <d v="2022-07-08T11:30:00"/>
    <x v="2"/>
    <s v=" #Ambivalence #ShadesOfUncertainty       "/>
    <n v="15"/>
    <n v="30"/>
    <x v="3"/>
    <x v="4"/>
    <x v="9"/>
    <n v="8"/>
    <n v="11"/>
    <x v="0"/>
    <s v="Normal"/>
    <s v="No"/>
    <s v="Standard"/>
    <x v="1"/>
    <s v="Oceania"/>
    <n v="2"/>
  </r>
  <r>
    <n v="226"/>
    <s v="ImperfectHarmony"/>
    <s v="Embracing life's imperfections, finding acceptance in the journey, scars and all."/>
    <x v="17"/>
    <d v="2023-05-15T16:20:00"/>
    <x v="0"/>
    <s v=" #Acceptance #ImperfectJourney            "/>
    <n v="18"/>
    <n v="36"/>
    <x v="1"/>
    <x v="0"/>
    <x v="3"/>
    <n v="15"/>
    <n v="16"/>
    <x v="15"/>
    <s v="Normal"/>
    <s v="No"/>
    <s v="Standard"/>
    <x v="0"/>
    <s v="North America"/>
    <n v="2"/>
  </r>
  <r>
    <n v="227"/>
    <s v="VisionarySpirit"/>
    <s v="A fiery determination burning within, fueled by the vision of reaching unparalleled heights."/>
    <x v="58"/>
    <d v="2021-09-10T14:45:00"/>
    <x v="1"/>
    <s v=" #Determination #UnparalleledHeights      "/>
    <n v="20"/>
    <n v="40"/>
    <x v="2"/>
    <x v="2"/>
    <x v="8"/>
    <n v="10"/>
    <n v="14"/>
    <x v="2"/>
    <s v="Normal"/>
    <s v="No"/>
    <s v="Standard"/>
    <x v="0"/>
    <s v="Europe"/>
    <n v="2"/>
  </r>
  <r>
    <n v="228"/>
    <s v="ForestDreamer"/>
    <s v="Basking in the serenity of a quiet forest, where the whispers of nature bring peace to the soul."/>
    <x v="30"/>
    <d v="2020-02-28T18:30:00"/>
    <x v="2"/>
    <s v=" #Serenity #NatureWhispers                "/>
    <n v="25"/>
    <n v="50"/>
    <x v="0"/>
    <x v="13"/>
    <x v="1"/>
    <n v="28"/>
    <n v="18"/>
    <x v="5"/>
    <s v="Popular"/>
    <s v="No"/>
    <s v="Wide Reach"/>
    <x v="2"/>
    <s v="North America"/>
    <n v="2"/>
  </r>
  <r>
    <n v="231"/>
    <s v="SilentSpectator"/>
    <s v="Indifferent to the noise of the world, a silent observer in the midst of life's cacophony."/>
    <x v="53"/>
    <d v="2023-03-10T16:30:00"/>
    <x v="1"/>
    <s v=" #Indifference #SilentObserver            "/>
    <n v="9"/>
    <n v="18"/>
    <x v="4"/>
    <x v="0"/>
    <x v="2"/>
    <n v="10"/>
    <n v="16"/>
    <x v="12"/>
    <s v="Normal"/>
    <s v="No"/>
    <s v="Standard"/>
    <x v="0"/>
    <s v="Asia"/>
    <n v="2"/>
  </r>
  <r>
    <n v="232"/>
    <s v="MazeNavigator"/>
    <s v="Navigating through the labyrinth of thoughts, confusion a constant companion in the maze of ideas."/>
    <x v="22"/>
    <d v="2021-05-02T11:45:00"/>
    <x v="2"/>
    <s v=" #Confusion #ThoughtLabyrinth              "/>
    <n v="14"/>
    <n v="28"/>
    <x v="3"/>
    <x v="2"/>
    <x v="3"/>
    <n v="2"/>
    <n v="11"/>
    <x v="13"/>
    <s v="Normal"/>
    <s v="No"/>
    <s v="Standard"/>
    <x v="1"/>
    <s v="Oceania"/>
    <n v="2"/>
  </r>
  <r>
    <n v="233"/>
    <s v="ResilientFortress"/>
    <s v="An impenetrable numbness shields me from the emotional storms, a fortress of stoic resilience."/>
    <x v="54"/>
    <d v="2019-10-18T14:30:00"/>
    <x v="0"/>
    <s v=" #Numbness #StoicResilience               "/>
    <n v="11"/>
    <n v="22"/>
    <x v="2"/>
    <x v="12"/>
    <x v="10"/>
    <n v="18"/>
    <n v="14"/>
    <x v="16"/>
    <s v="Normal"/>
    <s v="No"/>
    <s v="Standard"/>
    <x v="0"/>
    <s v="Europe"/>
    <n v="2"/>
  </r>
  <r>
    <n v="234"/>
    <s v="CanvasDreamer"/>
    <s v="Melancholy painting the world in hues of nostalgia, a canvas of bittersweet memories."/>
    <x v="55"/>
    <d v="2020-01-05T20:00:00"/>
    <x v="1"/>
    <s v=" #Melancholy #BittersweetMemories         "/>
    <n v="13"/>
    <n v="26"/>
    <x v="0"/>
    <x v="13"/>
    <x v="0"/>
    <n v="5"/>
    <n v="20"/>
    <x v="14"/>
    <s v="Normal"/>
    <s v="No"/>
    <s v="Standard"/>
    <x v="2"/>
    <s v="North America"/>
    <n v="2"/>
  </r>
  <r>
    <n v="235"/>
    <s v="DiaryExplorer"/>
    <s v="A journey into the past, flipping through the pages of an old diary, nostalgia taking the lead."/>
    <x v="56"/>
    <d v="2018-08-10T15:45:00"/>
    <x v="2"/>
    <s v=" #Nostalgia #DiaryJourney                 "/>
    <n v="12"/>
    <n v="25"/>
    <x v="1"/>
    <x v="11"/>
    <x v="4"/>
    <n v="10"/>
    <n v="15"/>
    <x v="4"/>
    <s v="Normal"/>
    <s v="No"/>
    <s v="Standard"/>
    <x v="0"/>
    <s v="North America"/>
    <n v="2.0833333333333335"/>
  </r>
  <r>
    <n v="236"/>
    <s v="CrossroadsTraveler"/>
    <s v="Ambivalence clouding decisions, caught in the crossroads of conflicting emotions."/>
    <x v="57"/>
    <d v="2022-01-15T10:30:00"/>
    <x v="0"/>
    <s v=" #Ambivalence #ConflictingEmotions        "/>
    <n v="15"/>
    <n v="30"/>
    <x v="4"/>
    <x v="4"/>
    <x v="0"/>
    <n v="15"/>
    <n v="10"/>
    <x v="0"/>
    <s v="Normal"/>
    <s v="No"/>
    <s v="Standard"/>
    <x v="1"/>
    <s v="Asia"/>
    <n v="2"/>
  </r>
  <r>
    <n v="237"/>
    <s v="MosaicDreamer"/>
    <s v="Embracing imperfections, finding acceptance in the mosaic of life's beautiful chaos."/>
    <x v="17"/>
    <d v="2021-07-20T16:20:00"/>
    <x v="1"/>
    <s v=" #Acceptance #BeautifulChaos              "/>
    <n v="18"/>
    <n v="36"/>
    <x v="3"/>
    <x v="2"/>
    <x v="9"/>
    <n v="20"/>
    <n v="16"/>
    <x v="15"/>
    <s v="Normal"/>
    <s v="No"/>
    <s v="Standard"/>
    <x v="0"/>
    <s v="Oceania"/>
    <n v="2"/>
  </r>
  <r>
    <n v="238"/>
    <s v="PathfinderSpirit"/>
    <s v="Determination as the driving force, propelling me forward on the path to extraordinary achievements."/>
    <x v="58"/>
    <d v="2019-12-03T13:45:00"/>
    <x v="2"/>
    <s v=" #Determination #ExtraordinaryPath        "/>
    <n v="20"/>
    <n v="40"/>
    <x v="0"/>
    <x v="12"/>
    <x v="11"/>
    <n v="3"/>
    <n v="13"/>
    <x v="2"/>
    <s v="Normal"/>
    <s v="No"/>
    <s v="Standard"/>
    <x v="0"/>
    <s v="North America"/>
    <n v="2"/>
  </r>
  <r>
    <n v="239"/>
    <s v="RaindropHarmony"/>
    <s v="Seeking serenity in the melody of raindrops, a tranquil escape from the noise of everyday life."/>
    <x v="30"/>
    <d v="2020-04-12T19:30:00"/>
    <x v="0"/>
    <s v=" #Serenity #RaindropMelody                "/>
    <n v="25"/>
    <n v="50"/>
    <x v="1"/>
    <x v="13"/>
    <x v="7"/>
    <n v="12"/>
    <n v="19"/>
    <x v="5"/>
    <s v="Popular"/>
    <s v="No"/>
    <s v="Wide Reach"/>
    <x v="2"/>
    <s v="North America"/>
    <n v="2"/>
  </r>
  <r>
    <n v="240"/>
    <s v="SeekerOfUnknowns"/>
    <s v="Curiosity driving the exploration of the unknown, a seeker of knowledge in uncharted territories."/>
    <x v="52"/>
    <d v="2022-05-08T08:45:00"/>
    <x v="1"/>
    <s v=" #Curiosity #SeekerOfKnowledge            "/>
    <n v="22"/>
    <n v="45"/>
    <x v="2"/>
    <x v="4"/>
    <x v="3"/>
    <n v="8"/>
    <n v="8"/>
    <x v="9"/>
    <s v="Popular"/>
    <s v="No"/>
    <s v="Wide Reach"/>
    <x v="1"/>
    <s v="Europe"/>
    <n v="2.0454545454545454"/>
  </r>
  <r>
    <n v="241"/>
    <s v="NonchalantWanderer"/>
    <s v="Drifting through the day with an air of nonchalance, indifferent to the trivialities of life."/>
    <x v="53"/>
    <d v="2023-02-22T17:00:00"/>
    <x v="2"/>
    <s v=" #Indifference #DriftingThroughLife       "/>
    <n v="9"/>
    <n v="18"/>
    <x v="4"/>
    <x v="0"/>
    <x v="1"/>
    <n v="22"/>
    <n v="17"/>
    <x v="12"/>
    <s v="Normal"/>
    <s v="No"/>
    <s v="Standard"/>
    <x v="0"/>
    <s v="Asia"/>
    <n v="2"/>
  </r>
  <r>
    <n v="242"/>
    <s v="ShadowedSeeker"/>
    <s v="Lost in the labyrinth of thoughts, confusion casting shadows on the quest for clarity."/>
    <x v="22"/>
    <d v="2020-06-05T12:15:00"/>
    <x v="0"/>
    <s v=" #Confusion #LabyrinthOfThoughts          "/>
    <n v="14"/>
    <n v="28"/>
    <x v="3"/>
    <x v="13"/>
    <x v="5"/>
    <n v="5"/>
    <n v="12"/>
    <x v="13"/>
    <s v="Normal"/>
    <s v="No"/>
    <s v="Standard"/>
    <x v="0"/>
    <s v="Oceania"/>
    <n v="2"/>
  </r>
  <r>
    <n v="243"/>
    <s v="TurbulentShield"/>
    <s v="Wrapped in the cloak of emotional numbness, a shield against the storms of life's turbulence."/>
    <x v="54"/>
    <d v="2021-11-30T15:30:00"/>
    <x v="1"/>
    <s v=" #Numbness #EmotionalStorms               "/>
    <n v="10"/>
    <n v="20"/>
    <x v="1"/>
    <x v="2"/>
    <x v="6"/>
    <n v="30"/>
    <n v="15"/>
    <x v="6"/>
    <s v="Normal"/>
    <s v="No"/>
    <s v="Standard"/>
    <x v="0"/>
    <s v="North America"/>
    <n v="2"/>
  </r>
  <r>
    <n v="244"/>
    <s v="WistfulPainter"/>
    <s v="Melancholy as a companion, painting the canvas of life with the brushstrokes of wistful yearning."/>
    <x v="55"/>
    <d v="2019-02-25T21:00:00"/>
    <x v="2"/>
    <s v=" #Melancholy #WistfulYearning             "/>
    <n v="13"/>
    <n v="26"/>
    <x v="2"/>
    <x v="12"/>
    <x v="1"/>
    <n v="25"/>
    <n v="21"/>
    <x v="14"/>
    <s v="Normal"/>
    <s v="No"/>
    <s v="Standard"/>
    <x v="2"/>
    <s v="Europe"/>
    <n v="2"/>
  </r>
  <r>
    <n v="245"/>
    <s v="TaleWeaver"/>
    <s v="Leafing through the pages of an old photo album, nostalgia weaving tales of laughter and tears."/>
    <x v="56"/>
    <d v="2017-05-18T14:45:00"/>
    <x v="0"/>
    <s v=" #Nostalgia #PhotoAlbumStories            "/>
    <n v="12"/>
    <n v="25"/>
    <x v="0"/>
    <x v="10"/>
    <x v="3"/>
    <n v="18"/>
    <n v="14"/>
    <x v="4"/>
    <s v="Normal"/>
    <s v="No"/>
    <s v="Standard"/>
    <x v="0"/>
    <s v="North America"/>
    <n v="2.0833333333333335"/>
  </r>
  <r>
    <n v="246"/>
    <s v="CrossroadsExplorer"/>
    <s v="Ambivalence in the air, caught between the crossroads of conflicting emotions and decisions."/>
    <x v="57"/>
    <d v="2022-08-05T11:30:00"/>
    <x v="1"/>
    <s v=" #Ambivalence #CrossroadsConfusion        "/>
    <n v="15"/>
    <n v="30"/>
    <x v="1"/>
    <x v="4"/>
    <x v="4"/>
    <n v="5"/>
    <n v="11"/>
    <x v="0"/>
    <s v="Normal"/>
    <s v="No"/>
    <s v="Standard"/>
    <x v="1"/>
    <s v="North America"/>
    <n v="2"/>
  </r>
  <r>
    <n v="247"/>
    <s v="MosaicArtist"/>
    <s v="Embracing the beauty in imperfections, finding acceptance in the mosaic of life's unpredictable art."/>
    <x v="17"/>
    <d v="2023-06-15T16:20:00"/>
    <x v="2"/>
    <s v=" #Acceptance #UnpredictableArt            "/>
    <n v="18"/>
    <n v="36"/>
    <x v="3"/>
    <x v="0"/>
    <x v="5"/>
    <n v="15"/>
    <n v="16"/>
    <x v="15"/>
    <s v="Normal"/>
    <s v="No"/>
    <s v="Standard"/>
    <x v="0"/>
    <s v="Oceania"/>
    <n v="2"/>
  </r>
  <r>
    <n v="248"/>
    <s v="DreamSculptor"/>
    <s v="Determination ablaze, forging a path through challenges, sculpting dreams into tangible realities."/>
    <x v="58"/>
    <d v="2021-10-10T14:45:00"/>
    <x v="0"/>
    <s v=" #Determination #SculptingDreams          "/>
    <n v="20"/>
    <n v="40"/>
    <x v="2"/>
    <x v="2"/>
    <x v="10"/>
    <n v="10"/>
    <n v="14"/>
    <x v="2"/>
    <s v="Normal"/>
    <s v="No"/>
    <s v="Standard"/>
    <x v="0"/>
    <s v="Europe"/>
    <n v="2"/>
  </r>
  <r>
    <n v="249"/>
    <s v="MoonlitSoul"/>
    <s v="Immerse in the serenity of a moonlit night, where the quiet whispers of nature bring peace to the soul."/>
    <x v="30"/>
    <d v="2020-05-12T19:30:00"/>
    <x v="1"/>
    <s v=" #Serenity #MoonlitPeace                  "/>
    <n v="25"/>
    <n v="50"/>
    <x v="0"/>
    <x v="13"/>
    <x v="3"/>
    <n v="12"/>
    <n v="19"/>
    <x v="5"/>
    <s v="Popular"/>
    <s v="No"/>
    <s v="Wide Reach"/>
    <x v="2"/>
    <s v="North America"/>
    <n v="2"/>
  </r>
  <r>
    <n v="250"/>
    <s v="FearlessExplorer"/>
    <s v="Fueled by curiosity, venturing into uncharted realms, a fearless explorer of the mysteries of the world."/>
    <x v="52"/>
    <d v="2022-12-01T09:15:00"/>
    <x v="2"/>
    <s v=" #Curiosity #FearlessExplorer              "/>
    <n v="22"/>
    <n v="44"/>
    <x v="4"/>
    <x v="4"/>
    <x v="11"/>
    <n v="1"/>
    <n v="9"/>
    <x v="17"/>
    <s v="Popular"/>
    <s v="No"/>
    <s v="Wide Reach"/>
    <x v="1"/>
    <s v="Asia"/>
    <n v="2"/>
  </r>
  <r>
    <n v="251"/>
    <s v="TurbulentShield"/>
    <s v="Wrapped in the cloak of emotional numbness, a shield against the storms of life's turbulence."/>
    <x v="54"/>
    <d v="2021-11-30T15:30:00"/>
    <x v="1"/>
    <s v=" #Numbness #EmotionalStorms "/>
    <n v="10"/>
    <n v="20"/>
    <x v="1"/>
    <x v="2"/>
    <x v="6"/>
    <n v="30"/>
    <n v="15"/>
    <x v="6"/>
    <s v="Normal"/>
    <s v="No"/>
    <s v="Standard"/>
    <x v="0"/>
    <s v="North America"/>
    <n v="2"/>
  </r>
  <r>
    <n v="252"/>
    <s v="JoyfulDancer"/>
    <s v="Dancing through life with the exuberance of a carefree spirit, embracing joy and zest at every turn."/>
    <x v="59"/>
    <d v="2018-07-12T17:45:00"/>
    <x v="0"/>
    <s v=" #Zest #CarefreeSpirit "/>
    <n v="15"/>
    <n v="30"/>
    <x v="0"/>
    <x v="11"/>
    <x v="9"/>
    <n v="12"/>
    <n v="17"/>
    <x v="0"/>
    <s v="Normal"/>
    <s v="No"/>
    <s v="Standard"/>
    <x v="0"/>
    <s v="North America"/>
    <n v="2"/>
  </r>
  <r>
    <n v="253"/>
    <s v="SereneBasker"/>
    <s v="Basking in the golden glow of contentment, a serene river flowing through the landscape of the heart."/>
    <x v="29"/>
    <d v="2020-09-05T20:10:00"/>
    <x v="2"/>
    <s v=" #Contentment #GoldenGlow "/>
    <n v="18"/>
    <n v="36"/>
    <x v="3"/>
    <x v="13"/>
    <x v="8"/>
    <n v="5"/>
    <n v="20"/>
    <x v="15"/>
    <s v="Normal"/>
    <s v="No"/>
    <s v="Standard"/>
    <x v="2"/>
    <s v="Oceania"/>
    <n v="2"/>
  </r>
  <r>
    <n v="254"/>
    <s v="DreamPainter"/>
    <s v="Gazing towards the horizon with hopeful eyes, painting a canvas of dreams illuminated by the sun of optimism."/>
    <x v="60"/>
    <d v="2022-04-18T08:00:00"/>
    <x v="1"/>
    <s v=" #Hopeful #CanvasOfDreams "/>
    <n v="12"/>
    <n v="24"/>
    <x v="4"/>
    <x v="4"/>
    <x v="7"/>
    <n v="18"/>
    <n v="8"/>
    <x v="18"/>
    <s v="Normal"/>
    <s v="No"/>
    <s v="Standard"/>
    <x v="1"/>
    <s v="Asia"/>
    <n v="2"/>
  </r>
  <r>
    <n v="255"/>
    <s v="OakAchiever"/>
    <s v="Standing tall, proud as an oak, the branches of achievement reaching towards the sky of accomplishment."/>
    <x v="61"/>
    <d v="2019-12-10T12:20:00"/>
    <x v="0"/>
    <s v=" #Proud #BranchesOfAchievement "/>
    <n v="25"/>
    <n v="50"/>
    <x v="1"/>
    <x v="12"/>
    <x v="11"/>
    <n v="10"/>
    <n v="12"/>
    <x v="5"/>
    <s v="Popular"/>
    <s v="No"/>
    <s v="Wide Reach"/>
    <x v="0"/>
    <s v="North America"/>
    <n v="2"/>
  </r>
  <r>
    <n v="256"/>
    <s v="HeartGardener"/>
    <s v="A heart overflowing with gratitude, a garden where appreciation blooms in the soil of kindness and connection."/>
    <x v="62"/>
    <d v="2023-02-28T09:45:00"/>
    <x v="2"/>
    <s v=" #Grateful #BlossomingConnection "/>
    <n v="20"/>
    <n v="40"/>
    <x v="0"/>
    <x v="0"/>
    <x v="1"/>
    <n v="28"/>
    <n v="9"/>
    <x v="2"/>
    <s v="Normal"/>
    <s v="No"/>
    <s v="Standard"/>
    <x v="1"/>
    <s v="North America"/>
    <n v="2"/>
  </r>
  <r>
    <n v="257"/>
    <s v="ThreadWeaver"/>
    <s v="Extending a hand, empathetic threads weaving a tapestry of understanding, embracing the joys and sorrows of others."/>
    <x v="63"/>
    <d v="2018-04-03T14:15:00"/>
    <x v="1"/>
    <s v=" #Empathetic #TapestryOfUnderstanding "/>
    <n v="15"/>
    <n v="30"/>
    <x v="2"/>
    <x v="11"/>
    <x v="7"/>
    <n v="3"/>
    <n v="14"/>
    <x v="0"/>
    <s v="Normal"/>
    <s v="No"/>
    <s v="Standard"/>
    <x v="0"/>
    <s v="Europe"/>
    <n v="2"/>
  </r>
  <r>
    <n v="258"/>
    <s v="CloudCaretaker"/>
    <s v="Compassionate clouds, heavy with care, showering empathy on the parched grounds of human suffering."/>
    <x v="64"/>
    <d v="2022-06-20T10:30:00"/>
    <x v="0"/>
    <s v=" #Compassionate #ShowerOfEmpathy "/>
    <n v="18"/>
    <n v="36"/>
    <x v="3"/>
    <x v="4"/>
    <x v="5"/>
    <n v="20"/>
    <n v="10"/>
    <x v="15"/>
    <s v="Normal"/>
    <s v="No"/>
    <s v="Standard"/>
    <x v="1"/>
    <s v="Oceania"/>
    <n v="2"/>
  </r>
  <r>
    <n v="259"/>
    <s v="RainDancer"/>
    <s v="Playfully dancing in the rain of laughter, a whimsical spirit twirling in the puddles of joy and lightheartedness."/>
    <x v="65"/>
    <d v="2020-07-08T18:00:00"/>
    <x v="2"/>
    <s v=" #Playful #DanceInTheRain "/>
    <n v="22"/>
    <n v="44"/>
    <x v="1"/>
    <x v="13"/>
    <x v="9"/>
    <n v="8"/>
    <n v="18"/>
    <x v="17"/>
    <s v="Popular"/>
    <s v="No"/>
    <s v="Wide Reach"/>
    <x v="2"/>
    <s v="North America"/>
    <n v="2"/>
  </r>
  <r>
    <n v="260"/>
    <s v="SkyPainter"/>
    <s v="Soaring on the wings of a free spirit, unburdened by the chains of conformity, painting the sky with independence."/>
    <x v="66"/>
    <d v="2021-08-15T11:10:00"/>
    <x v="1"/>
    <s v=" #FreeSpirit #PaintingTheSky "/>
    <n v="20"/>
    <n v="40"/>
    <x v="4"/>
    <x v="2"/>
    <x v="4"/>
    <n v="15"/>
    <n v="11"/>
    <x v="2"/>
    <s v="Normal"/>
    <s v="No"/>
    <s v="Standard"/>
    <x v="1"/>
    <s v="Asia"/>
    <n v="2"/>
  </r>
  <r>
    <n v="261"/>
    <s v="PhoenixExplorer"/>
    <s v="Bathed in the glow of inspiration, a creative phoenix rising from the ashes of ordinary thoughts to explore new realms."/>
    <x v="67"/>
    <d v="2019-10-25T16:50:00"/>
    <x v="0"/>
    <s v=" #Inspired #CreativePhoenix "/>
    <n v="15"/>
    <n v="30"/>
    <x v="2"/>
    <x v="12"/>
    <x v="10"/>
    <n v="25"/>
    <n v="16"/>
    <x v="0"/>
    <s v="Normal"/>
    <s v="No"/>
    <s v="Standard"/>
    <x v="0"/>
    <s v="Europe"/>
    <n v="2"/>
  </r>
  <r>
    <n v="262"/>
    <s v="SunriseNavigator"/>
    <s v="Navigating the sea of hope, sailing towards the sunrise of possibilities, confident in the ship of positive anticipation."/>
    <x v="60"/>
    <d v="2023-10-05T07:30:00"/>
    <x v="2"/>
    <s v=" #Hopeful #SunriseOfPossibilities "/>
    <n v="12"/>
    <n v="24"/>
    <x v="0"/>
    <x v="0"/>
    <x v="10"/>
    <n v="5"/>
    <n v="7"/>
    <x v="18"/>
    <s v="Normal"/>
    <s v="No"/>
    <s v="Standard"/>
    <x v="1"/>
    <s v="North America"/>
    <n v="2"/>
  </r>
  <r>
    <n v="263"/>
    <s v="SandStrider"/>
    <s v="Striding with confidence, footprints of self-assuredness imprinted on the sands of challenges conquered and victories claimed."/>
    <x v="68"/>
    <d v="2022-02-15T13:15:00"/>
    <x v="1"/>
    <s v=" #Confident #FootprintsOfAssuredness "/>
    <n v="25"/>
    <n v="50"/>
    <x v="3"/>
    <x v="4"/>
    <x v="1"/>
    <n v="15"/>
    <n v="13"/>
    <x v="5"/>
    <s v="Popular"/>
    <s v="No"/>
    <s v="Wide Reach"/>
    <x v="0"/>
    <s v="Oceania"/>
    <n v="2"/>
  </r>
  <r>
    <n v="264"/>
    <s v="NightSerenader"/>
    <s v="Lost in the symphony of the night, a moonlit serenade that whispers tales of wanderlust and moonlit dreams."/>
    <x v="30"/>
    <d v="2021-05-08T22:00:00"/>
    <x v="0"/>
    <s v=" #Serenity #MoonlitSerenade "/>
    <n v="13"/>
    <n v="26"/>
    <x v="1"/>
    <x v="2"/>
    <x v="3"/>
    <n v="8"/>
    <n v="22"/>
    <x v="14"/>
    <s v="Normal"/>
    <s v="No"/>
    <s v="Standard"/>
    <x v="2"/>
    <s v="North America"/>
    <n v="2"/>
  </r>
  <r>
    <n v="265"/>
    <s v="KnowledgeSeeker"/>
    <s v="Unveiling the layers of curiosity, a labyrinth of questions leading to the treasure troves of undiscovered knowledge."/>
    <x v="52"/>
    <d v="2020-11-29T14:45:00"/>
    <x v="1"/>
    <s v=" #Curiosity #LabyrinthOfQuestions "/>
    <n v="17"/>
    <n v="34"/>
    <x v="0"/>
    <x v="13"/>
    <x v="6"/>
    <n v="29"/>
    <n v="14"/>
    <x v="19"/>
    <s v="Normal"/>
    <s v="No"/>
    <s v="Standard"/>
    <x v="0"/>
    <s v="North America"/>
    <n v="2"/>
  </r>
  <r>
    <n v="266"/>
    <s v="BreezeWaltzer"/>
    <s v="In the embrace of the autumn breeze, leaves of ambivalence dancing in a waltz between choices and uncertainties."/>
    <x v="57"/>
    <d v="2019-09-14T10:20:00"/>
    <x v="2"/>
    <s v=" #Ambivalence #AutumnWaltz "/>
    <n v="14"/>
    <n v="28"/>
    <x v="2"/>
    <x v="12"/>
    <x v="8"/>
    <n v="14"/>
    <n v="10"/>
    <x v="13"/>
    <s v="Normal"/>
    <s v="No"/>
    <s v="Standard"/>
    <x v="1"/>
    <s v="Europe"/>
    <n v="2"/>
  </r>
  <r>
    <n v="267"/>
    <s v="StarNavigator"/>
    <s v="Gratitude as a guiding star, navigating the constellation of blessings in the vast universe of life's precious moments."/>
    <x v="62"/>
    <d v="2022-03-12T19:55:00"/>
    <x v="0"/>
    <s v=" #Grateful #GuidingStar "/>
    <n v="19"/>
    <n v="38"/>
    <x v="3"/>
    <x v="4"/>
    <x v="2"/>
    <n v="12"/>
    <n v="19"/>
    <x v="20"/>
    <s v="Normal"/>
    <s v="No"/>
    <s v="Standard"/>
    <x v="2"/>
    <s v="Oceania"/>
    <n v="2"/>
  </r>
  <r>
    <n v="268"/>
    <s v="MeadowSprinter"/>
    <s v="With a zestful heart, sprinting through fields of enthusiasm, chasing sunbeams and laughter in the meadows of joy."/>
    <x v="59"/>
    <d v="2023-03-30T16:30:00"/>
    <x v="1"/>
    <s v=" #Zest #FieldsOfEnthusiasm "/>
    <n v="16"/>
    <n v="32"/>
    <x v="4"/>
    <x v="0"/>
    <x v="2"/>
    <n v="30"/>
    <n v="16"/>
    <x v="21"/>
    <s v="Normal"/>
    <s v="No"/>
    <s v="Standard"/>
    <x v="0"/>
    <s v="Asia"/>
    <n v="2"/>
  </r>
  <r>
    <n v="269"/>
    <s v="RainNurturer"/>
    <s v="A compassionate rain, tears of empathy falling gently, nurturing the seeds of kindness in the garden of human connections."/>
    <x v="64"/>
    <d v="2021-07-01T12:10:00"/>
    <x v="2"/>
    <s v=" #Compassionate #TearsOfEmpathy "/>
    <n v="21"/>
    <n v="42"/>
    <x v="1"/>
    <x v="2"/>
    <x v="9"/>
    <n v="1"/>
    <n v="12"/>
    <x v="22"/>
    <s v="Popular"/>
    <s v="No"/>
    <s v="Wide Reach"/>
    <x v="0"/>
    <s v="North America"/>
    <n v="2"/>
  </r>
  <r>
    <n v="270"/>
    <s v="PeakConqueror"/>
    <s v="Proudly scaling the peaks of achievement, a mountaineer conquering challenges and planting the flag of success."/>
    <x v="61"/>
    <d v="2020-01-05T08:45:00"/>
    <x v="0"/>
    <s v=" #Proud #ScalingPeaks "/>
    <n v="23"/>
    <n v="46"/>
    <x v="0"/>
    <x v="13"/>
    <x v="0"/>
    <n v="5"/>
    <n v="8"/>
    <x v="23"/>
    <s v="Popular"/>
    <s v="No"/>
    <s v="Wide Reach"/>
    <x v="1"/>
    <s v="North America"/>
    <n v="2"/>
  </r>
  <r>
    <n v="271"/>
    <s v="DawnGardener"/>
    <s v="Embraced by the hopeful dawn, a gardener sowing seeds of optimism, tending to the blooms of a brighter tomorrow."/>
    <x v="60"/>
    <d v="2022-07-17T06:15:00"/>
    <x v="1"/>
    <s v=" #Hopeful #SeedsOfOptimism "/>
    <n v="14"/>
    <n v="28"/>
    <x v="2"/>
    <x v="4"/>
    <x v="9"/>
    <n v="17"/>
    <n v="6"/>
    <x v="13"/>
    <s v="Normal"/>
    <s v="No"/>
    <s v="Standard"/>
    <x v="1"/>
    <s v="Europe"/>
    <n v="2"/>
  </r>
  <r>
    <n v="272"/>
    <s v="CarnivalDreamer"/>
    <s v="A playful escapade in the carnival of life, carousel laughter and cotton candy dreams swirling in the joyous atmosphere."/>
    <x v="65"/>
    <d v="2018-08-22T17:20:00"/>
    <x v="2"/>
    <s v=" #Playful #CarnivalEscapade "/>
    <n v="24"/>
    <n v="48"/>
    <x v="3"/>
    <x v="11"/>
    <x v="4"/>
    <n v="22"/>
    <n v="17"/>
    <x v="24"/>
    <s v="Popular"/>
    <s v="No"/>
    <s v="Wide Reach"/>
    <x v="0"/>
    <s v="Oceania"/>
    <n v="2"/>
  </r>
  <r>
    <n v="273"/>
    <s v="SkyArtist"/>
    <s v="Floating on clouds of inspiration, an artist painting the sky with strokes of creativity, creating a masterpiece of dreams."/>
    <x v="67"/>
    <d v="2021-12-08T14:30:00"/>
    <x v="0"/>
    <s v=" #Inspired #CloudsOfCreativity "/>
    <n v="18"/>
    <n v="36"/>
    <x v="4"/>
    <x v="2"/>
    <x v="11"/>
    <n v="8"/>
    <n v="14"/>
    <x v="15"/>
    <s v="Normal"/>
    <s v="No"/>
    <s v="Standard"/>
    <x v="0"/>
    <s v="Asia"/>
    <n v="2"/>
  </r>
  <r>
    <n v="274"/>
    <s v="RiverNavigator"/>
    <s v="Navigating the river of contentment, a serene boat cruise through the tranquil waters of inner peace and acceptance."/>
    <x v="29"/>
    <d v="2019-04-27T09:50:00"/>
    <x v="1"/>
    <s v=" #Contentment #TranquilWaters "/>
    <n v="20"/>
    <n v="40"/>
    <x v="1"/>
    <x v="12"/>
    <x v="7"/>
    <n v="27"/>
    <n v="9"/>
    <x v="2"/>
    <s v="Normal"/>
    <s v="No"/>
    <s v="Standard"/>
    <x v="1"/>
    <s v="North America"/>
    <n v="2"/>
  </r>
  <r>
    <n v="275"/>
    <s v="LanternWanderer"/>
    <s v="With empathy as a lantern, wandering through the dark alleys of sorrow, illuminating the path with compassion and care."/>
    <x v="63"/>
    <d v="2023-09-03T21:40:00"/>
    <x v="2"/>
    <s v=" #Empathetic #LanternOfCompassion "/>
    <n v="16"/>
    <n v="32"/>
    <x v="0"/>
    <x v="0"/>
    <x v="8"/>
    <n v="3"/>
    <n v="21"/>
    <x v="21"/>
    <s v="Normal"/>
    <s v="No"/>
    <s v="Standard"/>
    <x v="2"/>
    <s v="North America"/>
    <n v="2"/>
  </r>
  <r>
    <n v="276"/>
    <s v="DreamSoarer"/>
    <s v="A free spirit soaring on the wings of dreams, leaving trails of independence in the azure sky of boundless possibilities."/>
    <x v="66"/>
    <d v="2020-06-10T10:05:00"/>
    <x v="0"/>
    <s v=" #FreeSpirit #WingsOfDreams "/>
    <n v="22"/>
    <n v="44"/>
    <x v="2"/>
    <x v="13"/>
    <x v="5"/>
    <n v="10"/>
    <n v="10"/>
    <x v="17"/>
    <s v="Popular"/>
    <s v="No"/>
    <s v="Wide Reach"/>
    <x v="1"/>
    <s v="Europe"/>
    <n v="2"/>
  </r>
  <r>
    <n v="277"/>
    <s v="SunsetAdmirer"/>
    <s v="Bathed in the golden hues of gratefulness, a sunset of appreciation casting its warm glow on the landscapes of the heart."/>
    <x v="62"/>
    <d v="2022-04-01T18:30:00"/>
    <x v="1"/>
    <s v=" #Grateful #GoldenHues "/>
    <n v="19"/>
    <n v="38"/>
    <x v="3"/>
    <x v="4"/>
    <x v="7"/>
    <n v="1"/>
    <n v="18"/>
    <x v="20"/>
    <s v="Normal"/>
    <s v="No"/>
    <s v="Standard"/>
    <x v="2"/>
    <s v="Oceania"/>
    <n v="2"/>
  </r>
  <r>
    <n v="278"/>
    <s v="DanceStrider"/>
    <s v="Confident strides in the dance of life, a ballroom where self-assuredness leads, twirling through challenges with grace."/>
    <x v="68"/>
    <d v="2021-01-15T13:00:00"/>
    <x v="2"/>
    <s v=" #Confident #DanceOfLife "/>
    <n v="23"/>
    <n v="46"/>
    <x v="1"/>
    <x v="2"/>
    <x v="0"/>
    <n v="15"/>
    <n v="13"/>
    <x v="23"/>
    <s v="Popular"/>
    <s v="No"/>
    <s v="Wide Reach"/>
    <x v="0"/>
    <s v="North America"/>
    <n v="2"/>
  </r>
  <r>
    <n v="279"/>
    <s v="WindWhisperer"/>
    <s v="Hopeful whispers of wind, carrying the promises of a brighter tomorrow, a symphony of optimism in the air of possibilities."/>
    <x v="60"/>
    <d v="2023-05-06T07:20:00"/>
    <x v="0"/>
    <s v=" #Hopeful #BrighterTomorrows "/>
    <n v="15"/>
    <n v="30"/>
    <x v="4"/>
    <x v="0"/>
    <x v="3"/>
    <n v="6"/>
    <n v="7"/>
    <x v="0"/>
    <s v="Normal"/>
    <s v="No"/>
    <s v="Standard"/>
    <x v="1"/>
    <s v="Asia"/>
    <n v="2"/>
  </r>
  <r>
    <n v="280"/>
    <s v="JugglingArtist"/>
    <s v="Playfully juggling responsibilities, a circus performer balancing the acts of work and joy, tossing laughter into the air."/>
    <x v="65"/>
    <d v="2019-11-18T15:15:00"/>
    <x v="1"/>
    <s v=" #Playful #JugglingResponsibilities "/>
    <n v="25"/>
    <n v="50"/>
    <x v="0"/>
    <x v="12"/>
    <x v="6"/>
    <n v="18"/>
    <n v="15"/>
    <x v="5"/>
    <s v="Popular"/>
    <s v="No"/>
    <s v="Wide Reach"/>
    <x v="0"/>
    <s v="North America"/>
    <n v="2"/>
  </r>
  <r>
    <n v="281"/>
    <s v="StarStoryteller"/>
    <s v="Whispering tales of inspiration to the stars, a storyteller crafting constellations from the threads of imagination."/>
    <x v="67"/>
    <d v="2020-08-29T20:45:00"/>
    <x v="2"/>
    <s v=" #Inspired #TalesToTheStars "/>
    <n v="14"/>
    <n v="28"/>
    <x v="2"/>
    <x v="13"/>
    <x v="4"/>
    <n v="29"/>
    <n v="20"/>
    <x v="13"/>
    <s v="Normal"/>
    <s v="No"/>
    <s v="Standard"/>
    <x v="2"/>
    <s v="Europe"/>
    <n v="2"/>
  </r>
  <r>
    <n v="282"/>
    <s v="WaveNavigator"/>
    <s v="Charting a course through the waves of hopeful anticipation, a sailor steering towards the shores of dreams yet unexplored."/>
    <x v="60"/>
    <d v="2022-10-30T11:40:00"/>
    <x v="0"/>
    <s v=" #Hopeful #SailorOfDreams "/>
    <n v="17"/>
    <n v="34"/>
    <x v="3"/>
    <x v="4"/>
    <x v="10"/>
    <n v="30"/>
    <n v="11"/>
    <x v="19"/>
    <s v="Normal"/>
    <s v="No"/>
    <s v="Standard"/>
    <x v="1"/>
    <s v="Oceania"/>
    <n v="2"/>
  </r>
  <r>
    <n v="283"/>
    <s v="RainNurturer"/>
    <s v="A compassionate rain, tears of empathy falling gently, nurturing the seeds of kindness in the garden of human connections."/>
    <x v="64"/>
    <d v="2021-07-01T12:10:00"/>
    <x v="1"/>
    <s v=" #Compassionate #TearsOfEmpathy "/>
    <n v="21"/>
    <n v="42"/>
    <x v="1"/>
    <x v="2"/>
    <x v="9"/>
    <n v="1"/>
    <n v="12"/>
    <x v="22"/>
    <s v="Popular"/>
    <s v="No"/>
    <s v="Wide Reach"/>
    <x v="0"/>
    <s v="North America"/>
    <n v="2"/>
  </r>
  <r>
    <n v="284"/>
    <s v="PeakConqueror"/>
    <s v="Proudly scaling the peaks of achievement, a mountaineer conquering challenges and planting the flag of success."/>
    <x v="61"/>
    <d v="2020-01-05T08:45:00"/>
    <x v="0"/>
    <s v=" #Proud #ScalingPeaks "/>
    <n v="23"/>
    <n v="46"/>
    <x v="0"/>
    <x v="13"/>
    <x v="0"/>
    <n v="5"/>
    <n v="8"/>
    <x v="23"/>
    <s v="Popular"/>
    <s v="No"/>
    <s v="Wide Reach"/>
    <x v="1"/>
    <s v="North America"/>
    <n v="2"/>
  </r>
  <r>
    <n v="285"/>
    <s v="DawnGardener"/>
    <s v="Embraced by the hopeful dawn, a gardener sowing seeds of optimism, tending to the blooms of a brighter tomorrow."/>
    <x v="60"/>
    <d v="2022-07-17T06:15:00"/>
    <x v="1"/>
    <s v=" #Hopeful #SeedsOfOptimism "/>
    <n v="14"/>
    <n v="28"/>
    <x v="2"/>
    <x v="4"/>
    <x v="9"/>
    <n v="17"/>
    <n v="6"/>
    <x v="13"/>
    <s v="Normal"/>
    <s v="No"/>
    <s v="Standard"/>
    <x v="1"/>
    <s v="Europe"/>
    <n v="2"/>
  </r>
  <r>
    <n v="286"/>
    <s v="CarnivalDreamer"/>
    <s v="A playful escapade in the carnival of life, carousel laughter and cotton candy dreams swirling in the joyous atmosphere."/>
    <x v="65"/>
    <d v="2018-08-22T17:20:00"/>
    <x v="2"/>
    <s v=" #Playful #CarnivalEscapade "/>
    <n v="24"/>
    <n v="48"/>
    <x v="3"/>
    <x v="11"/>
    <x v="4"/>
    <n v="22"/>
    <n v="17"/>
    <x v="24"/>
    <s v="Popular"/>
    <s v="No"/>
    <s v="Wide Reach"/>
    <x v="0"/>
    <s v="Oceania"/>
    <n v="2"/>
  </r>
  <r>
    <n v="287"/>
    <s v="SkyArtist"/>
    <s v="Floating on clouds of inspiration, an artist painting the sky with strokes of creativity, creating a masterpiece of dreams."/>
    <x v="67"/>
    <d v="2021-12-08T14:30:00"/>
    <x v="0"/>
    <s v=" #Inspired #CloudsOfCreativity "/>
    <n v="18"/>
    <n v="36"/>
    <x v="4"/>
    <x v="2"/>
    <x v="11"/>
    <n v="8"/>
    <n v="14"/>
    <x v="15"/>
    <s v="Normal"/>
    <s v="No"/>
    <s v="Standard"/>
    <x v="0"/>
    <s v="Asia"/>
    <n v="2"/>
  </r>
  <r>
    <n v="288"/>
    <s v="RiverNavigator"/>
    <s v="Navigating the river of contentment, a serene boat cruise through the tranquil waters of inner peace and acceptance."/>
    <x v="29"/>
    <d v="2019-04-27T09:50:00"/>
    <x v="1"/>
    <s v=" #Contentment #TranquilWaters "/>
    <n v="20"/>
    <n v="40"/>
    <x v="1"/>
    <x v="12"/>
    <x v="7"/>
    <n v="27"/>
    <n v="9"/>
    <x v="2"/>
    <s v="Normal"/>
    <s v="No"/>
    <s v="Standard"/>
    <x v="1"/>
    <s v="North America"/>
    <n v="2"/>
  </r>
  <r>
    <n v="289"/>
    <s v="LanternWanderer"/>
    <s v="With empathy as a lantern, wandering through the dark alleys of sorrow, illuminating the path with compassion and care."/>
    <x v="63"/>
    <d v="2023-09-03T21:40:00"/>
    <x v="2"/>
    <s v=" #Empathetic #LanternOfCompassion "/>
    <n v="16"/>
    <n v="32"/>
    <x v="0"/>
    <x v="0"/>
    <x v="8"/>
    <n v="3"/>
    <n v="21"/>
    <x v="21"/>
    <s v="Normal"/>
    <s v="No"/>
    <s v="Standard"/>
    <x v="2"/>
    <s v="North America"/>
    <n v="2"/>
  </r>
  <r>
    <n v="290"/>
    <s v="DreamSoarer"/>
    <s v="A free spirit soaring on the wings of dreams, leaving trails of independence in the azure sky of boundless possibilities."/>
    <x v="66"/>
    <d v="2020-06-10T10:05:00"/>
    <x v="0"/>
    <s v=" #FreeSpirit #WingsOfDreams "/>
    <n v="22"/>
    <n v="44"/>
    <x v="2"/>
    <x v="13"/>
    <x v="5"/>
    <n v="10"/>
    <n v="10"/>
    <x v="17"/>
    <s v="Popular"/>
    <s v="No"/>
    <s v="Wide Reach"/>
    <x v="1"/>
    <s v="Europe"/>
    <n v="2"/>
  </r>
  <r>
    <n v="291"/>
    <s v="SunsetAdmirer"/>
    <s v="Bathed in the golden hues of gratefulness, a sunset of appreciation casting its warm glow on the landscapes of the heart."/>
    <x v="62"/>
    <d v="2022-04-01T18:30:00"/>
    <x v="1"/>
    <s v=" #Grateful #GoldenHues "/>
    <n v="19"/>
    <n v="38"/>
    <x v="3"/>
    <x v="4"/>
    <x v="7"/>
    <n v="1"/>
    <n v="18"/>
    <x v="20"/>
    <s v="Normal"/>
    <s v="No"/>
    <s v="Standard"/>
    <x v="2"/>
    <s v="Oceania"/>
    <n v="2"/>
  </r>
  <r>
    <n v="292"/>
    <s v="DanceStrider"/>
    <s v="Confident strides in the dance of life, a ballroom where self-assuredness leads, twirling through challenges with grace."/>
    <x v="68"/>
    <d v="2021-01-15T13:00:00"/>
    <x v="2"/>
    <s v=" #Confident #DanceOfLife "/>
    <n v="23"/>
    <n v="46"/>
    <x v="1"/>
    <x v="2"/>
    <x v="0"/>
    <n v="15"/>
    <n v="13"/>
    <x v="23"/>
    <s v="Popular"/>
    <s v="No"/>
    <s v="Wide Reach"/>
    <x v="0"/>
    <s v="North America"/>
    <n v="2"/>
  </r>
  <r>
    <n v="293"/>
    <s v="WindWhisperer"/>
    <s v="Hopeful whispers of wind, carrying the promises of a brighter tomorrow, a symphony of optimism in the air of possibilities."/>
    <x v="60"/>
    <d v="2023-05-06T07:20:00"/>
    <x v="0"/>
    <s v=" #Hopeful #BrighterTomorrows "/>
    <n v="15"/>
    <n v="30"/>
    <x v="4"/>
    <x v="0"/>
    <x v="3"/>
    <n v="6"/>
    <n v="7"/>
    <x v="0"/>
    <s v="Normal"/>
    <s v="No"/>
    <s v="Standard"/>
    <x v="1"/>
    <s v="Asia"/>
    <n v="2"/>
  </r>
  <r>
    <n v="294"/>
    <s v="JugglingArtist"/>
    <s v="Playfully juggling responsibilities, a circus performer balancing the acts of work and joy, tossing laughter into the air."/>
    <x v="65"/>
    <d v="2019-11-18T15:15:00"/>
    <x v="1"/>
    <s v=" #Playful #JugglingResponsibilities "/>
    <n v="25"/>
    <n v="50"/>
    <x v="0"/>
    <x v="12"/>
    <x v="6"/>
    <n v="18"/>
    <n v="15"/>
    <x v="5"/>
    <s v="Popular"/>
    <s v="No"/>
    <s v="Wide Reach"/>
    <x v="0"/>
    <s v="North America"/>
    <n v="2"/>
  </r>
  <r>
    <n v="295"/>
    <s v="StarStoryteller"/>
    <s v="Whispering tales of inspiration to the stars, a storyteller crafting constellations from the threads of imagination."/>
    <x v="67"/>
    <d v="2020-08-29T20:45:00"/>
    <x v="2"/>
    <s v=" #Inspired #TalesToTheStars "/>
    <n v="14"/>
    <n v="28"/>
    <x v="2"/>
    <x v="13"/>
    <x v="4"/>
    <n v="29"/>
    <n v="20"/>
    <x v="13"/>
    <s v="Normal"/>
    <s v="No"/>
    <s v="Standard"/>
    <x v="2"/>
    <s v="Europe"/>
    <n v="2"/>
  </r>
  <r>
    <n v="296"/>
    <s v="WaveNavigator"/>
    <s v="Charting a course through the waves of hopeful anticipation, a sailor steering towards the shores of dreams yet unexplored."/>
    <x v="60"/>
    <d v="2022-10-30T11:40:00"/>
    <x v="0"/>
    <s v=" #Hopeful #SailorOfDreams "/>
    <n v="17"/>
    <n v="34"/>
    <x v="3"/>
    <x v="4"/>
    <x v="10"/>
    <n v="30"/>
    <n v="11"/>
    <x v="19"/>
    <s v="Normal"/>
    <s v="No"/>
    <s v="Standard"/>
    <x v="1"/>
    <s v="Oceania"/>
    <n v="2"/>
  </r>
  <r>
    <n v="297"/>
    <s v="RainNurturer"/>
    <s v="A compassionate rain, tears of empathy falling gently, nurturing the seeds of kindness in the garden of human connections."/>
    <x v="64"/>
    <d v="2021-07-01T12:10:00"/>
    <x v="1"/>
    <s v=" #Compassionate #TearsOfEmpathy "/>
    <n v="21"/>
    <n v="42"/>
    <x v="1"/>
    <x v="2"/>
    <x v="9"/>
    <n v="1"/>
    <n v="12"/>
    <x v="22"/>
    <s v="Popular"/>
    <s v="No"/>
    <s v="Wide Reach"/>
    <x v="0"/>
    <s v="North America"/>
    <n v="2"/>
  </r>
  <r>
    <n v="298"/>
    <s v="PeakConqueror"/>
    <s v="Proudly scaling the peaks of achievement, a mountaineer conquering challenges and planting the flag of success."/>
    <x v="61"/>
    <d v="2020-01-05T08:45:00"/>
    <x v="0"/>
    <s v=" #Proud #ScalingPeaks "/>
    <n v="23"/>
    <n v="46"/>
    <x v="0"/>
    <x v="13"/>
    <x v="0"/>
    <n v="5"/>
    <n v="8"/>
    <x v="23"/>
    <s v="Popular"/>
    <s v="No"/>
    <s v="Wide Reach"/>
    <x v="1"/>
    <s v="North America"/>
    <n v="2"/>
  </r>
  <r>
    <n v="299"/>
    <s v="DawnGardener"/>
    <s v="Embraced by the hopeful dawn, a gardener sowing seeds of optimism, tending to the blooms of a brighter tomorrow."/>
    <x v="60"/>
    <d v="2022-07-17T06:15:00"/>
    <x v="1"/>
    <s v=" #Hopeful #SeedsOfOptimism "/>
    <n v="14"/>
    <n v="28"/>
    <x v="4"/>
    <x v="4"/>
    <x v="9"/>
    <n v="17"/>
    <n v="6"/>
    <x v="13"/>
    <s v="Normal"/>
    <s v="No"/>
    <s v="Standard"/>
    <x v="1"/>
    <s v="Asia"/>
    <n v="2"/>
  </r>
  <r>
    <n v="300"/>
    <s v="CarnivalDreamer"/>
    <s v="A playful escapade in the carnival of life, carousel laughter and cotton candy dreams swirling in the joyous atmosphere."/>
    <x v="65"/>
    <d v="2018-08-22T17:20:00"/>
    <x v="2"/>
    <s v=" #Playful #CarnivalEscapade "/>
    <n v="24"/>
    <n v="48"/>
    <x v="3"/>
    <x v="11"/>
    <x v="4"/>
    <n v="22"/>
    <n v="17"/>
    <x v="24"/>
    <s v="Popular"/>
    <s v="No"/>
    <s v="Wide Reach"/>
    <x v="0"/>
    <s v="Oceania"/>
    <n v="2"/>
  </r>
  <r>
    <n v="301"/>
    <s v="ShatteredHeart"/>
    <s v="Drowning in the abyss of despair, a heart shattered into fragments, lost in the echoing silence of hopelessness."/>
    <x v="40"/>
    <d v="2021-09-15T16:00:00"/>
    <x v="1"/>
    <s v=" #Despair #EchoingSilence "/>
    <n v="8"/>
    <n v="16"/>
    <x v="1"/>
    <x v="2"/>
    <x v="8"/>
    <n v="15"/>
    <n v="16"/>
    <x v="25"/>
    <s v="Normal"/>
    <s v="No"/>
    <s v="Standard"/>
    <x v="0"/>
    <s v="North America"/>
    <n v="2"/>
  </r>
  <r>
    <n v="302"/>
    <s v="VenomousSoul"/>
    <s v="Bitterness festering like a venomous vine, entwining the soul in a web of resentment, poisoning the garden of peace."/>
    <x v="69"/>
    <d v="2019-03-08T14:20:00"/>
    <x v="2"/>
    <s v=" #Bitterness #ResentmentWeb "/>
    <n v="12"/>
    <n v="24"/>
    <x v="2"/>
    <x v="12"/>
    <x v="2"/>
    <n v="8"/>
    <n v="14"/>
    <x v="18"/>
    <s v="Normal"/>
    <s v="No"/>
    <s v="Standard"/>
    <x v="0"/>
    <s v="Europe"/>
    <n v="2"/>
  </r>
  <r>
    <n v="303"/>
    <s v="DesertWanderer"/>
    <s v="Wandering through the desert of loneliness, each step a heavy sigh, mirages of connection shimmering but never materializing."/>
    <x v="42"/>
    <d v="2017-07-20T11:45:00"/>
    <x v="0"/>
    <s v=" #Loneliness #MiragesOfConnection "/>
    <n v="15"/>
    <n v="30"/>
    <x v="0"/>
    <x v="10"/>
    <x v="9"/>
    <n v="20"/>
    <n v="11"/>
    <x v="0"/>
    <s v="Normal"/>
    <s v="No"/>
    <s v="Standard"/>
    <x v="1"/>
    <s v="North America"/>
    <n v="2"/>
  </r>
  <r>
    <n v="304"/>
    <s v="ColdEmbrace"/>
    <s v="Yearning for a touch that's not there, echoes of a distant warmth haunting the heart in the cold embrace of solitude."/>
    <x v="70"/>
    <d v="2020-11-02T19:30:00"/>
    <x v="1"/>
    <s v=" #Yearning #DistantWarmth "/>
    <n v="10"/>
    <n v="20"/>
    <x v="3"/>
    <x v="13"/>
    <x v="6"/>
    <n v="2"/>
    <n v="19"/>
    <x v="6"/>
    <s v="Normal"/>
    <s v="No"/>
    <s v="Standard"/>
    <x v="2"/>
    <s v="Oceania"/>
    <n v="2"/>
  </r>
  <r>
    <n v="305"/>
    <s v="NightPrisoner"/>
    <s v="Eyes wide open in the night, fearful shadows dancing on the walls, the mind a prisoner of imagined horrors."/>
    <x v="71"/>
    <d v="2022-05-12T02:00:00"/>
    <x v="2"/>
    <s v=" #Fearful #ImaginedHorrors "/>
    <n v="18"/>
    <n v="36"/>
    <x v="4"/>
    <x v="4"/>
    <x v="3"/>
    <n v="12"/>
    <n v="2"/>
    <x v="15"/>
    <s v="Normal"/>
    <s v="No"/>
    <s v="Standard"/>
    <x v="3"/>
    <s v="Asia"/>
    <n v="2"/>
  </r>
  <r>
    <n v="306"/>
    <s v="TightropeWalker"/>
    <s v="Apprehensive steps on the tightrope of uncertainty, a balancing act where the fall seems inevitable, anxiety a constant companion."/>
    <x v="72"/>
    <d v="2023-04-08T13:15:00"/>
    <x v="0"/>
    <s v=" #Apprehensive #BalancingAct "/>
    <n v="14"/>
    <n v="28"/>
    <x v="2"/>
    <x v="0"/>
    <x v="7"/>
    <n v="8"/>
    <n v="13"/>
    <x v="13"/>
    <s v="Normal"/>
    <s v="No"/>
    <s v="Standard"/>
    <x v="0"/>
    <s v="Europe"/>
    <n v="2"/>
  </r>
  <r>
    <n v="307"/>
    <s v="AtlasBearer"/>
    <s v="Overwhelmed by the weight of the world, Atlas with trembling shoulders, each responsibility a boulder in the landscape of exhaustion."/>
    <x v="73"/>
    <d v="2021-06-25T17:50:00"/>
    <x v="1"/>
    <s v=" #Overwhelmed #BouldersOfExhaustion "/>
    <n v="22"/>
    <n v="44"/>
    <x v="1"/>
    <x v="2"/>
    <x v="5"/>
    <n v="25"/>
    <n v="17"/>
    <x v="17"/>
    <s v="Popular"/>
    <s v="No"/>
    <s v="Wide Reach"/>
    <x v="0"/>
    <s v="North America"/>
    <n v="2"/>
  </r>
  <r>
    <n v="308"/>
    <s v="GreenMonster"/>
    <s v="Jealousy, a green-eyed monster, lurking in the shadows, casting a dark cloud over the sunshine of others' success."/>
    <x v="74"/>
    <d v="2019-08-30T10:10:00"/>
    <x v="2"/>
    <s v=" #Jealous #GreenEyedMonster "/>
    <n v="16"/>
    <n v="32"/>
    <x v="0"/>
    <x v="12"/>
    <x v="4"/>
    <n v="30"/>
    <n v="10"/>
    <x v="21"/>
    <s v="Normal"/>
    <s v="No"/>
    <s v="Standard"/>
    <x v="1"/>
    <s v="North America"/>
    <n v="2"/>
  </r>
  <r>
    <n v="309"/>
    <s v="StormSurvivor"/>
    <s v="Devastated by the storm of betrayal, the wreckage of trust scattered like debris, a heart torn by the winds of broken promises."/>
    <x v="75"/>
    <d v="2022-08-03T15:30:00"/>
    <x v="0"/>
    <s v=" #Devastated #WindsOfBrokenPromises "/>
    <n v="25"/>
    <n v="50"/>
    <x v="3"/>
    <x v="4"/>
    <x v="4"/>
    <n v="3"/>
    <n v="15"/>
    <x v="5"/>
    <s v="Popular"/>
    <s v="No"/>
    <s v="Wide Reach"/>
    <x v="0"/>
    <s v="Oceania"/>
    <n v="2"/>
  </r>
  <r>
    <n v="310"/>
    <s v="PuzzleComposer"/>
    <s v="Frustrated fingers tapping on the keyboard, a symphony of annoyance composing an unsolvable puzzle of unmet expectations."/>
    <x v="76"/>
    <d v="2020-12-17T09:20:00"/>
    <x v="1"/>
    <s v=" #Frustrated #UnsolvablePuzzle "/>
    <n v="12"/>
    <n v="24"/>
    <x v="4"/>
    <x v="13"/>
    <x v="11"/>
    <n v="17"/>
    <n v="9"/>
    <x v="18"/>
    <s v="Normal"/>
    <s v="No"/>
    <s v="Standard"/>
    <x v="1"/>
    <s v="Asia"/>
    <n v="2"/>
  </r>
  <r>
    <n v="311"/>
    <s v="GildedHeartache"/>
    <s v="Envious eyes fixated on the gilded prize, a heartache fueled by the painful desire for possessions that seem forever out of reach."/>
    <x v="77"/>
    <d v="2021-02-28T22:45:00"/>
    <x v="2"/>
    <s v=" #Envious #GildedPrize "/>
    <n v="20"/>
    <n v="40"/>
    <x v="0"/>
    <x v="2"/>
    <x v="1"/>
    <n v="28"/>
    <n v="22"/>
    <x v="2"/>
    <s v="Normal"/>
    <s v="No"/>
    <s v="Standard"/>
    <x v="2"/>
    <s v="North America"/>
    <n v="2"/>
  </r>
  <r>
    <n v="312"/>
    <s v="IndifferentFort"/>
    <s v="Dismissive glances, a fortress built with indifference, walls impenetrable to the pleas of understanding and recognition."/>
    <x v="78"/>
    <d v="2018-05-10T14:00:00"/>
    <x v="0"/>
    <s v=" #Dismissive #ImpenetrableWalls "/>
    <n v="14"/>
    <n v="28"/>
    <x v="2"/>
    <x v="11"/>
    <x v="3"/>
    <n v="10"/>
    <n v="14"/>
    <x v="13"/>
    <s v="Normal"/>
    <s v="No"/>
    <s v="Standard"/>
    <x v="0"/>
    <s v="Europe"/>
    <n v="2"/>
  </r>
  <r>
    <n v="313"/>
    <s v="DreamMosaic"/>
    <s v="Shattered dreams lie on the floor like fragments of glass, a mosaic of disappointment crafted by the hands of frustration."/>
    <x v="76"/>
    <d v="2022-01-07T11:10:00"/>
    <x v="1"/>
    <s v=" #Frustrated #MosaicOfDisappointment "/>
    <n v="15"/>
    <n v="30"/>
    <x v="1"/>
    <x v="4"/>
    <x v="0"/>
    <n v="7"/>
    <n v="11"/>
    <x v="0"/>
    <s v="Normal"/>
    <s v="No"/>
    <s v="Standard"/>
    <x v="1"/>
    <s v="North America"/>
    <n v="2"/>
  </r>
  <r>
    <n v="314"/>
    <s v="NocturnalEcho"/>
    <s v="Loneliness, a silent companion in the night, the only echo in the chamber of solitude, a heart's solitary nocturne."/>
    <x v="42"/>
    <d v="2019-09-19T03:30:00"/>
    <x v="2"/>
    <s v=" #Loneliness #SolitaryNocturne "/>
    <n v="18"/>
    <n v="36"/>
    <x v="3"/>
    <x v="12"/>
    <x v="8"/>
    <n v="19"/>
    <n v="3"/>
    <x v="15"/>
    <s v="Normal"/>
    <s v="No"/>
    <s v="Standard"/>
    <x v="3"/>
    <s v="Oceania"/>
    <n v="2"/>
  </r>
  <r>
    <n v="315"/>
    <s v="DarkWhispers"/>
    <s v="Fearful whispers in the dark, the mind haunted by the specter of the unknown, shadows dancing to the rhythm of anxiety's tune."/>
    <x v="71"/>
    <d v="2023-07-14T23:00:00"/>
    <x v="0"/>
    <s v=" #Fearful #SpecterOfTheUnknown "/>
    <n v="13"/>
    <n v="26"/>
    <x v="2"/>
    <x v="0"/>
    <x v="9"/>
    <n v="14"/>
    <n v="23"/>
    <x v="14"/>
    <s v="Normal"/>
    <s v="No"/>
    <s v="Standard"/>
    <x v="2"/>
    <s v="Europe"/>
    <n v="2"/>
  </r>
  <r>
    <n v="316"/>
    <s v="LingeringTaste"/>
    <s v="Bitterness, a bitter aftertaste lingering on the tongue, each word a reminder of wounds that refuse to heal with the passing of time."/>
    <x v="69"/>
    <d v="2020-04-05T16:20:00"/>
    <x v="1"/>
    <s v=" #Bitterness #BitterAftertaste "/>
    <n v="10"/>
    <n v="20"/>
    <x v="4"/>
    <x v="13"/>
    <x v="7"/>
    <n v="5"/>
    <n v="16"/>
    <x v="6"/>
    <s v="Normal"/>
    <s v="No"/>
    <s v="Standard"/>
    <x v="0"/>
    <s v="Asia"/>
    <n v="2"/>
  </r>
  <r>
    <n v="317"/>
    <s v="TempestSurvivor"/>
    <s v="Overwhelmed by the cacophony of expectations, a drowning soul in the tempest of pressure, struggling to stay afloat."/>
    <x v="73"/>
    <d v="2021-11-29T08:45:00"/>
    <x v="2"/>
    <s v=" #Overwhelmed #DrowningSoul "/>
    <n v="20"/>
    <n v="40"/>
    <x v="0"/>
    <x v="2"/>
    <x v="6"/>
    <n v="29"/>
    <n v="8"/>
    <x v="2"/>
    <s v="Normal"/>
    <s v="No"/>
    <s v="Standard"/>
    <x v="1"/>
    <s v="North America"/>
    <n v="2"/>
  </r>
  <r>
    <n v="318"/>
    <s v="VenomousHeart"/>
    <s v="Jealousy, a venom that seeps through the veins, poisoning the heart and turning it into a breeding ground for discontent."/>
    <x v="74"/>
    <d v="2019-12-12T17:00:00"/>
    <x v="0"/>
    <s v=" #Jealous #HeartOfDiscontent "/>
    <n v="16"/>
    <n v="32"/>
    <x v="3"/>
    <x v="12"/>
    <x v="11"/>
    <n v="12"/>
    <n v="17"/>
    <x v="21"/>
    <s v="Normal"/>
    <s v="No"/>
    <s v="Standard"/>
    <x v="0"/>
    <s v="Oceania"/>
    <n v="2"/>
  </r>
  <r>
    <n v="319"/>
    <s v="FragileTrust"/>
    <s v="Devastated by the revelation of betrayal, the trust shattered like fragile glass, leaving shards of pain in its wake."/>
    <x v="75"/>
    <d v="2022-05-20T14:50:00"/>
    <x v="1"/>
    <s v=" #Devastated #ShatteredTrust "/>
    <n v="25"/>
    <n v="50"/>
    <x v="1"/>
    <x v="4"/>
    <x v="3"/>
    <n v="20"/>
    <n v="14"/>
    <x v="5"/>
    <s v="Popular"/>
    <s v="No"/>
    <s v="Wide Reach"/>
    <x v="0"/>
    <s v="North America"/>
    <n v="2"/>
  </r>
  <r>
    <n v="320"/>
    <s v="BrokenThreads"/>
    <s v="Frustrated attempts to mend a broken connection, the threads of understanding slipping through the fingers like grains of sand."/>
    <x v="76"/>
    <d v="2020-09-03T12:15:00"/>
    <x v="2"/>
    <s v=" #Frustrated #SlippingThreads "/>
    <n v="14"/>
    <n v="28"/>
    <x v="2"/>
    <x v="13"/>
    <x v="8"/>
    <n v="3"/>
    <n v="12"/>
    <x v="13"/>
    <s v="Normal"/>
    <s v="No"/>
    <s v="Standard"/>
    <x v="0"/>
    <s v="Europe"/>
    <n v="2"/>
  </r>
  <r>
    <n v="321"/>
    <s v="SuccessPill"/>
    <s v="Envious gazes cast upon the podium of success, a bitter pill swallowed, the taste lingering as a constant reminder of unattained heights."/>
    <x v="77"/>
    <d v="2021-02-10T19:30:00"/>
    <x v="0"/>
    <s v=" #Envious #BitterPill "/>
    <n v="20"/>
    <n v="40"/>
    <x v="0"/>
    <x v="2"/>
    <x v="1"/>
    <n v="10"/>
    <n v="19"/>
    <x v="2"/>
    <s v="Normal"/>
    <s v="No"/>
    <s v="Standard"/>
    <x v="2"/>
    <s v="North America"/>
    <n v="2"/>
  </r>
  <r>
    <n v="322"/>
    <s v="CurtainShield"/>
    <s v="Dismissive gestures, a curtain drawn to shield the vulnerability, a stage where emotions take a backseat to the performance of indifference."/>
    <x v="78"/>
    <d v="2018-08-18T14:40:00"/>
    <x v="1"/>
    <s v=" #Dismissive #IndifferencePerformance "/>
    <n v="12"/>
    <n v="24"/>
    <x v="3"/>
    <x v="11"/>
    <x v="4"/>
    <n v="18"/>
    <n v="14"/>
    <x v="18"/>
    <s v="Normal"/>
    <s v="No"/>
    <s v="Standard"/>
    <x v="0"/>
    <s v="Oceania"/>
    <n v="2"/>
  </r>
  <r>
    <n v="323"/>
    <s v="FoggyLabyrinth"/>
    <s v="Despair like a heavy fog, enveloping every thought, blurring the path ahead, a journey in the labyrinth of utter hopelessness."/>
    <x v="40"/>
    <d v="2022-02-28T21:00:00"/>
    <x v="2"/>
    <s v=" #Despair #LabyrinthOfHopelessness "/>
    <n v="8"/>
    <n v="16"/>
    <x v="1"/>
    <x v="4"/>
    <x v="1"/>
    <n v="28"/>
    <n v="21"/>
    <x v="25"/>
    <s v="Normal"/>
    <s v="No"/>
    <s v="Standard"/>
    <x v="2"/>
    <s v="North America"/>
    <n v="2"/>
  </r>
  <r>
    <n v="324"/>
    <s v="IcyResentment"/>
    <s v="Bitterness, a bitter chill in the air, freezing moments into icicles of resentment that dangle precariously over the landscape of memory."/>
    <x v="69"/>
    <d v="2019-10-15T10:30:00"/>
    <x v="0"/>
    <s v=" #Bitterness #IciclesOfResentment "/>
    <n v="15"/>
    <n v="30"/>
    <x v="2"/>
    <x v="12"/>
    <x v="10"/>
    <n v="15"/>
    <n v="10"/>
    <x v="0"/>
    <s v="Normal"/>
    <s v="No"/>
    <s v="Standard"/>
    <x v="1"/>
    <s v="Europe"/>
    <n v="2"/>
  </r>
  <r>
    <n v="325"/>
    <s v="SolitaryMoon"/>
    <s v="Loneliness, a solitary moon in a starless sky, casting a cold glow on the landscape of isolation, where echoes bounce in empty spaces."/>
    <x v="42"/>
    <d v="2017-12-01T18:50:00"/>
    <x v="1"/>
    <s v=" #Loneliness #StarlessSky "/>
    <n v="18"/>
    <n v="36"/>
    <x v="0"/>
    <x v="10"/>
    <x v="11"/>
    <n v="1"/>
    <n v="18"/>
    <x v="15"/>
    <s v="Normal"/>
    <s v="No"/>
    <s v="Standard"/>
    <x v="2"/>
    <s v="North America"/>
    <n v="2"/>
  </r>
  <r>
    <n v="326"/>
    <s v="VanishedSunset"/>
    <s v="Yearning for the warmth of a vanished sun, a heartache painted in the hues of a sunset that never graced the horizon."/>
    <x v="70"/>
    <d v="2020-04-18T16:15:00"/>
    <x v="2"/>
    <s v=" #Yearning #HuesOfSunset "/>
    <n v="10"/>
    <n v="20"/>
    <x v="3"/>
    <x v="13"/>
    <x v="7"/>
    <n v="18"/>
    <n v="16"/>
    <x v="6"/>
    <s v="Normal"/>
    <s v="No"/>
    <s v="Standard"/>
    <x v="0"/>
    <s v="Oceania"/>
    <n v="2"/>
  </r>
  <r>
    <n v="327"/>
    <s v="NightPrisoner"/>
    <s v="Fearful eyes scanning the shadows, a prisoner of the night, terrorized by the lurking monsters born from the mind's darkest corners."/>
    <x v="71"/>
    <d v="2023-01-07T03:30:00"/>
    <x v="0"/>
    <s v=" #Fearful #LurkingMonsters "/>
    <n v="18"/>
    <n v="36"/>
    <x v="4"/>
    <x v="0"/>
    <x v="0"/>
    <n v="7"/>
    <n v="3"/>
    <x v="15"/>
    <s v="Normal"/>
    <s v="No"/>
    <s v="Standard"/>
    <x v="3"/>
    <s v="Asia"/>
    <n v="2"/>
  </r>
  <r>
    <n v="328"/>
    <s v="WindWhisperer"/>
    <s v="Apprehensive whispers in the wind, a forecast of uncertainty, the mind's weather vane spinning wildly in the storm of doubt."/>
    <x v="72"/>
    <d v="2021-06-10T10:00:00"/>
    <x v="1"/>
    <s v=" #Apprehensive #StormOfDoubt "/>
    <n v="14"/>
    <n v="28"/>
    <x v="1"/>
    <x v="2"/>
    <x v="5"/>
    <n v="10"/>
    <n v="10"/>
    <x v="13"/>
    <s v="Normal"/>
    <s v="No"/>
    <s v="Standard"/>
    <x v="1"/>
    <s v="North America"/>
    <n v="2"/>
  </r>
  <r>
    <n v="329"/>
    <s v="MazeExplorer"/>
    <s v="Overwhelmed by the maze of expectations, a minotaur of pressure lurking in the labyrinth, waiting to devour the spirit of resilience."/>
    <x v="73"/>
    <d v="2020-02-22T15:20:00"/>
    <x v="2"/>
    <s v=" #Overwhelmed #MinotaurOfPressure "/>
    <n v="22"/>
    <n v="44"/>
    <x v="0"/>
    <x v="13"/>
    <x v="1"/>
    <n v="22"/>
    <n v="15"/>
    <x v="17"/>
    <s v="Popular"/>
    <s v="No"/>
    <s v="Wide Reach"/>
    <x v="0"/>
    <s v="North America"/>
    <n v="2"/>
  </r>
  <r>
    <n v="330"/>
    <s v="WoundedGarden"/>
    <s v="Jealousy, a festering wound, the pain intensifying with each glance at the garden of others' achievements, blooming beyond the fence."/>
    <x v="74"/>
    <d v="2018-03-17T14:45:00"/>
    <x v="0"/>
    <s v=" #Jealous #BloomingAchievements "/>
    <n v="16"/>
    <n v="32"/>
    <x v="2"/>
    <x v="11"/>
    <x v="2"/>
    <n v="17"/>
    <n v="14"/>
    <x v="21"/>
    <s v="Normal"/>
    <s v="No"/>
    <s v="Standard"/>
    <x v="0"/>
    <s v="Europe"/>
    <n v="2"/>
  </r>
  <r>
    <n v="331"/>
    <s v="RuinedHeart"/>
    <s v="Devastated, a heart in ruins, the echoes of shattered dreams reverberating in the chambers, a requiem for what once was whole."/>
    <x v="75"/>
    <d v="2022-10-28T11:15:00"/>
    <x v="1"/>
    <s v=" #Devastated #EchoesOfShatteredDreams "/>
    <n v="25"/>
    <n v="50"/>
    <x v="3"/>
    <x v="4"/>
    <x v="10"/>
    <n v="28"/>
    <n v="11"/>
    <x v="5"/>
    <s v="Popular"/>
    <s v="No"/>
    <s v="Wide Reach"/>
    <x v="1"/>
    <s v="Oceania"/>
    <n v="2"/>
  </r>
  <r>
    <n v="332"/>
    <s v="KnotUntangler"/>
    <s v="Frustrated attempts to untangle the knot of confusion, the threads of understanding slipping further into the labyrinth of miscommunication."/>
    <x v="76"/>
    <d v="2020-11-01T12:30:00"/>
    <x v="2"/>
    <s v=" #Frustrated #LabyrinthOfMiscommunication "/>
    <n v="14"/>
    <n v="28"/>
    <x v="4"/>
    <x v="13"/>
    <x v="6"/>
    <n v="1"/>
    <n v="12"/>
    <x v="13"/>
    <s v="Normal"/>
    <s v="No"/>
    <s v="Standard"/>
    <x v="0"/>
    <s v="Asia"/>
    <n v="2"/>
  </r>
  <r>
    <n v="333"/>
    <s v="ElusiveKeys"/>
    <s v="Envious eyes locked on the treasure chest of opportunities, a heartache fueled by the desire for keys that seem forever elusive."/>
    <x v="77"/>
    <d v="2021-01-15T22:10:00"/>
    <x v="0"/>
    <s v=" #Envious #DesireForKeys "/>
    <n v="20"/>
    <n v="40"/>
    <x v="0"/>
    <x v="2"/>
    <x v="0"/>
    <n v="15"/>
    <n v="22"/>
    <x v="2"/>
    <s v="Normal"/>
    <s v="No"/>
    <s v="Standard"/>
    <x v="2"/>
    <s v="North America"/>
    <n v="2"/>
  </r>
  <r>
    <n v="334"/>
    <s v="IndifferentFort"/>
    <s v="Dismissive gestures, a curtain drawn to shield the vulnerability, a stage where emotions take a backseat to the performance of indifference."/>
    <x v="78"/>
    <d v="2018-08-18T14:00:00"/>
    <x v="1"/>
    <s v=" #Dismissive #IndifferencePerformance "/>
    <n v="12"/>
    <n v="24"/>
    <x v="3"/>
    <x v="11"/>
    <x v="4"/>
    <n v="18"/>
    <n v="14"/>
    <x v="18"/>
    <s v="Normal"/>
    <s v="No"/>
    <s v="Standard"/>
    <x v="0"/>
    <s v="Oceania"/>
    <n v="2"/>
  </r>
  <r>
    <n v="335"/>
    <s v="DreamMosaic"/>
    <s v="Shattered dreams lie on the floor like fragments of glass, a mosaic of disappointment crafted by the hands of frustration."/>
    <x v="76"/>
    <d v="2022-01-07T11:10:00"/>
    <x v="0"/>
    <s v=" #Frustrated #MosaicOfDisappointment "/>
    <n v="15"/>
    <n v="30"/>
    <x v="1"/>
    <x v="4"/>
    <x v="0"/>
    <n v="7"/>
    <n v="11"/>
    <x v="0"/>
    <s v="Normal"/>
    <s v="No"/>
    <s v="Standard"/>
    <x v="1"/>
    <s v="North America"/>
    <n v="2"/>
  </r>
  <r>
    <n v="336"/>
    <s v="NocturnalEcho"/>
    <s v="Loneliness, a silent companion in the night, the only echo in the chamber of solitude, a heart's solitary nocturne."/>
    <x v="42"/>
    <d v="2019-09-19T03:30:00"/>
    <x v="2"/>
    <s v=" #Loneliness #SolitaryNocturne "/>
    <n v="18"/>
    <n v="36"/>
    <x v="3"/>
    <x v="12"/>
    <x v="8"/>
    <n v="19"/>
    <n v="3"/>
    <x v="15"/>
    <s v="Normal"/>
    <s v="No"/>
    <s v="Standard"/>
    <x v="3"/>
    <s v="Oceania"/>
    <n v="2"/>
  </r>
  <r>
    <n v="337"/>
    <s v="NatureAdmirer"/>
    <s v="Awe-struck by the breathtaking sunrise over the mountains."/>
    <x v="14"/>
    <d v="2022-04-03T06:15:00"/>
    <x v="1"/>
    <s v=" #Awe #BreathtakingSunrise                   "/>
    <n v="28"/>
    <n v="55"/>
    <x v="0"/>
    <x v="4"/>
    <x v="7"/>
    <n v="3"/>
    <n v="6"/>
    <x v="11"/>
    <s v="Popular"/>
    <s v="Yes"/>
    <s v="Wide Reach"/>
    <x v="1"/>
    <s v="North America"/>
    <n v="1.9642857142857142"/>
  </r>
  <r>
    <n v="338"/>
    <s v="GoalPursuer"/>
    <s v="Navigating through the challenges with determination."/>
    <x v="58"/>
    <d v="2023-10-12T10:30:00"/>
    <x v="0"/>
    <s v=" #Determination #Challenges                  "/>
    <n v="15"/>
    <n v="30"/>
    <x v="1"/>
    <x v="0"/>
    <x v="10"/>
    <n v="12"/>
    <n v="10"/>
    <x v="0"/>
    <s v="Normal"/>
    <s v="No"/>
    <s v="Standard"/>
    <x v="1"/>
    <s v="North America"/>
    <n v="2"/>
  </r>
  <r>
    <n v="339"/>
    <s v="MemoryLane"/>
    <s v="Nostalgia hits while flipping through an old photo album."/>
    <x v="56"/>
    <d v="2019-06-28T19:00:00"/>
    <x v="2"/>
    <s v=" #Nostalgia #OldMemories                     "/>
    <n v="22"/>
    <n v="45"/>
    <x v="2"/>
    <x v="12"/>
    <x v="5"/>
    <n v="28"/>
    <n v="19"/>
    <x v="9"/>
    <s v="Popular"/>
    <s v="No"/>
    <s v="Wide Reach"/>
    <x v="2"/>
    <s v="Europe"/>
    <n v="2.0454545454545454"/>
  </r>
  <r>
    <n v="340"/>
    <s v="CultureEnthusiast"/>
    <s v="Thrilled to witness the grandeur of a cultural festival."/>
    <x v="79"/>
    <d v="2020-09-15T14:45:00"/>
    <x v="1"/>
    <s v=" #Thrill #CulturalCelebration              "/>
    <n v="40"/>
    <n v="80"/>
    <x v="4"/>
    <x v="13"/>
    <x v="8"/>
    <n v="15"/>
    <n v="14"/>
    <x v="26"/>
    <s v="Popular"/>
    <s v="Yes"/>
    <s v="Wide Reach"/>
    <x v="0"/>
    <s v="Asia"/>
    <n v="2"/>
  </r>
  <r>
    <n v="341"/>
    <s v="RainWatcher"/>
    <s v="Calmness found in the rhythm of raindrops on the windowpane."/>
    <x v="21"/>
    <d v="2017-11-08T21:20:00"/>
    <x v="0"/>
    <s v=" #Calmness #RainyDays                        "/>
    <n v="18"/>
    <n v="35"/>
    <x v="3"/>
    <x v="10"/>
    <x v="6"/>
    <n v="8"/>
    <n v="21"/>
    <x v="8"/>
    <s v="Normal"/>
    <s v="No"/>
    <s v="Standard"/>
    <x v="2"/>
    <s v="Oceania"/>
    <n v="1.9444444444444444"/>
  </r>
  <r>
    <n v="342"/>
    <s v="PersonalJourney"/>
    <s v="Overwhelmed by the support received during a personal challenge."/>
    <x v="73"/>
    <d v="2021-05-20T17:30:00"/>
    <x v="2"/>
    <s v=" #Overwhelmed #SupportiveCommunity          "/>
    <n v="25"/>
    <n v="50"/>
    <x v="0"/>
    <x v="2"/>
    <x v="3"/>
    <n v="20"/>
    <n v="17"/>
    <x v="5"/>
    <s v="Popular"/>
    <s v="No"/>
    <s v="Wide Reach"/>
    <x v="0"/>
    <s v="North America"/>
    <n v="2"/>
  </r>
  <r>
    <n v="343"/>
    <s v="VacationDreamer"/>
    <s v="Excitement builds as the countdown to a long-awaited vacation begins."/>
    <x v="23"/>
    <d v="2023-01-10T12:00:00"/>
    <x v="1"/>
    <s v=" #Excitement #VacationCountdown        "/>
    <n v="30"/>
    <n v="60"/>
    <x v="5"/>
    <x v="0"/>
    <x v="0"/>
    <n v="10"/>
    <n v="12"/>
    <x v="7"/>
    <s v="Popular"/>
    <s v="Yes"/>
    <s v="Wide Reach"/>
    <x v="0"/>
    <s v="Other"/>
    <n v="2"/>
  </r>
  <r>
    <n v="344"/>
    <s v="LifeLearner"/>
    <s v="Reflecting on life's journey, grateful for the lessons learned."/>
    <x v="31"/>
    <d v="2018-12-05T08:45:00"/>
    <x v="0"/>
    <s v=" #Gratitude #LifeLessons                    "/>
    <n v="35"/>
    <n v="70"/>
    <x v="6"/>
    <x v="11"/>
    <x v="11"/>
    <n v="5"/>
    <n v="8"/>
    <x v="27"/>
    <s v="Popular"/>
    <s v="Yes"/>
    <s v="Wide Reach"/>
    <x v="1"/>
    <s v="Other"/>
    <n v="2"/>
  </r>
  <r>
    <n v="345"/>
    <s v="FarewellSender"/>
    <s v="Bittersweet emotions arise while bidding farewell to a dear friend."/>
    <x v="80"/>
    <d v="2020-03-15T18:30:00"/>
    <x v="1"/>
    <s v=" #Bittersweet #Farewell                     "/>
    <n v="20"/>
    <n v="40"/>
    <x v="7"/>
    <x v="13"/>
    <x v="2"/>
    <n v="15"/>
    <n v="18"/>
    <x v="2"/>
    <s v="Normal"/>
    <s v="No"/>
    <s v="Standard"/>
    <x v="2"/>
    <s v="Other"/>
    <n v="2"/>
  </r>
  <r>
    <n v="346"/>
    <s v="HistoryExplorer"/>
    <s v="Curiosity sparked by exploring a mysterious ancient ruin."/>
    <x v="52"/>
    <d v="2016-08-22T15:10:00"/>
    <x v="2"/>
    <s v=" #Curiosity #AncientDiscovery          "/>
    <n v="18"/>
    <n v="35"/>
    <x v="8"/>
    <x v="9"/>
    <x v="4"/>
    <n v="22"/>
    <n v="15"/>
    <x v="8"/>
    <s v="Normal"/>
    <s v="No"/>
    <s v="Standard"/>
    <x v="0"/>
    <s v="Other"/>
    <n v="1.9444444444444444"/>
  </r>
  <r>
    <n v="347"/>
    <s v="CraftEnthusiast"/>
    <s v="Admiration for the intricate details of a handcrafted masterpiece."/>
    <x v="12"/>
    <d v="2019-08-20T16:00:00"/>
    <x v="1"/>
    <s v=" #Admiration #HandcraftedArt               "/>
    <n v="25"/>
    <n v="50"/>
    <x v="0"/>
    <x v="12"/>
    <x v="4"/>
    <n v="20"/>
    <n v="16"/>
    <x v="5"/>
    <s v="Popular"/>
    <s v="No"/>
    <s v="Wide Reach"/>
    <x v="0"/>
    <s v="North America"/>
    <n v="2"/>
  </r>
  <r>
    <n v="348"/>
    <s v="WinterLover"/>
    <s v="Overjoyed by the warmth of a cozy fireplace on a winter evening."/>
    <x v="81"/>
    <d v="2021-12-08T19:30:00"/>
    <x v="0"/>
    <s v=" #Overjoyed #WinterWarmth                  "/>
    <n v="18"/>
    <n v="35"/>
    <x v="1"/>
    <x v="2"/>
    <x v="11"/>
    <n v="8"/>
    <n v="19"/>
    <x v="8"/>
    <s v="Normal"/>
    <s v="No"/>
    <s v="Standard"/>
    <x v="2"/>
    <s v="North America"/>
    <n v="1.9444444444444444"/>
  </r>
  <r>
    <n v="349"/>
    <s v="SunsetWatcher"/>
    <s v="Inspiration strikes while observing the colors of a vibrant sunset."/>
    <x v="82"/>
    <d v="2020-06-10T20:45:00"/>
    <x v="1"/>
    <s v=" #Inspiration #ColorfulSunset             "/>
    <n v="30"/>
    <n v="60"/>
    <x v="2"/>
    <x v="13"/>
    <x v="5"/>
    <n v="10"/>
    <n v="20"/>
    <x v="7"/>
    <s v="Popular"/>
    <s v="Yes"/>
    <s v="Wide Reach"/>
    <x v="2"/>
    <s v="Europe"/>
    <n v="2"/>
  </r>
  <r>
    <n v="350"/>
    <s v="FitnessJunkie"/>
    <s v="Motivated to achieve fitness goals after an invigorating workout."/>
    <x v="83"/>
    <d v="2022-02-28T07:15:00"/>
    <x v="2"/>
    <s v=" #Motivation #FitnessGoals                 "/>
    <n v="40"/>
    <n v="80"/>
    <x v="3"/>
    <x v="4"/>
    <x v="1"/>
    <n v="28"/>
    <n v="7"/>
    <x v="26"/>
    <s v="Popular"/>
    <s v="Yes"/>
    <s v="Wide Reach"/>
    <x v="1"/>
    <s v="Oceania"/>
    <n v="2"/>
  </r>
  <r>
    <n v="351"/>
    <s v="CoffeeLover"/>
    <s v="Gratitude for the simple joys found in a cup of morning coffee."/>
    <x v="31"/>
    <d v="2017-04-15T08:00:00"/>
    <x v="0"/>
    <s v=" #Gratitude #MorningCoffee                 "/>
    <n v="22"/>
    <n v="45"/>
    <x v="4"/>
    <x v="10"/>
    <x v="7"/>
    <n v="15"/>
    <n v="8"/>
    <x v="9"/>
    <s v="Popular"/>
    <s v="No"/>
    <s v="Wide Reach"/>
    <x v="1"/>
    <s v="Asia"/>
    <n v="2.0454545454545454"/>
  </r>
  <r>
    <n v="352"/>
    <s v="HikingExplorer"/>
    <s v="Feeling empowered after conquering a challenging hiking trail."/>
    <x v="33"/>
    <d v="2018-09-05T14:20:00"/>
    <x v="1"/>
    <s v=" #Empowerment #HikingAdventure             "/>
    <n v="35"/>
    <n v="70"/>
    <x v="0"/>
    <x v="11"/>
    <x v="8"/>
    <n v="5"/>
    <n v="14"/>
    <x v="27"/>
    <s v="Popular"/>
    <s v="Yes"/>
    <s v="Wide Reach"/>
    <x v="0"/>
    <s v="North America"/>
    <n v="2"/>
  </r>
  <r>
    <n v="353"/>
    <s v="KittyObserver"/>
    <s v="Amused by the antics of playful kittens during playtime."/>
    <x v="10"/>
    <d v="2022-10-22T12:45:00"/>
    <x v="2"/>
    <s v=" #Amusement #PlayfulKittens               "/>
    <n v="15"/>
    <n v="30"/>
    <x v="1"/>
    <x v="4"/>
    <x v="10"/>
    <n v="22"/>
    <n v="12"/>
    <x v="0"/>
    <s v="Normal"/>
    <s v="No"/>
    <s v="Standard"/>
    <x v="0"/>
    <s v="North America"/>
    <n v="2"/>
  </r>
  <r>
    <n v="354"/>
    <s v="Stargazer"/>
    <s v="Contemplating life's mysteries under the starry night sky."/>
    <x v="84"/>
    <d v="2016-07-02T23:30:00"/>
    <x v="0"/>
    <s v=" #Contemplation #StarryNight               "/>
    <n v="28"/>
    <n v="55"/>
    <x v="2"/>
    <x v="9"/>
    <x v="9"/>
    <n v="2"/>
    <n v="23"/>
    <x v="11"/>
    <s v="Popular"/>
    <s v="Yes"/>
    <s v="Wide Reach"/>
    <x v="2"/>
    <s v="Europe"/>
    <n v="1.9642857142857142"/>
  </r>
  <r>
    <n v="355"/>
    <s v="FriendshipRenewal"/>
    <s v="Joyful reunion with long-lost friends after years of separation."/>
    <x v="85"/>
    <d v="2020-11-18T17:10:00"/>
    <x v="1"/>
    <s v=" #JoyfulReunion #Friendship               "/>
    <n v="20"/>
    <n v="40"/>
    <x v="4"/>
    <x v="13"/>
    <x v="6"/>
    <n v="18"/>
    <n v="17"/>
    <x v="2"/>
    <s v="Normal"/>
    <s v="No"/>
    <s v="Standard"/>
    <x v="0"/>
    <s v="Asia"/>
    <n v="2"/>
  </r>
  <r>
    <n v="356"/>
    <s v="CelebrationPlanner"/>
    <s v="Excitement builds while preparing for a surprise celebration."/>
    <x v="23"/>
    <d v="2023-03-05T15:00:00"/>
    <x v="2"/>
    <s v=" #Excitement #SurpriseCelebration         "/>
    <n v="30"/>
    <n v="60"/>
    <x v="3"/>
    <x v="0"/>
    <x v="2"/>
    <n v="5"/>
    <n v="15"/>
    <x v="7"/>
    <s v="Popular"/>
    <s v="Yes"/>
    <s v="Wide Reach"/>
    <x v="0"/>
    <s v="Oceania"/>
    <n v="2"/>
  </r>
  <r>
    <n v="357"/>
    <s v="DIYEnthusiast"/>
    <s v="Satisfaction derived from successfully completing a DIY project."/>
    <x v="86"/>
    <d v="2015-12-01T11:30:00"/>
    <x v="0"/>
    <s v=" #Satisfaction #DIYProject                 "/>
    <n v="25"/>
    <n v="50"/>
    <x v="0"/>
    <x v="8"/>
    <x v="11"/>
    <n v="1"/>
    <n v="11"/>
    <x v="5"/>
    <s v="Popular"/>
    <s v="No"/>
    <s v="Wide Reach"/>
    <x v="1"/>
    <s v="North America"/>
    <n v="2"/>
  </r>
  <r>
    <n v="358"/>
    <s v="CommunityHelper"/>
    <s v="Feeling blessed for the supportive community in times of need."/>
    <x v="87"/>
    <d v="2021-09-10T09:45:00"/>
    <x v="1"/>
    <s v=" #Blessed #SupportiveCommunity            "/>
    <n v="18"/>
    <n v="35"/>
    <x v="2"/>
    <x v="2"/>
    <x v="8"/>
    <n v="10"/>
    <n v="9"/>
    <x v="8"/>
    <s v="Normal"/>
    <s v="No"/>
    <s v="Standard"/>
    <x v="1"/>
    <s v="Europe"/>
    <n v="1.9444444444444444"/>
  </r>
  <r>
    <n v="359"/>
    <s v="GardenEnthusiast"/>
    <s v="Captivated by the serenity of a tranquil garden in full bloom."/>
    <x v="30"/>
    <d v="2018-05-12T14:20:00"/>
    <x v="2"/>
    <s v=" #Serenity #TranquilGarden                "/>
    <n v="22"/>
    <n v="45"/>
    <x v="1"/>
    <x v="11"/>
    <x v="3"/>
    <n v="12"/>
    <n v="14"/>
    <x v="9"/>
    <s v="Popular"/>
    <s v="No"/>
    <s v="Wide Reach"/>
    <x v="0"/>
    <s v="North America"/>
    <n v="2.0454545454545454"/>
  </r>
  <r>
    <n v="360"/>
    <s v="Wanderlust"/>
    <s v="Anticipation for an upcoming adventure in an exotic destination."/>
    <x v="19"/>
    <d v="2022-07-25T10:00:00"/>
    <x v="0"/>
    <s v=" #Anticipation #AdventureAwaits           "/>
    <n v="40"/>
    <n v="80"/>
    <x v="4"/>
    <x v="4"/>
    <x v="9"/>
    <n v="25"/>
    <n v="10"/>
    <x v="26"/>
    <s v="Popular"/>
    <s v="Yes"/>
    <s v="Wide Reach"/>
    <x v="1"/>
    <s v="Asia"/>
    <n v="2"/>
  </r>
  <r>
    <n v="361"/>
    <s v="GrowthSeeker"/>
    <s v="Reflecting on personal growth achieved through life experiences."/>
    <x v="88"/>
    <d v="2019-03-08T18:30:00"/>
    <x v="1"/>
    <s v=" #Reflection #PersonalGrowth              "/>
    <n v="35"/>
    <n v="70"/>
    <x v="0"/>
    <x v="12"/>
    <x v="2"/>
    <n v="8"/>
    <n v="18"/>
    <x v="27"/>
    <s v="Popular"/>
    <s v="Yes"/>
    <s v="Wide Reach"/>
    <x v="2"/>
    <s v="North America"/>
    <n v="2"/>
  </r>
  <r>
    <n v="362"/>
    <s v="ChildhoodMemories"/>
    <s v="Nostalgic memories flood in while revisiting childhood favorites."/>
    <x v="56"/>
    <d v="2017-01-28T21:15:00"/>
    <x v="2"/>
    <s v=" #Nostalgia #ChildhoodFavorites           "/>
    <n v="20"/>
    <n v="40"/>
    <x v="3"/>
    <x v="10"/>
    <x v="0"/>
    <n v="28"/>
    <n v="21"/>
    <x v="2"/>
    <s v="Normal"/>
    <s v="No"/>
    <s v="Standard"/>
    <x v="2"/>
    <s v="Oceania"/>
    <n v="2"/>
  </r>
  <r>
    <n v="363"/>
    <s v="CultureExplorer"/>
    <s v="Appreciation for the vibrant culture experienced during travel."/>
    <x v="89"/>
    <d v="2016-11-14T13:45:00"/>
    <x v="0"/>
    <s v=" #Appreciation #CulturalExperience        "/>
    <n v="28"/>
    <n v="55"/>
    <x v="2"/>
    <x v="9"/>
    <x v="6"/>
    <n v="14"/>
    <n v="13"/>
    <x v="11"/>
    <s v="Popular"/>
    <s v="Yes"/>
    <s v="Wide Reach"/>
    <x v="0"/>
    <s v="Europe"/>
    <n v="1.9642857142857142"/>
  </r>
  <r>
    <n v="364"/>
    <s v="PublicSpeaker"/>
    <s v="Confidence soars after overcoming public speaking anxiety."/>
    <x v="90"/>
    <d v="2020-04-02T17:30:00"/>
    <x v="1"/>
    <s v=" #Confidence #OvercomingAnxiety          "/>
    <n v="15"/>
    <n v="30"/>
    <x v="0"/>
    <x v="13"/>
    <x v="7"/>
    <n v="2"/>
    <n v="17"/>
    <x v="0"/>
    <s v="Normal"/>
    <s v="No"/>
    <s v="Standard"/>
    <x v="0"/>
    <s v="North America"/>
    <n v="2"/>
  </r>
  <r>
    <n v="365"/>
    <s v="FamilyCelebration"/>
    <s v="Contentment in the midst of a family gathering filled with laughter."/>
    <x v="29"/>
    <d v="2023-01-15T19:00:00"/>
    <x v="2"/>
    <s v=" #Contentment #FamilyLaughter             "/>
    <n v="25"/>
    <n v="50"/>
    <x v="1"/>
    <x v="0"/>
    <x v="0"/>
    <n v="15"/>
    <n v="19"/>
    <x v="5"/>
    <s v="Popular"/>
    <s v="No"/>
    <s v="Wide Reach"/>
    <x v="2"/>
    <s v="North America"/>
    <n v="2"/>
  </r>
  <r>
    <n v="366"/>
    <s v="LifelongLearner"/>
    <s v="Enthusiasm for learning new skills and expanding knowledge."/>
    <x v="37"/>
    <d v="2018-08-07T12:15:00"/>
    <x v="0"/>
    <s v=" #Enthusiasm #SkillBuilding               "/>
    <n v="30"/>
    <n v="60"/>
    <x v="4"/>
    <x v="11"/>
    <x v="4"/>
    <n v="7"/>
    <n v="12"/>
    <x v="7"/>
    <s v="Popular"/>
    <s v="Yes"/>
    <s v="Wide Reach"/>
    <x v="0"/>
    <s v="Asia"/>
    <n v="2"/>
  </r>
  <r>
    <n v="367"/>
    <s v="CityExplorer"/>
    <s v="Surprise and delight at discovering a hidden gem in the city."/>
    <x v="16"/>
    <d v="2019-10-18T16:45:00"/>
    <x v="1"/>
    <s v=" #Surprise #HiddenGem                      "/>
    <n v="18"/>
    <n v="35"/>
    <x v="2"/>
    <x v="12"/>
    <x v="10"/>
    <n v="18"/>
    <n v="16"/>
    <x v="8"/>
    <s v="Normal"/>
    <s v="No"/>
    <s v="Standard"/>
    <x v="0"/>
    <s v="Europe"/>
    <n v="1.9444444444444444"/>
  </r>
  <r>
    <n v="368"/>
    <s v="FitnessAchiever"/>
    <s v="A sense of accomplishment after completing a challenging workout."/>
    <x v="91"/>
    <d v="2022-06-30T07:00:00"/>
    <x v="2"/>
    <s v=" #Accomplishment #FitnessSuccess         "/>
    <n v="22"/>
    <n v="45"/>
    <x v="3"/>
    <x v="4"/>
    <x v="5"/>
    <n v="30"/>
    <n v="7"/>
    <x v="9"/>
    <s v="Popular"/>
    <s v="No"/>
    <s v="Wide Reach"/>
    <x v="1"/>
    <s v="Oceania"/>
    <n v="2.0454545454545454"/>
  </r>
  <r>
    <n v="369"/>
    <s v="RainbowChaser"/>
    <s v="Wonderment at the beauty of a double rainbow after the rain."/>
    <x v="92"/>
    <d v="2017-06-12T18:20:00"/>
    <x v="0"/>
    <s v=" #Wonderment #DoubleRainbow               "/>
    <n v="35"/>
    <n v="70"/>
    <x v="0"/>
    <x v="10"/>
    <x v="5"/>
    <n v="12"/>
    <n v="18"/>
    <x v="27"/>
    <s v="Popular"/>
    <s v="Yes"/>
    <s v="Wide Reach"/>
    <x v="2"/>
    <s v="North America"/>
    <n v="2"/>
  </r>
  <r>
    <n v="370"/>
    <s v="FutureOptimist"/>
    <s v="Optimism for a bright future amidst challenging times."/>
    <x v="93"/>
    <d v="2021-07-05T09:30:00"/>
    <x v="1"/>
    <s v=" #Optimism #BrightFuture                  "/>
    <n v="20"/>
    <n v="40"/>
    <x v="1"/>
    <x v="2"/>
    <x v="9"/>
    <n v="5"/>
    <n v="9"/>
    <x v="2"/>
    <s v="Normal"/>
    <s v="No"/>
    <s v="Standard"/>
    <x v="1"/>
    <s v="North America"/>
    <n v="2"/>
  </r>
  <r>
    <n v="371"/>
    <s v="CareerAchiever"/>
    <s v="Pride in achieving a personal milestone in career progression."/>
    <x v="25"/>
    <d v="2016-04-15T14:50:00"/>
    <x v="2"/>
    <s v=" #Pride #CareerMilestone                  "/>
    <n v="28"/>
    <n v="55"/>
    <x v="2"/>
    <x v="9"/>
    <x v="7"/>
    <n v="15"/>
    <n v="14"/>
    <x v="11"/>
    <s v="Popular"/>
    <s v="Yes"/>
    <s v="Wide Reach"/>
    <x v="0"/>
    <s v="Europe"/>
    <n v="1.9642857142857142"/>
  </r>
  <r>
    <n v="372"/>
    <s v="SunnyDayEnthusiast"/>
    <s v="Happiness blooms like flowers in a garden on a sunny day."/>
    <x v="7"/>
    <d v="2020-02-10T11:15:00"/>
    <x v="0"/>
    <s v=" #Happiness #SunnyDay                      "/>
    <n v="15"/>
    <n v="30"/>
    <x v="4"/>
    <x v="13"/>
    <x v="1"/>
    <n v="10"/>
    <n v="11"/>
    <x v="0"/>
    <s v="Normal"/>
    <s v="No"/>
    <s v="Standard"/>
    <x v="1"/>
    <s v="Asia"/>
    <n v="2"/>
  </r>
  <r>
    <n v="373"/>
    <s v="Bookworm"/>
    <s v="Elation over discovering a rare book in a quaint bookstore."/>
    <x v="27"/>
    <d v="2018-09-22T16:30:00"/>
    <x v="1"/>
    <s v=" #Elation #RareBookDiscovery              "/>
    <n v="40"/>
    <n v="80"/>
    <x v="0"/>
    <x v="11"/>
    <x v="8"/>
    <n v="22"/>
    <n v="16"/>
    <x v="26"/>
    <s v="Popular"/>
    <s v="Yes"/>
    <s v="Wide Reach"/>
    <x v="0"/>
    <s v="North America"/>
    <n v="2"/>
  </r>
  <r>
    <n v="374"/>
    <s v="ArchaeologyEnthusiast"/>
    <s v="Curiosity piqued by the mysteries of an ancient archaeological site."/>
    <x v="52"/>
    <d v="2015-11-08T10:00:00"/>
    <x v="2"/>
    <s v=" #Curiosity #AncientMysteries            "/>
    <n v="18"/>
    <n v="35"/>
    <x v="3"/>
    <x v="8"/>
    <x v="6"/>
    <n v="8"/>
    <n v="10"/>
    <x v="8"/>
    <s v="Normal"/>
    <s v="No"/>
    <s v="Standard"/>
    <x v="1"/>
    <s v="Oceania"/>
    <n v="1.9444444444444444"/>
  </r>
  <r>
    <n v="375"/>
    <s v="NightSkyObserver"/>
    <s v="Mesmerized by the cosmic dance of fireflies on a moonlit night."/>
    <x v="94"/>
    <d v="2022-08-10T22:00:00"/>
    <x v="1"/>
    <s v=" #Enchantment #CosmicFireflies             "/>
    <n v="25"/>
    <n v="50"/>
    <x v="6"/>
    <x v="4"/>
    <x v="4"/>
    <n v="10"/>
    <n v="22"/>
    <x v="5"/>
    <s v="Popular"/>
    <s v="No"/>
    <s v="Wide Reach"/>
    <x v="2"/>
    <s v="Other"/>
    <n v="2"/>
  </r>
  <r>
    <n v="376"/>
    <s v="ArtConnoisseur"/>
    <s v="Intrigued by the symphony of colors in an abstract art exhibition."/>
    <x v="95"/>
    <d v="2019-04-05T17:30:00"/>
    <x v="0"/>
    <s v=" #Intrigue #AbstractArt                   "/>
    <n v="18"/>
    <n v="35"/>
    <x v="5"/>
    <x v="12"/>
    <x v="7"/>
    <n v="5"/>
    <n v="17"/>
    <x v="8"/>
    <s v="Normal"/>
    <s v="No"/>
    <s v="Standard"/>
    <x v="0"/>
    <s v="Other"/>
    <n v="1.9444444444444444"/>
  </r>
  <r>
    <n v="377"/>
    <s v="PlayfulParent"/>
    <s v="Giggles and joy echo in the air during a children's playdate."/>
    <x v="96"/>
    <d v="2020-12-15T15:45:00"/>
    <x v="2"/>
    <s v=" #PlayfulJoy #ChildrensPlaydate           "/>
    <n v="22"/>
    <n v="45"/>
    <x v="7"/>
    <x v="13"/>
    <x v="11"/>
    <n v="15"/>
    <n v="15"/>
    <x v="9"/>
    <s v="Popular"/>
    <s v="No"/>
    <s v="Wide Reach"/>
    <x v="0"/>
    <s v="Other"/>
    <n v="2.0454545454545454"/>
  </r>
  <r>
    <n v="378"/>
    <s v="ZenSeeker"/>
    <s v="Enveloped in serenity while practicing mindfulness by the lake."/>
    <x v="97"/>
    <d v="2017-10-20T08:15:00"/>
    <x v="1"/>
    <s v=" #Mindfulness #LakeTranquility            "/>
    <n v="35"/>
    <n v="70"/>
    <x v="1"/>
    <x v="10"/>
    <x v="10"/>
    <n v="20"/>
    <n v="8"/>
    <x v="27"/>
    <s v="Popular"/>
    <s v="Yes"/>
    <s v="Wide Reach"/>
    <x v="1"/>
    <s v="North America"/>
    <n v="2"/>
  </r>
  <r>
    <n v="379"/>
    <s v="SkyDreamer"/>
    <s v="Chasing dreams like a kite soaring high in the vast open sky."/>
    <x v="98"/>
    <d v="2021-02-28T13:00:00"/>
    <x v="0"/>
    <s v=" #DreamChaser #SkyHighDreams              "/>
    <n v="30"/>
    <n v="60"/>
    <x v="3"/>
    <x v="2"/>
    <x v="1"/>
    <n v="28"/>
    <n v="13"/>
    <x v="7"/>
    <s v="Popular"/>
    <s v="Yes"/>
    <s v="Wide Reach"/>
    <x v="0"/>
    <s v="Oceania"/>
    <n v="2"/>
  </r>
  <r>
    <n v="380"/>
    <s v="DanceEnthusiast"/>
    <s v="Spellbound by the elegance of a ballroom dance under crystal chandeliers."/>
    <x v="99"/>
    <d v="2018-06-12T20:30:00"/>
    <x v="2"/>
    <s v=" #Elegance #BallroomDance                "/>
    <n v="28"/>
    <n v="55"/>
    <x v="2"/>
    <x v="11"/>
    <x v="5"/>
    <n v="12"/>
    <n v="20"/>
    <x v="11"/>
    <s v="Popular"/>
    <s v="Yes"/>
    <s v="Wide Reach"/>
    <x v="2"/>
    <s v="Europe"/>
    <n v="1.9642857142857142"/>
  </r>
  <r>
    <n v="381"/>
    <s v="FairyTaleExplorer"/>
    <s v="Whimsical delight in a world of fairy tales and magical creatures."/>
    <x v="100"/>
    <d v="2016-03-08T14:20:00"/>
    <x v="1"/>
    <s v=" #Whimsy #MagicalWorld                    "/>
    <n v="20"/>
    <n v="40"/>
    <x v="0"/>
    <x v="9"/>
    <x v="2"/>
    <n v="8"/>
    <n v="14"/>
    <x v="2"/>
    <s v="Normal"/>
    <s v="No"/>
    <s v="Standard"/>
    <x v="0"/>
    <s v="North America"/>
    <n v="2"/>
  </r>
  <r>
    <n v="382"/>
    <s v="RuinsExplorer"/>
    <s v="Pensive contemplation amid the ancient ruins of a forgotten civilization."/>
    <x v="101"/>
    <d v="2023-04-18T17:10:00"/>
    <x v="0"/>
    <s v=" #Pensive #AncientCivilization           "/>
    <n v="18"/>
    <n v="35"/>
    <x v="8"/>
    <x v="0"/>
    <x v="7"/>
    <n v="18"/>
    <n v="17"/>
    <x v="8"/>
    <s v="Normal"/>
    <s v="No"/>
    <s v="Standard"/>
    <x v="0"/>
    <s v="Other"/>
    <n v="1.9444444444444444"/>
  </r>
  <r>
    <n v="383"/>
    <s v="RollercoasterFan"/>
    <s v="Embracing the thrill of speed on a rollercoaster's exhilarating twists."/>
    <x v="79"/>
    <d v="2020-07-25T12:45:00"/>
    <x v="2"/>
    <s v=" #Thrill #RollercoasterAdventure        "/>
    <n v="22"/>
    <n v="45"/>
    <x v="9"/>
    <x v="13"/>
    <x v="9"/>
    <n v="25"/>
    <n v="12"/>
    <x v="9"/>
    <s v="Popular"/>
    <s v="No"/>
    <s v="Wide Reach"/>
    <x v="0"/>
    <s v="Other"/>
    <n v="2.0454545454545454"/>
  </r>
  <r>
    <n v="384"/>
    <s v="MusicHarmonist"/>
    <s v="Harmony resonates as musicians play a melody of unity and togetherness."/>
    <x v="102"/>
    <d v="2019-11-30T19:30:00"/>
    <x v="1"/>
    <s v=" #Harmony #MusicalUnity                   "/>
    <n v="35"/>
    <n v="70"/>
    <x v="10"/>
    <x v="12"/>
    <x v="6"/>
    <n v="30"/>
    <n v="19"/>
    <x v="27"/>
    <s v="Popular"/>
    <s v="Yes"/>
    <s v="Wide Reach"/>
    <x v="2"/>
    <s v="Other"/>
    <n v="2"/>
  </r>
  <r>
    <n v="385"/>
    <s v="StudioArtist"/>
    <s v="A burst of creativity in the quiet solitude of an artist's studio."/>
    <x v="103"/>
    <d v="2015-09-01T16:00:00"/>
    <x v="0"/>
    <s v=" #Creativity #ArtistsHaven               "/>
    <n v="15"/>
    <n v="30"/>
    <x v="11"/>
    <x v="8"/>
    <x v="8"/>
    <n v="1"/>
    <n v="16"/>
    <x v="0"/>
    <s v="Normal"/>
    <s v="No"/>
    <s v="Standard"/>
    <x v="0"/>
    <s v="Other"/>
    <n v="2"/>
  </r>
  <r>
    <n v="386"/>
    <s v="SpringEnthusiast"/>
    <s v="Radiant joy akin to blooming flowers on a sun-kissed spring morning."/>
    <x v="104"/>
    <d v="2022-05-05T10:15:00"/>
    <x v="2"/>
    <s v=" #Radiance #SpringBlooms                 "/>
    <n v="25"/>
    <n v="50"/>
    <x v="12"/>
    <x v="4"/>
    <x v="3"/>
    <n v="5"/>
    <n v="10"/>
    <x v="5"/>
    <s v="Popular"/>
    <s v="No"/>
    <s v="Wide Reach"/>
    <x v="1"/>
    <s v="Other"/>
    <n v="2"/>
  </r>
  <r>
    <n v="387"/>
    <s v="CosmosExplorer"/>
    <s v="A sense of wonder at the vastness of the cosmos on a stargazing night."/>
    <x v="105"/>
    <d v="2018-07-08T23:00:00"/>
    <x v="1"/>
    <s v=" #Wonder #StargazingAdventure            "/>
    <n v="40"/>
    <n v="80"/>
    <x v="13"/>
    <x v="11"/>
    <x v="9"/>
    <n v="8"/>
    <n v="23"/>
    <x v="26"/>
    <s v="Popular"/>
    <s v="Yes"/>
    <s v="Wide Reach"/>
    <x v="2"/>
    <s v="Other"/>
    <n v="2"/>
  </r>
  <r>
    <n v="388"/>
    <s v="SeaBreezeLover"/>
    <s v="Rejuvenated by the salty breeze and the sound of waves at the seaside."/>
    <x v="106"/>
    <d v="2021-09-20T14:30:00"/>
    <x v="0"/>
    <s v=" #Rejuvenation #SeasideEscape            "/>
    <n v="18"/>
    <n v="35"/>
    <x v="14"/>
    <x v="2"/>
    <x v="8"/>
    <n v="20"/>
    <n v="14"/>
    <x v="8"/>
    <s v="Normal"/>
    <s v="No"/>
    <s v="Standard"/>
    <x v="0"/>
    <s v="Other"/>
    <n v="1.9444444444444444"/>
  </r>
  <r>
    <n v="389"/>
    <s v="ForestDreamer"/>
    <s v="Whispers of inspiration from the rustling leaves in a serene forest."/>
    <x v="82"/>
    <d v="2016-11-15T11:45:00"/>
    <x v="2"/>
    <s v=" #Inspiration #ForestWhispers            "/>
    <n v="28"/>
    <n v="55"/>
    <x v="15"/>
    <x v="9"/>
    <x v="6"/>
    <n v="15"/>
    <n v="11"/>
    <x v="11"/>
    <s v="Popular"/>
    <s v="Yes"/>
    <s v="Wide Reach"/>
    <x v="1"/>
    <s v="Other"/>
    <n v="1.9642857142857142"/>
  </r>
  <r>
    <n v="390"/>
    <s v="WinterWarmth"/>
    <s v="Savoring the warmth of a cup of cocoa on a chilly winter evening."/>
    <x v="107"/>
    <d v="2020-01-12T18:00:00"/>
    <x v="1"/>
    <s v=" #Coziness #WarmWinterEvening           "/>
    <n v="30"/>
    <n v="60"/>
    <x v="16"/>
    <x v="13"/>
    <x v="0"/>
    <n v="12"/>
    <n v="18"/>
    <x v="7"/>
    <s v="Popular"/>
    <s v="Yes"/>
    <s v="Wide Reach"/>
    <x v="2"/>
    <s v="Other"/>
    <n v="2"/>
  </r>
  <r>
    <n v="391"/>
    <s v="FamilyGatherer"/>
    <s v="Heartfelt gratitude for the laughter shared during a family reunion."/>
    <x v="31"/>
    <d v="2017-12-28T19:15:00"/>
    <x v="2"/>
    <s v=" #Gratitude #FamilyLaughter              "/>
    <n v="22"/>
    <n v="45"/>
    <x v="17"/>
    <x v="10"/>
    <x v="11"/>
    <n v="28"/>
    <n v="19"/>
    <x v="9"/>
    <s v="Popular"/>
    <s v="No"/>
    <s v="Wide Reach"/>
    <x v="2"/>
    <s v="Other"/>
    <n v="2.0454545454545454"/>
  </r>
  <r>
    <n v="392"/>
    <s v="CulinaryExplorer"/>
    <s v="Embarking on a culinary adventure, savoring exotic flavors around the world."/>
    <x v="108"/>
    <d v="2019-03-02T20:20:00"/>
    <x v="0"/>
    <s v=" #Adventure #CulinaryJourney             "/>
    <n v="35"/>
    <n v="70"/>
    <x v="18"/>
    <x v="12"/>
    <x v="2"/>
    <n v="2"/>
    <n v="20"/>
    <x v="27"/>
    <s v="Popular"/>
    <s v="Yes"/>
    <s v="Wide Reach"/>
    <x v="2"/>
    <s v="Other"/>
    <n v="2"/>
  </r>
  <r>
    <n v="393"/>
    <s v="PuzzleSolver"/>
    <s v="Euphoria floods in as the final puzzle piece clicks into place."/>
    <x v="28"/>
    <d v="2022-06-08T15:30:00"/>
    <x v="1"/>
    <s v=" #Euphoria #PuzzleCompletion            "/>
    <n v="20"/>
    <n v="40"/>
    <x v="19"/>
    <x v="4"/>
    <x v="5"/>
    <n v="8"/>
    <n v="15"/>
    <x v="2"/>
    <s v="Normal"/>
    <s v="No"/>
    <s v="Standard"/>
    <x v="0"/>
    <s v="Other"/>
    <n v="2"/>
  </r>
  <r>
    <n v="394"/>
    <s v="CathedralVisitor"/>
    <s v="Awe-inspired by the grandeur of an ancient cathedral's intricate architecture."/>
    <x v="14"/>
    <d v="2018-08-18T14:45:00"/>
    <x v="2"/>
    <s v=" #Awe #ArchitecturalGrandeur            "/>
    <n v="18"/>
    <n v="35"/>
    <x v="20"/>
    <x v="11"/>
    <x v="4"/>
    <n v="18"/>
    <n v="14"/>
    <x v="8"/>
    <s v="Normal"/>
    <s v="No"/>
    <s v="Standard"/>
    <x v="0"/>
    <s v="Other"/>
    <n v="1.9444444444444444"/>
  </r>
  <r>
    <n v="395"/>
    <s v="NightSkyObserver"/>
    <s v="Captivated by the ethereal beauty of a field filled with fireflies."/>
    <x v="94"/>
    <d v="2022-08-10T22:00:00"/>
    <x v="1"/>
    <s v=" #Enchantment #FireflyField              "/>
    <n v="25"/>
    <n v="50"/>
    <x v="6"/>
    <x v="4"/>
    <x v="4"/>
    <n v="10"/>
    <n v="22"/>
    <x v="5"/>
    <s v="Popular"/>
    <s v="No"/>
    <s v="Wide Reach"/>
    <x v="2"/>
    <s v="Other"/>
    <n v="2"/>
  </r>
  <r>
    <n v="396"/>
    <s v="MusicLover"/>
    <s v="Immersed in the enchanting melodies of a street musician's violin."/>
    <x v="109"/>
    <d v="2019-04-05T17:30:00"/>
    <x v="0"/>
    <s v=" #Melodic #StreetMusic                   "/>
    <n v="18"/>
    <n v="35"/>
    <x v="5"/>
    <x v="12"/>
    <x v="7"/>
    <n v="5"/>
    <n v="17"/>
    <x v="8"/>
    <s v="Normal"/>
    <s v="No"/>
    <s v="Standard"/>
    <x v="0"/>
    <s v="Other"/>
    <n v="1.9444444444444444"/>
  </r>
  <r>
    <n v="397"/>
    <s v="CarnivalGoer"/>
    <s v="Joyful laughter resonates through a lively summer carnival."/>
    <x v="110"/>
    <d v="2020-12-15T15:45:00"/>
    <x v="2"/>
    <s v=" #FestiveJoy #SummerCarnival             "/>
    <n v="22"/>
    <n v="45"/>
    <x v="7"/>
    <x v="13"/>
    <x v="11"/>
    <n v="15"/>
    <n v="15"/>
    <x v="9"/>
    <s v="Popular"/>
    <s v="No"/>
    <s v="Wide Reach"/>
    <x v="0"/>
    <s v="Other"/>
    <n v="2.0454545454545454"/>
  </r>
  <r>
    <n v="398"/>
    <s v="MindfulExplorer"/>
    <s v="Exploring the universe within during a mindful meditation session."/>
    <x v="111"/>
    <d v="2017-10-20T08:15:00"/>
    <x v="1"/>
    <s v=" #InnerJourney #MeditationBliss          "/>
    <n v="35"/>
    <n v="70"/>
    <x v="1"/>
    <x v="10"/>
    <x v="10"/>
    <n v="20"/>
    <n v="8"/>
    <x v="27"/>
    <s v="Popular"/>
    <s v="Yes"/>
    <s v="Wide Reach"/>
    <x v="1"/>
    <s v="North America"/>
    <n v="2"/>
  </r>
  <r>
    <n v="399"/>
    <s v="CoastalExplorer"/>
    <s v="Soaring like a free spirit on the winds of a coastal cliff."/>
    <x v="112"/>
    <d v="2021-02-28T13:00:00"/>
    <x v="0"/>
    <s v=" #Freedom #CoastalAdventure              "/>
    <n v="30"/>
    <n v="60"/>
    <x v="3"/>
    <x v="2"/>
    <x v="1"/>
    <n v="28"/>
    <n v="13"/>
    <x v="7"/>
    <s v="Popular"/>
    <s v="Yes"/>
    <s v="Wide Reach"/>
    <x v="0"/>
    <s v="Oceania"/>
    <n v="2"/>
  </r>
  <r>
    <n v="400"/>
    <s v="MasqueradeAttendee"/>
    <s v="Dazzled by the elegance of a masquerade ball's dazzling costumes."/>
    <x v="113"/>
    <d v="2018-06-12T20:30:00"/>
    <x v="2"/>
    <s v=" #Dazzle #MasqueradeElegance            "/>
    <n v="28"/>
    <n v="55"/>
    <x v="2"/>
    <x v="11"/>
    <x v="5"/>
    <n v="12"/>
    <n v="20"/>
    <x v="11"/>
    <s v="Popular"/>
    <s v="Yes"/>
    <s v="Wide Reach"/>
    <x v="2"/>
    <s v="Europe"/>
    <n v="1.9642857142857142"/>
  </r>
  <r>
    <n v="401"/>
    <s v="FairyTaleAdventurer"/>
    <s v="Whimsical delight in a world of whimsical fairy tales."/>
    <x v="100"/>
    <d v="2016-03-08T14:20:00"/>
    <x v="1"/>
    <s v=" #Whimsy #FairyTaleMagic                 "/>
    <n v="20"/>
    <n v="40"/>
    <x v="0"/>
    <x v="9"/>
    <x v="2"/>
    <n v="8"/>
    <n v="14"/>
    <x v="2"/>
    <s v="Normal"/>
    <s v="No"/>
    <s v="Standard"/>
    <x v="0"/>
    <s v="North America"/>
    <n v="2"/>
  </r>
  <r>
    <n v="402"/>
    <s v="RuinsExplorer"/>
    <s v="Reflective contemplation amid the ruins of a forgotten era."/>
    <x v="88"/>
    <d v="2023-04-18T17:10:00"/>
    <x v="0"/>
    <s v=" #Reflection #ForgottenEra               "/>
    <n v="18"/>
    <n v="35"/>
    <x v="8"/>
    <x v="0"/>
    <x v="7"/>
    <n v="18"/>
    <n v="17"/>
    <x v="8"/>
    <s v="Normal"/>
    <s v="No"/>
    <s v="Standard"/>
    <x v="0"/>
    <s v="Other"/>
    <n v="1.9444444444444444"/>
  </r>
  <r>
    <n v="403"/>
    <s v="ThrillSeeker"/>
    <s v="Riding the adrenaline rush on a rollercoaster's wild twists."/>
    <x v="114"/>
    <d v="2020-07-25T12:45:00"/>
    <x v="2"/>
    <s v=" #Adrenaline #RollercoasterThrills      "/>
    <n v="22"/>
    <n v="45"/>
    <x v="9"/>
    <x v="13"/>
    <x v="9"/>
    <n v="25"/>
    <n v="12"/>
    <x v="9"/>
    <s v="Popular"/>
    <s v="No"/>
    <s v="Wide Reach"/>
    <x v="0"/>
    <s v="Other"/>
    <n v="2.0454545454545454"/>
  </r>
  <r>
    <n v="404"/>
    <s v="MusicHarmonist"/>
    <s v="Harmony resonates as musicians play a symphony of unity."/>
    <x v="102"/>
    <d v="2019-11-30T19:30:00"/>
    <x v="1"/>
    <s v=" #Harmony #MusicalUnity                   "/>
    <n v="35"/>
    <n v="70"/>
    <x v="10"/>
    <x v="12"/>
    <x v="6"/>
    <n v="30"/>
    <n v="19"/>
    <x v="27"/>
    <s v="Popular"/>
    <s v="Yes"/>
    <s v="Wide Reach"/>
    <x v="2"/>
    <s v="Other"/>
    <n v="2"/>
  </r>
  <r>
    <n v="405"/>
    <s v="StudioArtist"/>
    <s v="A burst of artistic creativity in the quietude of an artist's studio."/>
    <x v="115"/>
    <d v="2015-09-01T16:00:00"/>
    <x v="0"/>
    <s v=" #ArtisticBurst #StudioCreativity       "/>
    <n v="15"/>
    <n v="30"/>
    <x v="11"/>
    <x v="8"/>
    <x v="8"/>
    <n v="1"/>
    <n v="16"/>
    <x v="0"/>
    <s v="Normal"/>
    <s v="No"/>
    <s v="Standard"/>
    <x v="0"/>
    <s v="Other"/>
    <n v="2"/>
  </r>
  <r>
    <n v="406"/>
    <s v="SpringEnthusiast"/>
    <s v="Radiant joy akin to blossoming flowers on a sunlit spring morning."/>
    <x v="104"/>
    <d v="2022-05-05T10:15:00"/>
    <x v="2"/>
    <s v=" #Radiance #SpringBlooms                 "/>
    <n v="25"/>
    <n v="50"/>
    <x v="12"/>
    <x v="4"/>
    <x v="3"/>
    <n v="5"/>
    <n v="10"/>
    <x v="5"/>
    <s v="Popular"/>
    <s v="No"/>
    <s v="Wide Reach"/>
    <x v="1"/>
    <s v="Other"/>
    <n v="2"/>
  </r>
  <r>
    <n v="407"/>
    <s v="CosmosExplorer"/>
    <s v="Awe-inspired by the vastness of the cosmos on a stargazing night."/>
    <x v="105"/>
    <d v="2018-07-08T23:00:00"/>
    <x v="1"/>
    <s v=" #Wonder #StargazingAdventure            "/>
    <n v="40"/>
    <n v="80"/>
    <x v="13"/>
    <x v="11"/>
    <x v="9"/>
    <n v="8"/>
    <n v="23"/>
    <x v="26"/>
    <s v="Popular"/>
    <s v="Yes"/>
    <s v="Wide Reach"/>
    <x v="2"/>
    <s v="Other"/>
    <n v="2"/>
  </r>
  <r>
    <n v="408"/>
    <s v="SeaBreezeLover"/>
    <s v="Rejuvenated by the salty breeze and the sound of waves at the seaside."/>
    <x v="106"/>
    <d v="2021-09-20T14:30:00"/>
    <x v="0"/>
    <s v=" #Rejuvenation #SeasideEscape            "/>
    <n v="18"/>
    <n v="35"/>
    <x v="14"/>
    <x v="2"/>
    <x v="8"/>
    <n v="20"/>
    <n v="14"/>
    <x v="8"/>
    <s v="Normal"/>
    <s v="No"/>
    <s v="Standard"/>
    <x v="0"/>
    <s v="Other"/>
    <n v="1.9444444444444444"/>
  </r>
  <r>
    <n v="409"/>
    <s v="ForestDreamer"/>
    <s v="Whispers of inspiration from the rustling leaves in a serene forest."/>
    <x v="82"/>
    <d v="2016-11-15T11:45:00"/>
    <x v="2"/>
    <s v=" #Inspiration #ForestWhispers            "/>
    <n v="28"/>
    <n v="55"/>
    <x v="15"/>
    <x v="9"/>
    <x v="6"/>
    <n v="15"/>
    <n v="11"/>
    <x v="11"/>
    <s v="Popular"/>
    <s v="Yes"/>
    <s v="Wide Reach"/>
    <x v="1"/>
    <s v="Other"/>
    <n v="1.9642857142857142"/>
  </r>
  <r>
    <n v="410"/>
    <s v="WinterWarmth"/>
    <s v="Savoring the warmth of a cup of cocoa on a chilly winter evening."/>
    <x v="107"/>
    <d v="2020-01-12T18:00:00"/>
    <x v="1"/>
    <s v=" #Coziness #WarmWinterEvening           "/>
    <n v="30"/>
    <n v="60"/>
    <x v="16"/>
    <x v="13"/>
    <x v="0"/>
    <n v="12"/>
    <n v="18"/>
    <x v="7"/>
    <s v="Popular"/>
    <s v="Yes"/>
    <s v="Wide Reach"/>
    <x v="2"/>
    <s v="Other"/>
    <n v="2"/>
  </r>
  <r>
    <n v="411"/>
    <s v="FamilyGatherer"/>
    <s v="Heartfelt gratitude for the laughter shared during a family reunion."/>
    <x v="31"/>
    <d v="2017-12-28T19:15:00"/>
    <x v="2"/>
    <s v=" #Gratitude #FamilyLaughter              "/>
    <n v="22"/>
    <n v="45"/>
    <x v="17"/>
    <x v="10"/>
    <x v="11"/>
    <n v="28"/>
    <n v="19"/>
    <x v="9"/>
    <s v="Popular"/>
    <s v="No"/>
    <s v="Wide Reach"/>
    <x v="2"/>
    <s v="Other"/>
    <n v="2.0454545454545454"/>
  </r>
  <r>
    <n v="412"/>
    <s v="CulinaryExplorer"/>
    <s v="Embarking on a culinary odyssey, savoring flavors around the world."/>
    <x v="116"/>
    <d v="2019-03-02T20:20:00"/>
    <x v="0"/>
    <s v=" #CulinaryOdyssey #FlavorsAroundTheWorld "/>
    <n v="35"/>
    <n v="70"/>
    <x v="18"/>
    <x v="12"/>
    <x v="2"/>
    <n v="2"/>
    <n v="20"/>
    <x v="27"/>
    <s v="Popular"/>
    <s v="Yes"/>
    <s v="Wide Reach"/>
    <x v="2"/>
    <s v="Other"/>
    <n v="2"/>
  </r>
  <r>
    <n v="413"/>
    <s v="PuzzleSolver"/>
    <s v="Euphoria floods in as the final puzzle piece fits perfectly."/>
    <x v="28"/>
    <d v="2022-06-08T15:30:00"/>
    <x v="1"/>
    <s v=" #Euphoria #PerfectPuzzle               "/>
    <n v="20"/>
    <n v="40"/>
    <x v="19"/>
    <x v="4"/>
    <x v="5"/>
    <n v="8"/>
    <n v="15"/>
    <x v="2"/>
    <s v="Normal"/>
    <s v="No"/>
    <s v="Standard"/>
    <x v="0"/>
    <s v="Other"/>
    <n v="2"/>
  </r>
  <r>
    <n v="414"/>
    <s v="CathedralVisitor"/>
    <s v="Awe-struck by the grandeur of an ancient cathedral's intricate architecture."/>
    <x v="14"/>
    <d v="2018-08-18T14:45:00"/>
    <x v="2"/>
    <s v=" #Awe #ArchitecturalGrandeur            "/>
    <n v="18"/>
    <n v="35"/>
    <x v="20"/>
    <x v="11"/>
    <x v="4"/>
    <n v="18"/>
    <n v="14"/>
    <x v="8"/>
    <s v="Normal"/>
    <s v="No"/>
    <s v="Standard"/>
    <x v="0"/>
    <s v="Other"/>
    <n v="1.9444444444444444"/>
  </r>
  <r>
    <n v="415"/>
    <s v="ArchaeologyEnthusiast"/>
    <s v="Curiosity awakened by the mysteries of an ancient archaeological site."/>
    <x v="52"/>
    <d v="2015-11-08T10:00:00"/>
    <x v="1"/>
    <s v=" #Curiosity #AncientMysteries          "/>
    <n v="18"/>
    <n v="35"/>
    <x v="3"/>
    <x v="8"/>
    <x v="6"/>
    <n v="8"/>
    <n v="10"/>
    <x v="8"/>
    <s v="Normal"/>
    <s v="No"/>
    <s v="Standard"/>
    <x v="1"/>
    <s v="Oceania"/>
    <n v="1.9444444444444444"/>
  </r>
  <r>
    <n v="416"/>
    <s v="SnowfallEnthusiast"/>
    <s v="Giddy with excitement as the first snowflakes dance from the sky."/>
    <x v="23"/>
    <d v="2020-12-02T17:30:00"/>
    <x v="0"/>
    <s v=" #Excitement #SnowfallMagic             "/>
    <n v="22"/>
    <n v="45"/>
    <x v="1"/>
    <x v="13"/>
    <x v="11"/>
    <n v="2"/>
    <n v="17"/>
    <x v="9"/>
    <s v="Popular"/>
    <s v="No"/>
    <s v="Wide Reach"/>
    <x v="0"/>
    <s v="North America"/>
    <n v="2.0454545454545454"/>
  </r>
  <r>
    <n v="417"/>
    <s v="BreadLover"/>
    <s v="Contentment envelops as the aroma of freshly baked bread fills the air."/>
    <x v="29"/>
    <d v="2017-06-10T12:15:00"/>
    <x v="1"/>
    <s v=" #Contentment #FreshBreadAroma          "/>
    <n v="28"/>
    <n v="55"/>
    <x v="5"/>
    <x v="10"/>
    <x v="5"/>
    <n v="10"/>
    <n v="12"/>
    <x v="11"/>
    <s v="Popular"/>
    <s v="Yes"/>
    <s v="Wide Reach"/>
    <x v="0"/>
    <s v="Other"/>
    <n v="1.9642857142857142"/>
  </r>
  <r>
    <n v="418"/>
    <s v="NatureResilient"/>
    <s v="Inspired by the resilience of a lone tree standing tall in a storm."/>
    <x v="117"/>
    <d v="2021-04-15T14:20:00"/>
    <x v="2"/>
    <s v=" #Resilience #StandingTall              "/>
    <n v="35"/>
    <n v="70"/>
    <x v="0"/>
    <x v="2"/>
    <x v="7"/>
    <n v="15"/>
    <n v="14"/>
    <x v="27"/>
    <s v="Popular"/>
    <s v="Yes"/>
    <s v="Wide Reach"/>
    <x v="0"/>
    <s v="North America"/>
    <n v="2"/>
  </r>
  <r>
    <n v="419"/>
    <s v="Bookworm"/>
    <s v="Lost in the pages of a captivating novel, transported to another world."/>
    <x v="118"/>
    <d v="2019-09-28T19:45:00"/>
    <x v="0"/>
    <s v=" #Immersion #CaptivatingNovel           "/>
    <n v="20"/>
    <n v="40"/>
    <x v="2"/>
    <x v="12"/>
    <x v="8"/>
    <n v="28"/>
    <n v="19"/>
    <x v="2"/>
    <s v="Normal"/>
    <s v="No"/>
    <s v="Standard"/>
    <x v="2"/>
    <s v="Europe"/>
    <n v="2"/>
  </r>
  <r>
    <n v="420"/>
    <s v="FamilyHistorian"/>
    <s v="Drenched in nostalgia while flipping through an old family photo album."/>
    <x v="56"/>
    <d v="2016-12-05T21:00:00"/>
    <x v="1"/>
    <s v=" #Nostalgia #FamilyPhotoAlbum           "/>
    <n v="25"/>
    <n v="50"/>
    <x v="4"/>
    <x v="9"/>
    <x v="11"/>
    <n v="5"/>
    <n v="21"/>
    <x v="5"/>
    <s v="Popular"/>
    <s v="No"/>
    <s v="Wide Reach"/>
    <x v="2"/>
    <s v="Asia"/>
    <n v="2"/>
  </r>
  <r>
    <n v="421"/>
    <s v="NightSkyWatcher"/>
    <s v="Spark of inspiration ignites like a shooting star in the night sky."/>
    <x v="119"/>
    <d v="2018-02-10T23:30:00"/>
    <x v="2"/>
    <s v=" #Spark #InspirationIgnited             "/>
    <n v="30"/>
    <n v="60"/>
    <x v="3"/>
    <x v="11"/>
    <x v="1"/>
    <n v="10"/>
    <n v="23"/>
    <x v="7"/>
    <s v="Popular"/>
    <s v="Yes"/>
    <s v="Wide Reach"/>
    <x v="2"/>
    <s v="Oceania"/>
    <n v="2"/>
  </r>
  <r>
    <n v="422"/>
    <s v="TeaEnthusiast"/>
    <s v="Imbued with gratitude for the simple pleasure of a warm cup of tea."/>
    <x v="31"/>
    <d v="2023-02-15T08:30:00"/>
    <x v="0"/>
    <s v=" #Gratitude #WarmTea                    "/>
    <n v="18"/>
    <n v="35"/>
    <x v="7"/>
    <x v="0"/>
    <x v="1"/>
    <n v="15"/>
    <n v="8"/>
    <x v="8"/>
    <s v="Normal"/>
    <s v="No"/>
    <s v="Standard"/>
    <x v="1"/>
    <s v="Other"/>
    <n v="1.9444444444444444"/>
  </r>
  <r>
    <n v="423"/>
    <s v="MarketExplorer"/>
    <s v="Marveling at the kaleidoscope of colors in a vibrant street market."/>
    <x v="120"/>
    <d v="2015-08-22T15:00:00"/>
    <x v="1"/>
    <s v=" #Marvel #ColorfulStreetMarket          "/>
    <n v="22"/>
    <n v="45"/>
    <x v="6"/>
    <x v="8"/>
    <x v="4"/>
    <n v="22"/>
    <n v="15"/>
    <x v="9"/>
    <s v="Popular"/>
    <s v="No"/>
    <s v="Wide Reach"/>
    <x v="0"/>
    <s v="Other"/>
    <n v="2.0454545454545454"/>
  </r>
  <r>
    <n v="424"/>
    <s v="LakesideRetreater"/>
    <s v="Awash with serenity as the sun sets over a tranquil lakeside retreat."/>
    <x v="30"/>
    <d v="2020-11-20T18:45:00"/>
    <x v="2"/>
    <s v=" #Serenity #TranquilSunset              "/>
    <n v="28"/>
    <n v="55"/>
    <x v="9"/>
    <x v="13"/>
    <x v="6"/>
    <n v="20"/>
    <n v="18"/>
    <x v="11"/>
    <s v="Popular"/>
    <s v="Yes"/>
    <s v="Wide Reach"/>
    <x v="2"/>
    <s v="Other"/>
    <n v="1.9642857142857142"/>
  </r>
  <r>
    <n v="425"/>
    <s v="LostInLove"/>
    <s v="Drowning in sorrow as memories of lost love resurface."/>
    <x v="121"/>
    <d v="2019-08-05T21:00:00"/>
    <x v="1"/>
    <s v=" #Heartbreak #LostLove                    "/>
    <n v="15"/>
    <n v="30"/>
    <x v="0"/>
    <x v="12"/>
    <x v="4"/>
    <n v="5"/>
    <n v="21"/>
    <x v="0"/>
    <s v="Normal"/>
    <s v="No"/>
    <s v="Standard"/>
    <x v="2"/>
    <s v="North America"/>
    <n v="2"/>
  </r>
  <r>
    <n v="426"/>
    <s v="SolitudeSeeker"/>
    <s v="Numbness sets in as the weight of loneliness grows heavier."/>
    <x v="42"/>
    <d v="2021-02-12T16:45:00"/>
    <x v="0"/>
    <s v=" #Loneliness #HeavyHeart                  "/>
    <n v="18"/>
    <n v="35"/>
    <x v="1"/>
    <x v="2"/>
    <x v="1"/>
    <n v="12"/>
    <n v="16"/>
    <x v="8"/>
    <s v="Normal"/>
    <s v="No"/>
    <s v="Standard"/>
    <x v="0"/>
    <s v="North America"/>
    <n v="1.9444444444444444"/>
  </r>
  <r>
    <n v="427"/>
    <s v="FriendshipsEnd"/>
    <s v="Tears fall like raindrops, mourning the end of a cherished friendship."/>
    <x v="41"/>
    <d v="2020-11-28T14:20:00"/>
    <x v="2"/>
    <s v=" #Grief #LostFriendship                  "/>
    <n v="22"/>
    <n v="45"/>
    <x v="2"/>
    <x v="13"/>
    <x v="6"/>
    <n v="28"/>
    <n v="14"/>
    <x v="9"/>
    <s v="Popular"/>
    <s v="No"/>
    <s v="Wide Reach"/>
    <x v="0"/>
    <s v="Europe"/>
    <n v="2.0454545454545454"/>
  </r>
  <r>
    <n v="428"/>
    <s v="LostInDarkness"/>
    <s v="Despair clouds the mind, feeling adrift in an endless sea of darkness."/>
    <x v="40"/>
    <d v="2016-05-15T22:30:00"/>
    <x v="1"/>
    <s v=" #Despair #EndlessDarkness               "/>
    <n v="28"/>
    <n v="55"/>
    <x v="3"/>
    <x v="9"/>
    <x v="3"/>
    <n v="15"/>
    <n v="22"/>
    <x v="11"/>
    <s v="Popular"/>
    <s v="Yes"/>
    <s v="Wide Reach"/>
    <x v="2"/>
    <s v="Oceania"/>
    <n v="1.9642857142857142"/>
  </r>
  <r>
    <n v="429"/>
    <s v="BrokenTrust"/>
    <s v="Shattered by betrayal, trust crumbles like fragile glass."/>
    <x v="122"/>
    <d v="2018-09-10T13:15:00"/>
    <x v="0"/>
    <s v=" #Betrayal #ShatteredTrust               "/>
    <n v="22"/>
    <n v="45"/>
    <x v="9"/>
    <x v="11"/>
    <x v="8"/>
    <n v="10"/>
    <n v="13"/>
    <x v="9"/>
    <s v="Popular"/>
    <s v="No"/>
    <s v="Wide Reach"/>
    <x v="0"/>
    <s v="Other"/>
    <n v="2.0454545454545454"/>
  </r>
  <r>
    <n v="430"/>
    <s v="SilentSufferer"/>
    <s v="Aching heart, the symphony of pain plays in the silence of solitude."/>
    <x v="123"/>
    <d v="2022-03-20T19:30:00"/>
    <x v="2"/>
    <s v=" #Suffering #HeartacheSymphony          "/>
    <n v="25"/>
    <n v="50"/>
    <x v="6"/>
    <x v="4"/>
    <x v="2"/>
    <n v="20"/>
    <n v="19"/>
    <x v="5"/>
    <s v="Popular"/>
    <s v="No"/>
    <s v="Wide Reach"/>
    <x v="2"/>
    <s v="Other"/>
    <n v="2"/>
  </r>
  <r>
    <n v="431"/>
    <s v="StormyFeelings"/>
    <s v="Emotional storm, a whirlwind of sadness engulfs every thought."/>
    <x v="124"/>
    <d v="2017-07-18T17:45:00"/>
    <x v="1"/>
    <s v=" #EmotionalStorm #SadnessWhirlwind      "/>
    <n v="30"/>
    <n v="60"/>
    <x v="4"/>
    <x v="10"/>
    <x v="9"/>
    <n v="18"/>
    <n v="17"/>
    <x v="7"/>
    <s v="Popular"/>
    <s v="Yes"/>
    <s v="Wide Reach"/>
    <x v="0"/>
    <s v="Asia"/>
    <n v="2"/>
  </r>
  <r>
    <n v="432"/>
    <s v="LingeringGhost"/>
    <s v="Haunted by regrets, the ghost of the past lingers relentlessly."/>
    <x v="51"/>
    <d v="2018-12-15T10:00:00"/>
    <x v="0"/>
    <s v=" #Regret #HauntedPast                    "/>
    <n v="18"/>
    <n v="35"/>
    <x v="5"/>
    <x v="11"/>
    <x v="11"/>
    <n v="15"/>
    <n v="10"/>
    <x v="8"/>
    <s v="Normal"/>
    <s v="No"/>
    <s v="Standard"/>
    <x v="1"/>
    <s v="Other"/>
    <n v="1.9444444444444444"/>
  </r>
  <r>
    <n v="433"/>
    <s v="EchoesOfLoss"/>
    <s v="Torn apart by grief, the echoes of loss reverberate through the soul."/>
    <x v="41"/>
    <d v="2015-06-28T21:15:00"/>
    <x v="2"/>
    <s v=" #Grief #TornApart                       "/>
    <n v="28"/>
    <n v="55"/>
    <x v="11"/>
    <x v="8"/>
    <x v="5"/>
    <n v="28"/>
    <n v="21"/>
    <x v="11"/>
    <s v="Popular"/>
    <s v="Yes"/>
    <s v="Wide Reach"/>
    <x v="2"/>
    <s v="Other"/>
    <n v="1.9642857142857142"/>
  </r>
  <r>
    <n v="434"/>
    <s v="WinterOfEmotions"/>
    <s v="Isolation deepens, an emotional winter where warmth is but a distant memory."/>
    <x v="125"/>
    <d v="2020-04-02T14:20:00"/>
    <x v="1"/>
    <s v=" #Isolation #EmotionalWinter            "/>
    <n v="35"/>
    <n v="70"/>
    <x v="7"/>
    <x v="13"/>
    <x v="7"/>
    <n v="2"/>
    <n v="14"/>
    <x v="27"/>
    <s v="Popular"/>
    <s v="Yes"/>
    <s v="Wide Reach"/>
    <x v="0"/>
    <s v="Other"/>
    <n v="2"/>
  </r>
  <r>
    <n v="435"/>
    <s v="ShatteredHopes"/>
    <s v="Soul-crushing disappointment, hopes shattered like fragile glass."/>
    <x v="126"/>
    <d v="2019-10-08T18:30:00"/>
    <x v="0"/>
    <s v=" #Disappointment #CrushedHopes          "/>
    <n v="20"/>
    <n v="40"/>
    <x v="14"/>
    <x v="12"/>
    <x v="10"/>
    <n v="8"/>
    <n v="18"/>
    <x v="2"/>
    <s v="Normal"/>
    <s v="No"/>
    <s v="Standard"/>
    <x v="2"/>
    <s v="Other"/>
    <n v="2"/>
  </r>
  <r>
    <n v="436"/>
    <s v="AbyssOfTime"/>
    <s v="Painful echoes of a love once cherished, now lost in the abyss of time."/>
    <x v="127"/>
    <d v="2016-11-22T09:45:00"/>
    <x v="2"/>
    <s v=" #LostLove #PainfulEchoes               "/>
    <n v="22"/>
    <n v="45"/>
    <x v="12"/>
    <x v="9"/>
    <x v="6"/>
    <n v="22"/>
    <n v="9"/>
    <x v="9"/>
    <s v="Popular"/>
    <s v="No"/>
    <s v="Wide Reach"/>
    <x v="1"/>
    <s v="Other"/>
    <n v="2.0454545454545454"/>
  </r>
  <r>
    <n v="437"/>
    <s v="SolitaryDescent"/>
    <s v="Heartache deepens, a solitary journey through the abyss of despair."/>
    <x v="40"/>
    <d v="2022-08-18T22:00:00"/>
    <x v="1"/>
    <s v=" #Despair #AbyssOfHeartache             "/>
    <n v="40"/>
    <n v="80"/>
    <x v="13"/>
    <x v="4"/>
    <x v="4"/>
    <n v="18"/>
    <n v="22"/>
    <x v="26"/>
    <s v="Popular"/>
    <s v="Yes"/>
    <s v="Wide Reach"/>
    <x v="2"/>
    <s v="Other"/>
    <n v="2"/>
  </r>
  <r>
    <n v="438"/>
    <s v="SerenadeOfSolitude"/>
    <s v="Melancholy lingers, a bittersweet serenade in the quietude of solitude."/>
    <x v="55"/>
    <d v="2017-03-12T23:30:00"/>
    <x v="0"/>
    <s v=" #Melancholy #QuietSerenade             "/>
    <n v="18"/>
    <n v="35"/>
    <x v="2"/>
    <x v="10"/>
    <x v="2"/>
    <n v="12"/>
    <n v="23"/>
    <x v="8"/>
    <s v="Normal"/>
    <s v="No"/>
    <s v="Standard"/>
    <x v="2"/>
    <s v="Europe"/>
    <n v="1.9444444444444444"/>
  </r>
  <r>
    <n v="439"/>
    <s v="PoisonedHeart"/>
    <s v="Bitterness like a poison, seeping into every crevice of the wounded heart."/>
    <x v="69"/>
    <d v="2015-12-15T16:15:00"/>
    <x v="2"/>
    <s v=" #Bitterness #WoundedHeart              "/>
    <n v="25"/>
    <n v="50"/>
    <x v="3"/>
    <x v="8"/>
    <x v="11"/>
    <n v="15"/>
    <n v="16"/>
    <x v="5"/>
    <s v="Popular"/>
    <s v="No"/>
    <s v="Wide Reach"/>
    <x v="0"/>
    <s v="Oceania"/>
    <n v="2"/>
  </r>
  <r>
    <n v="440"/>
    <s v="WearySoulCrushed"/>
    <s v="Emotional exhaustion, the weight of the world crushing weary shoulders."/>
    <x v="128"/>
    <d v="2021-09-05T13:30:00"/>
    <x v="1"/>
    <s v=" #Exhaustion #CrushedSpirit             "/>
    <n v="35"/>
    <n v="70"/>
    <x v="1"/>
    <x v="2"/>
    <x v="8"/>
    <n v="5"/>
    <n v="13"/>
    <x v="27"/>
    <s v="Popular"/>
    <s v="Yes"/>
    <s v="Wide Reach"/>
    <x v="0"/>
    <s v="North America"/>
    <n v="2"/>
  </r>
  <r>
    <n v="441"/>
    <s v="StringsOfSorrow"/>
    <s v="Sorrowful echoes, a symphony of pain played by the strings of loss."/>
    <x v="129"/>
    <d v="2018-05-22T20:45:00"/>
    <x v="0"/>
    <s v=" #Sorrow #SymphonyOfLoss                "/>
    <n v="18"/>
    <n v="35"/>
    <x v="9"/>
    <x v="11"/>
    <x v="3"/>
    <n v="22"/>
    <n v="20"/>
    <x v="8"/>
    <s v="Normal"/>
    <s v="No"/>
    <s v="Standard"/>
    <x v="2"/>
    <s v="Other"/>
    <n v="1.9444444444444444"/>
  </r>
  <r>
    <n v="442"/>
    <s v="SoulInShadow"/>
    <s v="Darkness descends, engulfing the soul in the shadows of despair."/>
    <x v="130"/>
    <d v="2016-07-10T18:20:00"/>
    <x v="2"/>
    <s v=" #Darkness #SoulEngulfed                 "/>
    <n v="28"/>
    <n v="55"/>
    <x v="0"/>
    <x v="9"/>
    <x v="9"/>
    <n v="10"/>
    <n v="18"/>
    <x v="11"/>
    <s v="Popular"/>
    <s v="Yes"/>
    <s v="Wide Reach"/>
    <x v="2"/>
    <s v="North America"/>
    <n v="1.9642857142857142"/>
  </r>
  <r>
    <n v="443"/>
    <s v="WhisperedDespair"/>
    <s v="Desperation whispers, the silent plea for a glimmer of hope in the abyss."/>
    <x v="131"/>
    <d v="2019-04-30T14:00:00"/>
    <x v="1"/>
    <s v=" #Desperation #GlimmerOfHope            "/>
    <n v="22"/>
    <n v="45"/>
    <x v="5"/>
    <x v="12"/>
    <x v="7"/>
    <n v="30"/>
    <n v="14"/>
    <x v="9"/>
    <s v="Popular"/>
    <s v="No"/>
    <s v="Wide Reach"/>
    <x v="0"/>
    <s v="Other"/>
    <n v="2.0454545454545454"/>
  </r>
  <r>
    <n v="444"/>
    <s v="DreamsInWind"/>
    <s v="Heart in ruins, the remnants of shattered dreams scattered in the wind."/>
    <x v="132"/>
    <d v="2022-01-08T11:30:00"/>
    <x v="0"/>
    <s v=" #Ruins #ShatteredDreams                "/>
    <n v="20"/>
    <n v="40"/>
    <x v="6"/>
    <x v="4"/>
    <x v="0"/>
    <n v="8"/>
    <n v="11"/>
    <x v="2"/>
    <s v="Normal"/>
    <s v="No"/>
    <s v="Standard"/>
    <x v="1"/>
    <s v="Other"/>
    <n v="2"/>
  </r>
  <r>
    <n v="445"/>
    <s v="DreamEchoes"/>
    <s v="Shattered by the echoes of a shattered dream, fragments of hope scattered."/>
    <x v="133"/>
    <d v="2017-09-10T19:15:00"/>
    <x v="0"/>
    <s v=" #Desolation #ScatteredHope "/>
    <n v="20"/>
    <n v="40"/>
    <x v="3"/>
    <x v="10"/>
    <x v="8"/>
    <n v="10"/>
    <n v="19"/>
    <x v="2"/>
    <s v="Normal"/>
    <s v="No"/>
    <s v="Standard"/>
    <x v="2"/>
    <s v="Oceania"/>
    <n v="2"/>
  </r>
  <r>
    <n v="446"/>
    <s v="RemorseWalker"/>
    <s v="Avoiding the thorns of regret, walking barefoot on the path of remorse."/>
    <x v="51"/>
    <d v="2022-04-18T11:30:00"/>
    <x v="1"/>
    <s v=" #Regret #PathOfRemorse "/>
    <n v="25"/>
    <n v="50"/>
    <x v="1"/>
    <x v="4"/>
    <x v="7"/>
    <n v="18"/>
    <n v="11"/>
    <x v="5"/>
    <s v="Popular"/>
    <s v="No"/>
    <s v="Wide Reach"/>
    <x v="1"/>
    <s v="North America"/>
    <n v="2"/>
  </r>
  <r>
    <n v="447"/>
    <s v="JoyLabyrinth"/>
    <s v="In the labyrinth of grief, the walls echo with the footsteps of lost joy."/>
    <x v="41"/>
    <d v="2018-12-05T21:45:00"/>
    <x v="2"/>
    <s v=" #Grief #LostJoyFootsteps "/>
    <n v="18"/>
    <n v="35"/>
    <x v="0"/>
    <x v="11"/>
    <x v="11"/>
    <n v="5"/>
    <n v="21"/>
    <x v="8"/>
    <s v="Normal"/>
    <s v="No"/>
    <s v="Standard"/>
    <x v="2"/>
    <s v="North America"/>
    <n v="1.9444444444444444"/>
  </r>
  <r>
    <n v="448"/>
    <s v="SolitudeSeas"/>
    <s v="A soul adrift in the sea of solitude, waves of loneliness crashing relentlessly."/>
    <x v="42"/>
    <d v="2016-06-28T14:20:00"/>
    <x v="0"/>
    <s v=" #Loneliness #CrashingWaves "/>
    <n v="22"/>
    <n v="45"/>
    <x v="2"/>
    <x v="9"/>
    <x v="5"/>
    <n v="28"/>
    <n v="14"/>
    <x v="9"/>
    <s v="Popular"/>
    <s v="No"/>
    <s v="Wide Reach"/>
    <x v="0"/>
    <s v="Europe"/>
    <n v="2.0454545454545454"/>
  </r>
  <r>
    <n v="449"/>
    <s v="PalateStainer"/>
    <s v="The bitterness of betrayal, a taste that lingers, staining the palate of trust."/>
    <x v="69"/>
    <d v="2019-10-22T17:00:00"/>
    <x v="1"/>
    <s v=" #Bitterness #StainedTrust "/>
    <n v="15"/>
    <n v="30"/>
    <x v="9"/>
    <x v="12"/>
    <x v="10"/>
    <n v="22"/>
    <n v="17"/>
    <x v="0"/>
    <s v="Normal"/>
    <s v="No"/>
    <s v="Standard"/>
    <x v="0"/>
    <s v="Other"/>
    <n v="2"/>
  </r>
  <r>
    <n v="450"/>
    <s v="HopeRuins"/>
    <s v="In the ruins of hope, echoes of shattered dreams whisper tales of loss."/>
    <x v="133"/>
    <d v="2021-03-15T22:45:00"/>
    <x v="2"/>
    <s v=" #Desolation #WhisperedLoss "/>
    <n v="28"/>
    <n v="55"/>
    <x v="6"/>
    <x v="2"/>
    <x v="2"/>
    <n v="15"/>
    <n v="22"/>
    <x v="11"/>
    <s v="Popular"/>
    <s v="Yes"/>
    <s v="Wide Reach"/>
    <x v="2"/>
    <s v="Other"/>
    <n v="1.9642857142857142"/>
  </r>
  <r>
    <n v="451"/>
    <s v="OceanSinker"/>
    <s v="Sinking like a stone in the ocean of heartbreak, each ripple a sigh of despair."/>
    <x v="121"/>
    <d v="2017-08-10T19:30:00"/>
    <x v="0"/>
    <s v=" #Heartbreak #RippleOfDespair "/>
    <n v="22"/>
    <n v="45"/>
    <x v="5"/>
    <x v="10"/>
    <x v="4"/>
    <n v="10"/>
    <n v="19"/>
    <x v="9"/>
    <s v="Popular"/>
    <s v="No"/>
    <s v="Wide Reach"/>
    <x v="2"/>
    <s v="Other"/>
    <n v="2.0454545454545454"/>
  </r>
  <r>
    <n v="452"/>
    <s v="InkJournalist"/>
    <s v="Tears, the ink staining the pages of a journal, a testament to silent grief."/>
    <x v="41"/>
    <d v="2023-01-28T14:30:00"/>
    <x v="1"/>
    <s v=" #Grief #SilentTears "/>
    <n v="30"/>
    <n v="60"/>
    <x v="4"/>
    <x v="0"/>
    <x v="0"/>
    <n v="28"/>
    <n v="14"/>
    <x v="7"/>
    <s v="Popular"/>
    <s v="Yes"/>
    <s v="Wide Reach"/>
    <x v="0"/>
    <s v="Asia"/>
    <n v="2"/>
  </r>
  <r>
    <n v="453"/>
    <s v="TrustWasteland"/>
    <s v="In the wasteland of lost trust, the echoes of broken promises reverberate."/>
    <x v="122"/>
    <d v="2016-12-12T10:00:00"/>
    <x v="2"/>
    <s v=" #Betrayal #ReverberatingPromises "/>
    <n v="25"/>
    <n v="50"/>
    <x v="11"/>
    <x v="9"/>
    <x v="11"/>
    <n v="12"/>
    <n v="10"/>
    <x v="5"/>
    <s v="Popular"/>
    <s v="No"/>
    <s v="Wide Reach"/>
    <x v="1"/>
    <s v="Other"/>
    <n v="2"/>
  </r>
  <r>
    <n v="454"/>
    <s v="DreamTightrope"/>
    <s v="Avoiding the shards of shattered dreams, walking the tightrope of resilience."/>
    <x v="117"/>
    <d v="2020-07-18T15:15:00"/>
    <x v="0"/>
    <s v=" #Resilience #TightropeWalk "/>
    <n v="35"/>
    <n v="70"/>
    <x v="7"/>
    <x v="13"/>
    <x v="9"/>
    <n v="18"/>
    <n v="15"/>
    <x v="27"/>
    <s v="Popular"/>
    <s v="Yes"/>
    <s v="Wide Reach"/>
    <x v="0"/>
    <s v="Other"/>
    <n v="2"/>
  </r>
  <r>
    <n v="455"/>
    <s v="EchoedLaughter"/>
    <s v="Suffocating in the silence of solitude, where echoes of laughter once thrived."/>
    <x v="125"/>
    <d v="2022-05-20T20:30:00"/>
    <x v="1"/>
    <s v=" #Isolation #SilentSolitude "/>
    <n v="30"/>
    <n v="60"/>
    <x v="13"/>
    <x v="4"/>
    <x v="3"/>
    <n v="20"/>
    <n v="20"/>
    <x v="7"/>
    <s v="Popular"/>
    <s v="Yes"/>
    <s v="Wide Reach"/>
    <x v="2"/>
    <s v="Other"/>
    <n v="2"/>
  </r>
  <r>
    <n v="456"/>
    <s v="PossibilityGhost"/>
    <s v="Haunted by the specter of lost possibilities, a ghost that refuses to fade away."/>
    <x v="51"/>
    <d v="2019-11-08T14:45:00"/>
    <x v="0"/>
    <s v=" #Regret #FadingPossibilities "/>
    <n v="18"/>
    <n v="35"/>
    <x v="14"/>
    <x v="12"/>
    <x v="6"/>
    <n v="8"/>
    <n v="14"/>
    <x v="8"/>
    <s v="Normal"/>
    <s v="No"/>
    <s v="Standard"/>
    <x v="0"/>
    <s v="Other"/>
    <n v="1.9444444444444444"/>
  </r>
  <r>
    <n v="457"/>
    <s v="EndlessLabyrinth"/>
    <s v="In the labyrinth of despair, the echoes of a broken heart reverberate endlessly."/>
    <x v="40"/>
    <d v="2017-03-28T22:00:00"/>
    <x v="2"/>
    <s v=" #Despair #EndlessReverberation "/>
    <n v="28"/>
    <n v="55"/>
    <x v="3"/>
    <x v="10"/>
    <x v="2"/>
    <n v="28"/>
    <n v="22"/>
    <x v="11"/>
    <s v="Popular"/>
    <s v="Yes"/>
    <s v="Wide Reach"/>
    <x v="2"/>
    <s v="Oceania"/>
    <n v="1.9642857142857142"/>
  </r>
  <r>
    <n v="458"/>
    <s v="RiverOfSorrow"/>
    <s v="Sinking like autumn leaves in the river of sorrow, carried away by the current."/>
    <x v="129"/>
    <d v="2020-09-15T18:15:00"/>
    <x v="1"/>
    <s v=" #Sorrow #AutumnLeaves "/>
    <n v="22"/>
    <n v="45"/>
    <x v="1"/>
    <x v="13"/>
    <x v="8"/>
    <n v="15"/>
    <n v="18"/>
    <x v="9"/>
    <s v="Popular"/>
    <s v="No"/>
    <s v="Wide Reach"/>
    <x v="2"/>
    <s v="North America"/>
    <n v="2.0454545454545454"/>
  </r>
  <r>
    <n v="459"/>
    <s v="DreamGardener"/>
    <s v="In the garden of broken dreams, petals fall, a silent testimony to shattered hopes."/>
    <x v="133"/>
    <d v="2018-06-10T13:30:00"/>
    <x v="0"/>
    <s v=" #Desolation #ShatteredHopes "/>
    <n v="20"/>
    <n v="40"/>
    <x v="2"/>
    <x v="11"/>
    <x v="5"/>
    <n v="10"/>
    <n v="13"/>
    <x v="2"/>
    <s v="Normal"/>
    <s v="No"/>
    <s v="Standard"/>
    <x v="0"/>
    <s v="Europe"/>
    <n v="2"/>
  </r>
  <r>
    <n v="460"/>
    <s v="CurrencyOfTears"/>
    <s v="Tears, the currency of grief, spent in the marketplace of lost love and longing."/>
    <x v="41"/>
    <d v="2016-12-22T21:45:00"/>
    <x v="2"/>
    <s v=" #Grief #LostLoveLonging "/>
    <n v="25"/>
    <n v="50"/>
    <x v="0"/>
    <x v="9"/>
    <x v="11"/>
    <n v="22"/>
    <n v="21"/>
    <x v="5"/>
    <s v="Popular"/>
    <s v="No"/>
    <s v="Wide Reach"/>
    <x v="2"/>
    <s v="North America"/>
    <n v="2"/>
  </r>
  <r>
    <n v="461"/>
    <s v="MazeWanderer"/>
    <s v="Wandering in the maze of betrayal, the walls closing in with every wrong turn."/>
    <x v="122"/>
    <d v="2021-01-05T16:20:00"/>
    <x v="1"/>
    <s v=" #Betrayal #ClosingWalls "/>
    <n v="15"/>
    <n v="30"/>
    <x v="9"/>
    <x v="2"/>
    <x v="0"/>
    <n v="5"/>
    <n v="16"/>
    <x v="0"/>
    <s v="Normal"/>
    <s v="No"/>
    <s v="Standard"/>
    <x v="0"/>
    <s v="Other"/>
    <n v="2"/>
  </r>
  <r>
    <n v="462"/>
    <s v="StormSeeker"/>
    <s v="A soul weathered by the storm of heartbreak, seeking refuge in the calm after."/>
    <x v="121"/>
    <d v="2019-04-18T11:00:00"/>
    <x v="0"/>
    <s v=" #Heartbreak #CalmAfterStorm "/>
    <n v="22"/>
    <n v="45"/>
    <x v="6"/>
    <x v="12"/>
    <x v="7"/>
    <n v="18"/>
    <n v="11"/>
    <x v="9"/>
    <s v="Popular"/>
    <s v="No"/>
    <s v="Wide Reach"/>
    <x v="1"/>
    <s v="Other"/>
    <n v="2.0454545454545454"/>
  </r>
  <r>
    <n v="463"/>
    <s v="TapestrySorrow"/>
    <s v="In the tapestry of despair, threads of hope unravel, leaving a portrait of sorrow."/>
    <x v="40"/>
    <d v="2017-08-28T19:30:00"/>
    <x v="2"/>
    <s v=" #Despair #UnraveledHope "/>
    <n v="18"/>
    <n v="35"/>
    <x v="4"/>
    <x v="10"/>
    <x v="4"/>
    <n v="28"/>
    <n v="19"/>
    <x v="8"/>
    <s v="Normal"/>
    <s v="No"/>
    <s v="Standard"/>
    <x v="2"/>
    <s v="Asia"/>
    <n v="1.9444444444444444"/>
  </r>
  <r>
    <n v="464"/>
    <s v="WitheredRose"/>
    <s v="Like a withered rose in the garden of love, petals fall, a silent surrender to time."/>
    <x v="134"/>
    <d v="2023-02-10T14:30:00"/>
    <x v="1"/>
    <s v=" #Loss #SilentSurrender "/>
    <n v="28"/>
    <n v="55"/>
    <x v="5"/>
    <x v="0"/>
    <x v="1"/>
    <n v="10"/>
    <n v="14"/>
    <x v="11"/>
    <s v="Popular"/>
    <s v="Yes"/>
    <s v="Wide Reach"/>
    <x v="0"/>
    <s v="Other"/>
    <n v="1.9642857142857142"/>
  </r>
  <r>
    <n v="465"/>
    <s v="LoveSongEcho"/>
    <s v="In the void of heartache, echoes of a love song play, each note a pang of longing."/>
    <x v="135"/>
    <d v="2022-07-10T22:15:00"/>
    <x v="1"/>
    <s v=" #Heartache #LoveSongLonging "/>
    <n v="30"/>
    <n v="60"/>
    <x v="7"/>
    <x v="4"/>
    <x v="9"/>
    <n v="10"/>
    <n v="22"/>
    <x v="7"/>
    <s v="Popular"/>
    <s v="Yes"/>
    <s v="Wide Reach"/>
    <x v="2"/>
    <s v="Other"/>
    <n v="2"/>
  </r>
  <r>
    <n v="466"/>
    <s v="MoonlitMemories"/>
    <s v="Nostalgia, a bittersweet dance in the moonlit ballroom of cherished memories."/>
    <x v="56"/>
    <d v="2019-05-15T21:30:00"/>
    <x v="0"/>
    <s v=" #Nostalgia #CherishedMemories "/>
    <n v="18"/>
    <n v="35"/>
    <x v="11"/>
    <x v="12"/>
    <x v="3"/>
    <n v="15"/>
    <n v="21"/>
    <x v="8"/>
    <s v="Normal"/>
    <s v="No"/>
    <s v="Standard"/>
    <x v="2"/>
    <s v="Other"/>
    <n v="1.9444444444444444"/>
  </r>
  <r>
    <n v="467"/>
    <s v="SymphonyOfTears"/>
    <s v="In the symphony of grief, each tear is a note, composing a melancholic melody."/>
    <x v="41"/>
    <d v="2018-11-28T14:00:00"/>
    <x v="2"/>
    <s v=" #Grief #MelancholicMelody "/>
    <n v="22"/>
    <n v="45"/>
    <x v="9"/>
    <x v="11"/>
    <x v="6"/>
    <n v="28"/>
    <n v="14"/>
    <x v="9"/>
    <s v="Popular"/>
    <s v="No"/>
    <s v="Wide Reach"/>
    <x v="0"/>
    <s v="Other"/>
    <n v="2.0454545454545454"/>
  </r>
  <r>
    <n v="468"/>
    <s v="VenomousGarden"/>
    <s v="Betrayal, a venomous serpent slithering through the garden of trust, poisoning roots."/>
    <x v="122"/>
    <d v="2021-03-02T17:45:00"/>
    <x v="1"/>
    <s v=" #Betrayal #PoisonedTrust "/>
    <n v="25"/>
    <n v="50"/>
    <x v="1"/>
    <x v="2"/>
    <x v="2"/>
    <n v="2"/>
    <n v="17"/>
    <x v="5"/>
    <s v="Popular"/>
    <s v="No"/>
    <s v="Wide Reach"/>
    <x v="0"/>
    <s v="North America"/>
    <n v="2"/>
  </r>
  <r>
    <n v="469"/>
    <s v="QuicksandFighter"/>
    <s v="Sinking in the quicksand of despair, the harder you fight, the deeper you descend."/>
    <x v="40"/>
    <d v="2016-10-18T19:30:00"/>
    <x v="0"/>
    <s v=" #Despair #DeepDescent "/>
    <n v="20"/>
    <n v="40"/>
    <x v="0"/>
    <x v="9"/>
    <x v="10"/>
    <n v="18"/>
    <n v="19"/>
    <x v="2"/>
    <s v="Normal"/>
    <s v="No"/>
    <s v="Standard"/>
    <x v="2"/>
    <s v="North America"/>
    <n v="2"/>
  </r>
  <r>
    <n v="470"/>
    <s v="DreamCemetery"/>
    <s v="Wandering through the cemetery of lost dreams, tombstones marking untold sorrows."/>
    <x v="133"/>
    <d v="2020-08-15T12:30:00"/>
    <x v="2"/>
    <s v=" #Desolation #UntoldSorrows "/>
    <n v="28"/>
    <n v="55"/>
    <x v="5"/>
    <x v="13"/>
    <x v="4"/>
    <n v="15"/>
    <n v="12"/>
    <x v="11"/>
    <s v="Popular"/>
    <s v="Yes"/>
    <s v="Wide Reach"/>
    <x v="0"/>
    <s v="Other"/>
    <n v="1.9642857142857142"/>
  </r>
  <r>
    <n v="471"/>
    <s v="RegretRiver"/>
    <s v="Swept away by the river of regret, the currents of the past refusing to release."/>
    <x v="51"/>
    <d v="2017-04-28T16:20:00"/>
    <x v="1"/>
    <s v=" #Regret #PastCurrents "/>
    <n v="18"/>
    <n v="35"/>
    <x v="2"/>
    <x v="10"/>
    <x v="7"/>
    <n v="28"/>
    <n v="16"/>
    <x v="8"/>
    <s v="Normal"/>
    <s v="No"/>
    <s v="Standard"/>
    <x v="0"/>
    <s v="Europe"/>
    <n v="1.9444444444444444"/>
  </r>
  <r>
    <n v="472"/>
    <s v="HeartAttic"/>
    <s v="Whispers of lost love linger in the attic of the heart, forgotten but not erased."/>
    <x v="134"/>
    <d v="2019-09-10T21:00:00"/>
    <x v="0"/>
    <s v=" #Loss #ForgottenLove "/>
    <n v="22"/>
    <n v="45"/>
    <x v="3"/>
    <x v="12"/>
    <x v="8"/>
    <n v="10"/>
    <n v="21"/>
    <x v="9"/>
    <s v="Popular"/>
    <s v="No"/>
    <s v="Wide Reach"/>
    <x v="2"/>
    <s v="Oceania"/>
    <n v="2.0454545454545454"/>
  </r>
  <r>
    <n v="473"/>
    <s v="PromiseGallery"/>
    <s v="In the gallery of broken promises, each shattered vow framed, a painful exhibition."/>
    <x v="122"/>
    <d v="2022-01-28T13:45:00"/>
    <x v="2"/>
    <s v=" #Betrayal #ShatteredVows "/>
    <n v="15"/>
    <n v="30"/>
    <x v="6"/>
    <x v="4"/>
    <x v="0"/>
    <n v="28"/>
    <n v="13"/>
    <x v="0"/>
    <s v="Normal"/>
    <s v="No"/>
    <s v="Standard"/>
    <x v="0"/>
    <s v="Other"/>
    <n v="2"/>
  </r>
  <r>
    <n v="474"/>
    <s v="EchoedConversation"/>
    <s v="The echoes of solitude, a silent conversation between a soul and its shadows."/>
    <x v="136"/>
    <d v="2016-06-15T22:30:00"/>
    <x v="1"/>
    <s v=" #Solitude #ShadowConversation "/>
    <n v="30"/>
    <n v="60"/>
    <x v="14"/>
    <x v="9"/>
    <x v="5"/>
    <n v="15"/>
    <n v="22"/>
    <x v="7"/>
    <s v="Popular"/>
    <s v="Yes"/>
    <s v="Wide Reach"/>
    <x v="2"/>
    <s v="Other"/>
    <n v="2"/>
  </r>
  <r>
    <n v="475"/>
    <s v="SunshineDancer"/>
    <s v="Dancing on sunshine, each step a celebration of the joy found in simple moments."/>
    <x v="8"/>
    <d v="2021-08-20T15:45:00"/>
    <x v="1"/>
    <s v=" #Joy #SimpleMoments "/>
    <n v="40"/>
    <n v="80"/>
    <x v="0"/>
    <x v="2"/>
    <x v="4"/>
    <n v="20"/>
    <n v="15"/>
    <x v="26"/>
    <s v="Popular"/>
    <s v="Yes"/>
    <s v="Wide Reach"/>
    <x v="0"/>
    <s v="North America"/>
    <n v="2"/>
  </r>
  <r>
    <n v="476"/>
    <s v="EchoedLaughter"/>
    <s v="Laughter echoes in the air, a chorus of happiness that lifts the spirit higher."/>
    <x v="7"/>
    <d v="2018-04-12T18:30:00"/>
    <x v="0"/>
    <s v=" #Happiness #SpiritLifter "/>
    <n v="35"/>
    <n v="70"/>
    <x v="1"/>
    <x v="11"/>
    <x v="7"/>
    <n v="12"/>
    <n v="18"/>
    <x v="27"/>
    <s v="Popular"/>
    <s v="Yes"/>
    <s v="Wide Reach"/>
    <x v="2"/>
    <s v="North America"/>
    <n v="2"/>
  </r>
  <r>
    <n v="477"/>
    <s v="GardenOfJoy"/>
    <s v="In the garden of contentment, each bloom whispers tales of inner peace and joy."/>
    <x v="29"/>
    <d v="2022-02-15T12:20:00"/>
    <x v="2"/>
    <s v=" #Contentment #InnerPeace "/>
    <n v="25"/>
    <n v="50"/>
    <x v="2"/>
    <x v="4"/>
    <x v="1"/>
    <n v="15"/>
    <n v="12"/>
    <x v="5"/>
    <s v="Popular"/>
    <s v="No"/>
    <s v="Wide Reach"/>
    <x v="0"/>
    <s v="Europe"/>
    <n v="2"/>
  </r>
  <r>
    <n v="478"/>
    <s v="DreamChaser"/>
    <s v="Chasing dreams under the vibrant sky, a journey fueled by hope and enthusiasm."/>
    <x v="37"/>
    <d v="2019-10-28T14:15:00"/>
    <x v="1"/>
    <s v=" #Enthusiasm #HopefulJourney "/>
    <n v="30"/>
    <n v="60"/>
    <x v="3"/>
    <x v="12"/>
    <x v="10"/>
    <n v="28"/>
    <n v="14"/>
    <x v="7"/>
    <s v="Popular"/>
    <s v="Yes"/>
    <s v="Wide Reach"/>
    <x v="0"/>
    <s v="Oceania"/>
    <n v="2"/>
  </r>
  <r>
    <n v="479"/>
    <s v="StarSerenader"/>
    <s v="Serenading the stars with a heart full of gratitude, a melody of thankfulness."/>
    <x v="31"/>
    <d v="2017-12-22T21:00:00"/>
    <x v="0"/>
    <s v=" #Gratitude #ThankfulMelody "/>
    <n v="22"/>
    <n v="45"/>
    <x v="4"/>
    <x v="10"/>
    <x v="11"/>
    <n v="22"/>
    <n v="21"/>
    <x v="9"/>
    <s v="Popular"/>
    <s v="No"/>
    <s v="Wide Reach"/>
    <x v="2"/>
    <s v="Asia"/>
    <n v="2.0454545454545454"/>
  </r>
  <r>
    <n v="480"/>
    <s v="GlowAchiever"/>
    <s v="Basking in the glow of accomplishment, each milestone a stepping stone to happiness."/>
    <x v="91"/>
    <d v="2020-06-10T17:30:00"/>
    <x v="2"/>
    <s v=" #Accomplishment #HappinessMilestone "/>
    <n v="28"/>
    <n v="55"/>
    <x v="9"/>
    <x v="13"/>
    <x v="5"/>
    <n v="10"/>
    <n v="17"/>
    <x v="11"/>
    <s v="Popular"/>
    <s v="Yes"/>
    <s v="Wide Reach"/>
    <x v="0"/>
    <s v="Other"/>
    <n v="1.9642857142857142"/>
  </r>
  <r>
    <n v="481"/>
    <s v="DanceHarmony"/>
    <s v="In the dance of positivity, every step is a rhythm, uplifting the soul in harmony."/>
    <x v="137"/>
    <d v="2016-09-18T19:45:00"/>
    <x v="1"/>
    <s v=" #Positivity #SoulUpliftment "/>
    <n v="18"/>
    <n v="35"/>
    <x v="5"/>
    <x v="9"/>
    <x v="8"/>
    <n v="18"/>
    <n v="19"/>
    <x v="8"/>
    <s v="Normal"/>
    <s v="No"/>
    <s v="Standard"/>
    <x v="2"/>
    <s v="Other"/>
    <n v="1.9444444444444444"/>
  </r>
  <r>
    <n v="482"/>
    <s v="LaughterCup"/>
    <s v="Overflowing with joy, a cup of laughter shared with friends, a moment cherished."/>
    <x v="8"/>
    <d v="2023-03-10T14:30:00"/>
    <x v="0"/>
    <s v=" #Joy #CherishedMoment "/>
    <n v="20"/>
    <n v="40"/>
    <x v="7"/>
    <x v="0"/>
    <x v="2"/>
    <n v="10"/>
    <n v="14"/>
    <x v="2"/>
    <s v="Normal"/>
    <s v="No"/>
    <s v="Standard"/>
    <x v="0"/>
    <s v="Other"/>
    <n v="2"/>
  </r>
  <r>
    <n v="483"/>
    <s v="QuiltedCompassion"/>
    <s v="Draped in the warmth of kindness, a quilt of compassion stitched with love."/>
    <x v="138"/>
    <d v="2019-05-05T12:15:00"/>
    <x v="2"/>
    <s v=" #Kindness #LoveStitches "/>
    <n v="25"/>
    <n v="50"/>
    <x v="6"/>
    <x v="12"/>
    <x v="3"/>
    <n v="5"/>
    <n v="12"/>
    <x v="5"/>
    <s v="Popular"/>
    <s v="No"/>
    <s v="Wide Reach"/>
    <x v="0"/>
    <s v="Other"/>
    <n v="2"/>
  </r>
  <r>
    <n v="484"/>
    <s v="FriendshipGarden"/>
    <s v="In the garden of friendships, each bloom a testament to the beauty of camaraderie."/>
    <x v="139"/>
    <d v="2018-08-28T16:00:00"/>
    <x v="1"/>
    <s v=" #Friendship #CamaraderieBlooms "/>
    <n v="30"/>
    <n v="60"/>
    <x v="13"/>
    <x v="11"/>
    <x v="4"/>
    <n v="28"/>
    <n v="16"/>
    <x v="7"/>
    <s v="Popular"/>
    <s v="Yes"/>
    <s v="Wide Reach"/>
    <x v="0"/>
    <s v="Other"/>
    <n v="2"/>
  </r>
  <r>
    <n v="485"/>
    <s v="MelodyOfLove"/>
    <s v="In the embrace of love, each heartbeat is a melody, dancing to the rhythm of affection."/>
    <x v="9"/>
    <d v="2022-11-15T20:45:00"/>
    <x v="0"/>
    <s v=" #Love #RhythmOfAffection "/>
    <n v="35"/>
    <n v="70"/>
    <x v="0"/>
    <x v="4"/>
    <x v="6"/>
    <n v="15"/>
    <n v="20"/>
    <x v="27"/>
    <s v="Popular"/>
    <s v="Yes"/>
    <s v="Wide Reach"/>
    <x v="2"/>
    <s v="North America"/>
    <n v="2"/>
  </r>
  <r>
    <n v="486"/>
    <s v="ColorfulLaughter"/>
    <s v="Surrounded by the colors of joy, a canvas painted with laughter and endless smiles."/>
    <x v="8"/>
    <d v="2019-07-02T17:00:00"/>
    <x v="1"/>
    <s v=" #Joy #EndlessSmiles "/>
    <n v="40"/>
    <n v="80"/>
    <x v="1"/>
    <x v="12"/>
    <x v="9"/>
    <n v="2"/>
    <n v="17"/>
    <x v="26"/>
    <s v="Popular"/>
    <s v="Yes"/>
    <s v="Wide Reach"/>
    <x v="0"/>
    <s v="North America"/>
    <n v="2"/>
  </r>
  <r>
    <n v="487"/>
    <s v="SymphonyFervor"/>
    <s v="In the symphony of excitement, each note is a burst of energy, igniting the soul with fervor."/>
    <x v="23"/>
    <d v="2021-04-18T14:20:00"/>
    <x v="2"/>
    <s v=" #Excitement #IgnitedSoul "/>
    <n v="30"/>
    <n v="60"/>
    <x v="2"/>
    <x v="2"/>
    <x v="7"/>
    <n v="18"/>
    <n v="14"/>
    <x v="7"/>
    <s v="Popular"/>
    <s v="Yes"/>
    <s v="Wide Reach"/>
    <x v="0"/>
    <s v="Europe"/>
    <n v="2"/>
  </r>
  <r>
    <n v="488"/>
    <s v="WrappedDelight"/>
    <s v="A surprise gift, wrapped in anticipation, unfolds a moment of delight and wonder."/>
    <x v="16"/>
    <d v="2023-02-05T19:30:00"/>
    <x v="0"/>
    <s v=" #Surprise #WonderfulMoment "/>
    <n v="25"/>
    <n v="50"/>
    <x v="3"/>
    <x v="0"/>
    <x v="1"/>
    <n v="5"/>
    <n v="19"/>
    <x v="5"/>
    <s v="Popular"/>
    <s v="No"/>
    <s v="Wide Reach"/>
    <x v="2"/>
    <s v="Oceania"/>
    <n v="2"/>
  </r>
  <r>
    <n v="489"/>
    <s v="MazeDiscovery"/>
    <s v="Lost in the maze of curiosity, each twist and turn unveils the treasures of discovery."/>
    <x v="52"/>
    <d v="2018-09-22T12:45:00"/>
    <x v="1"/>
    <s v=" #Curiosity #TreasuresOfDiscovery "/>
    <n v="22"/>
    <n v="45"/>
    <x v="4"/>
    <x v="11"/>
    <x v="8"/>
    <n v="22"/>
    <n v="12"/>
    <x v="9"/>
    <s v="Popular"/>
    <s v="No"/>
    <s v="Wide Reach"/>
    <x v="0"/>
    <s v="Asia"/>
    <n v="2.0454545454545454"/>
  </r>
  <r>
    <n v="490"/>
    <s v="CloudsOfBlessings"/>
    <s v="Floating on clouds of gratitude, each raindrop a blessing, a shower of thankfulness."/>
    <x v="31"/>
    <d v="2016-12-10T21:15:00"/>
    <x v="2"/>
    <s v=" #Gratitude #ShowerOfThankfulness "/>
    <n v="28"/>
    <n v="55"/>
    <x v="9"/>
    <x v="9"/>
    <x v="11"/>
    <n v="10"/>
    <n v="21"/>
    <x v="11"/>
    <s v="Popular"/>
    <s v="Yes"/>
    <s v="Wide Reach"/>
    <x v="2"/>
    <s v="Other"/>
    <n v="1.9642857142857142"/>
  </r>
  <r>
    <n v="491"/>
    <s v="CometCreativity"/>
    <s v="Like a comet of inspiration, streaking through the sky of creativity, leaving trails of brilliance."/>
    <x v="82"/>
    <d v="2020-05-28T16:00:00"/>
    <x v="0"/>
    <s v=" #Inspiration #BrilliantTrails "/>
    <n v="18"/>
    <n v="35"/>
    <x v="5"/>
    <x v="13"/>
    <x v="3"/>
    <n v="28"/>
    <n v="16"/>
    <x v="8"/>
    <s v="Normal"/>
    <s v="No"/>
    <s v="Standard"/>
    <x v="0"/>
    <s v="Other"/>
    <n v="1.9444444444444444"/>
  </r>
  <r>
    <n v="492"/>
    <s v="FireworksTriumph"/>
    <s v="In the celebration of success, fireworks of accomplishment light up the night sky of triumph."/>
    <x v="140"/>
    <d v="2017-11-15T22:30:00"/>
    <x v="1"/>
    <s v=" #Success #NightSkyTriumph "/>
    <n v="22"/>
    <n v="45"/>
    <x v="7"/>
    <x v="10"/>
    <x v="6"/>
    <n v="15"/>
    <n v="22"/>
    <x v="9"/>
    <s v="Popular"/>
    <s v="No"/>
    <s v="Wide Reach"/>
    <x v="2"/>
    <s v="Other"/>
    <n v="2.0454545454545454"/>
  </r>
  <r>
    <n v="493"/>
    <s v="LaughterSymphony"/>
    <s v="A symphony of laughter, each note a key to unlocking the door of boundless happiness."/>
    <x v="7"/>
    <d v="2021-08-02T19:00:00"/>
    <x v="2"/>
    <s v=" #Happiness #BoundlessLaughter "/>
    <n v="30"/>
    <n v="60"/>
    <x v="6"/>
    <x v="2"/>
    <x v="4"/>
    <n v="2"/>
    <n v="19"/>
    <x v="7"/>
    <s v="Popular"/>
    <s v="Yes"/>
    <s v="Wide Reach"/>
    <x v="2"/>
    <s v="Other"/>
    <n v="2"/>
  </r>
  <r>
    <n v="494"/>
    <s v="EmotionCarnival"/>
    <s v="In the carnival of emotions, the rollercoaster of thrill sends the heart on a wild ride."/>
    <x v="79"/>
    <d v="2019-03-28T15:30:00"/>
    <x v="1"/>
    <s v=" #Thrill #WildHeartRide "/>
    <n v="35"/>
    <n v="70"/>
    <x v="13"/>
    <x v="12"/>
    <x v="2"/>
    <n v="28"/>
    <n v="15"/>
    <x v="27"/>
    <s v="Popular"/>
    <s v="Yes"/>
    <s v="Wide Reach"/>
    <x v="0"/>
    <s v="Other"/>
    <n v="2"/>
  </r>
  <r>
    <n v="495"/>
    <s v="ParisDreamer"/>
    <s v="Standing before the grandeur of the Eiffel Tower, a moment to reflect on the beauty of Parisian dreams."/>
    <x v="88"/>
    <d v="2018-05-12T17:30:00"/>
    <x v="0"/>
    <s v=" #Reflection #ParisianDreams "/>
    <n v="28"/>
    <n v="55"/>
    <x v="5"/>
    <x v="11"/>
    <x v="3"/>
    <n v="12"/>
    <n v="17"/>
    <x v="11"/>
    <s v="Popular"/>
    <s v="Yes"/>
    <s v="Wide Reach"/>
    <x v="0"/>
    <s v="Other"/>
    <n v="1.9642857142857142"/>
  </r>
  <r>
    <n v="496"/>
    <s v="DisneylandExplorer"/>
    <s v="Lost in the enchantment of Disneyland, each ride a journey into the realm of childhood fantasies."/>
    <x v="94"/>
    <d v="2022-09-28T15:45:00"/>
    <x v="1"/>
    <s v=" #Enchantment #ChildhoodFantasies "/>
    <n v="30"/>
    <n v="60"/>
    <x v="0"/>
    <x v="4"/>
    <x v="8"/>
    <n v="28"/>
    <n v="15"/>
    <x v="7"/>
    <s v="Popular"/>
    <s v="Yes"/>
    <s v="Wide Reach"/>
    <x v="0"/>
    <s v="North America"/>
    <n v="2"/>
  </r>
  <r>
    <n v="497"/>
    <s v="FerrariSpeedster"/>
    <s v="Exploring the wonders of Ferrari World, the roar of engines creating a symphony of speed."/>
    <x v="23"/>
    <d v="2019-11-10T14:00:00"/>
    <x v="2"/>
    <s v=" #Excitement #SymphonyOfSpeed "/>
    <n v="22"/>
    <n v="45"/>
    <x v="11"/>
    <x v="12"/>
    <x v="6"/>
    <n v="10"/>
    <n v="14"/>
    <x v="9"/>
    <s v="Popular"/>
    <s v="No"/>
    <s v="Wide Reach"/>
    <x v="0"/>
    <s v="Other"/>
    <n v="2.0454545454545454"/>
  </r>
  <r>
    <n v="498"/>
    <s v="KeukenhofAdventurer"/>
    <s v="Amidst the tulip fields of Keukenhof, a tapestry of colors that paints the soul with springtime joy."/>
    <x v="8"/>
    <d v="2021-04-02T18:20:00"/>
    <x v="1"/>
    <s v=" #Joy #SpringtimeColors "/>
    <n v="35"/>
    <n v="70"/>
    <x v="12"/>
    <x v="2"/>
    <x v="7"/>
    <n v="2"/>
    <n v="18"/>
    <x v="27"/>
    <s v="Popular"/>
    <s v="Yes"/>
    <s v="Wide Reach"/>
    <x v="2"/>
    <s v="Other"/>
    <n v="2"/>
  </r>
  <r>
    <n v="499"/>
    <s v="KyotoAdventurer"/>
    <s v="Wandering through the historical streets of Kyoto, each step a journey into the heart of Japan's traditions."/>
    <x v="141"/>
    <d v="2017-08-22T21:30:00"/>
    <x v="0"/>
    <s v=" #Exploration #JapaneseTraditions "/>
    <n v="18"/>
    <n v="35"/>
    <x v="7"/>
    <x v="10"/>
    <x v="4"/>
    <n v="22"/>
    <n v="21"/>
    <x v="8"/>
    <s v="Normal"/>
    <s v="No"/>
    <s v="Standard"/>
    <x v="2"/>
    <s v="Other"/>
    <n v="1.9444444444444444"/>
  </r>
  <r>
    <n v="500"/>
    <s v="CanyonMarveler"/>
    <s v="In the embrace of the Grand Canyon, nature's masterpiece, a moment to marvel at Earth's grandeur."/>
    <x v="14"/>
    <d v="2020-06-15T16:45:00"/>
    <x v="1"/>
    <s v=" #Awe #EarthsGrandeur "/>
    <n v="25"/>
    <n v="50"/>
    <x v="0"/>
    <x v="13"/>
    <x v="5"/>
    <n v="15"/>
    <n v="16"/>
    <x v="5"/>
    <s v="Popular"/>
    <s v="No"/>
    <s v="Wide Reach"/>
    <x v="0"/>
    <s v="North America"/>
    <n v="2"/>
  </r>
  <r>
    <n v="501"/>
    <s v="SantoriniTraveler"/>
    <s v="Journeying through the serenity of Santorini, where each sunset paints the sky with hues of tranquility."/>
    <x v="30"/>
    <d v="2016-09-10T19:15:00"/>
    <x v="2"/>
    <s v=" #Serenity #SunsetHues "/>
    <n v="22"/>
    <n v="45"/>
    <x v="8"/>
    <x v="9"/>
    <x v="8"/>
    <n v="10"/>
    <n v="19"/>
    <x v="9"/>
    <s v="Popular"/>
    <s v="No"/>
    <s v="Wide Reach"/>
    <x v="2"/>
    <s v="Other"/>
    <n v="2.0454545454545454"/>
  </r>
  <r>
    <n v="502"/>
    <s v="PetraExplorer"/>
    <s v="Amazed by the architectural marvels of Petra, each stone telling tales of an ancient civilization."/>
    <x v="142"/>
    <d v="2023-01-28T13:00:00"/>
    <x v="0"/>
    <s v=" #Amazement #AncientTales "/>
    <n v="30"/>
    <n v="60"/>
    <x v="21"/>
    <x v="0"/>
    <x v="0"/>
    <n v="28"/>
    <n v="13"/>
    <x v="7"/>
    <s v="Popular"/>
    <s v="Yes"/>
    <s v="Wide Reach"/>
    <x v="0"/>
    <s v="Other"/>
    <n v="2"/>
  </r>
  <r>
    <n v="503"/>
    <s v="VeniceRomantic"/>
    <s v="Embarking on a gondola ride in Venice, each canal reflecting the romance of this timeless city."/>
    <x v="143"/>
    <d v="2019-04-18T16:30:00"/>
    <x v="1"/>
    <s v=" #Romance #TimelessCity "/>
    <n v="20"/>
    <n v="40"/>
    <x v="11"/>
    <x v="12"/>
    <x v="7"/>
    <n v="18"/>
    <n v="16"/>
    <x v="2"/>
    <s v="Normal"/>
    <s v="No"/>
    <s v="Standard"/>
    <x v="0"/>
    <s v="Other"/>
    <n v="2"/>
  </r>
  <r>
    <n v="504"/>
    <s v="MachuPicchuAdventurer"/>
    <s v="At the summit of Machu Picchu, a breathtaking panorama that whispers the secrets of ancient civilizations."/>
    <x v="14"/>
    <d v="2017-11-05T22:00:00"/>
    <x v="2"/>
    <s v=" #Awe #AncientCivilizations "/>
    <n v="28"/>
    <n v="55"/>
    <x v="22"/>
    <x v="10"/>
    <x v="6"/>
    <n v="5"/>
    <n v="22"/>
    <x v="11"/>
    <s v="Popular"/>
    <s v="Yes"/>
    <s v="Wide Reach"/>
    <x v="2"/>
    <s v="Other"/>
    <n v="1.9642857142857142"/>
  </r>
  <r>
    <n v="505"/>
    <s v="TimesSquareExplorer"/>
    <s v="In the heart of New York City, Times Square dazzles with lights, a vibrant spectacle of urban energy."/>
    <x v="23"/>
    <d v="2022-07-20T21:45:00"/>
    <x v="1"/>
    <s v=" #Excitement #UrbanEnergy "/>
    <n v="35"/>
    <n v="70"/>
    <x v="0"/>
    <x v="4"/>
    <x v="9"/>
    <n v="20"/>
    <n v="21"/>
    <x v="27"/>
    <s v="Popular"/>
    <s v="Yes"/>
    <s v="Wide Reach"/>
    <x v="2"/>
    <s v="North America"/>
    <n v="2"/>
  </r>
  <r>
    <n v="506"/>
    <s v="ColosseumAdventurer"/>
    <s v="Captivated by the historical charm of the Colosseum, each stone echoing tales of gladiator valor."/>
    <x v="144"/>
    <d v="2018-03-15T17:30:00"/>
    <x v="0"/>
    <s v=" #Captivation #GladiatorTales "/>
    <n v="25"/>
    <n v="50"/>
    <x v="11"/>
    <x v="11"/>
    <x v="2"/>
    <n v="15"/>
    <n v="17"/>
    <x v="5"/>
    <s v="Popular"/>
    <s v="No"/>
    <s v="Wide Reach"/>
    <x v="0"/>
    <s v="Other"/>
    <n v="2"/>
  </r>
  <r>
    <n v="507"/>
    <s v="MaldivesSailor"/>
    <s v="Sailing the azure waters of the Maldives, each wave a whisper of serenity in paradise."/>
    <x v="30"/>
    <d v="2019-10-28T14:15:00"/>
    <x v="2"/>
    <s v=" #Serenity #ParadiseWhispers "/>
    <n v="22"/>
    <n v="45"/>
    <x v="23"/>
    <x v="12"/>
    <x v="10"/>
    <n v="28"/>
    <n v="14"/>
    <x v="9"/>
    <s v="Popular"/>
    <s v="No"/>
    <s v="Wide Reach"/>
    <x v="0"/>
    <s v="Other"/>
    <n v="2.0454545454545454"/>
  </r>
  <r>
    <n v="508"/>
    <s v="AmazonExplorer"/>
    <s v="In the midst of the Amazon rainforest, a symphony of wildlife creates an orchestra of nature's wonders."/>
    <x v="105"/>
    <d v="2021-06-10T16:00:00"/>
    <x v="1"/>
    <s v=" #Wonder #NatureOrchestra "/>
    <n v="30"/>
    <n v="60"/>
    <x v="6"/>
    <x v="2"/>
    <x v="5"/>
    <n v="10"/>
    <n v="16"/>
    <x v="7"/>
    <s v="Popular"/>
    <s v="Yes"/>
    <s v="Wide Reach"/>
    <x v="0"/>
    <s v="Other"/>
    <n v="2"/>
  </r>
  <r>
    <n v="509"/>
    <s v="GreatWallWalker"/>
    <s v="Walking the Great Wall of China, each step a testament to ancient engineering marvels."/>
    <x v="14"/>
    <d v="2017-08-18T19:30:00"/>
    <x v="0"/>
    <s v=" #Awe #EngineeringMarvels "/>
    <n v="18"/>
    <n v="35"/>
    <x v="24"/>
    <x v="10"/>
    <x v="4"/>
    <n v="18"/>
    <n v="19"/>
    <x v="8"/>
    <s v="Normal"/>
    <s v="No"/>
    <s v="Standard"/>
    <x v="2"/>
    <s v="Other"/>
    <n v="1.9444444444444444"/>
  </r>
  <r>
    <n v="510"/>
    <s v="FujiSummitAchiever"/>
    <s v="At the summit of Mount Fuji, a breathtaking sunrise that paints the sky with hues of accomplishment."/>
    <x v="91"/>
    <d v="2020-04-15T05:30:00"/>
    <x v="2"/>
    <s v=" #Accomplishment #SunriseHues "/>
    <n v="28"/>
    <n v="55"/>
    <x v="7"/>
    <x v="13"/>
    <x v="7"/>
    <n v="15"/>
    <n v="5"/>
    <x v="11"/>
    <s v="Popular"/>
    <s v="Yes"/>
    <s v="Wide Reach"/>
    <x v="3"/>
    <s v="Other"/>
    <n v="1.9642857142857142"/>
  </r>
  <r>
    <n v="511"/>
    <s v="AngkorWatAdventurer"/>
    <s v="Exploring the ancient ruins of Angkor Wat, each stone whispering stories of Khmer civilization."/>
    <x v="141"/>
    <d v="2016-11-22T13:00:00"/>
    <x v="1"/>
    <s v=" #Exploration #KhmerStories "/>
    <n v="20"/>
    <n v="40"/>
    <x v="25"/>
    <x v="9"/>
    <x v="6"/>
    <n v="22"/>
    <n v="13"/>
    <x v="2"/>
    <s v="Normal"/>
    <s v="No"/>
    <s v="Standard"/>
    <x v="0"/>
    <s v="Other"/>
    <n v="2"/>
  </r>
  <r>
    <n v="512"/>
    <s v="AlpsSkiAdventurer"/>
    <s v="Skiing down the slopes of the Swiss Alps, each turn a dance with the majesty of snow-capped peaks."/>
    <x v="108"/>
    <d v="2019-01-10T14:45:00"/>
    <x v="0"/>
    <s v=" #Adventure #SnowPeakDance "/>
    <n v="22"/>
    <n v="45"/>
    <x v="16"/>
    <x v="12"/>
    <x v="0"/>
    <n v="10"/>
    <n v="14"/>
    <x v="9"/>
    <s v="Popular"/>
    <s v="No"/>
    <s v="Wide Reach"/>
    <x v="0"/>
    <s v="Other"/>
    <n v="2.0454545454545454"/>
  </r>
  <r>
    <n v="513"/>
    <s v="KyotoBambooSeeker"/>
    <s v="In the tranquility of Kyoto's bamboo forest, whispers of ancient Zen wisdom echo through the groves."/>
    <x v="145"/>
    <d v="2023-02-28T16:20:00"/>
    <x v="2"/>
    <s v=" #Tranquility #ZenWisdom "/>
    <n v="25"/>
    <n v="50"/>
    <x v="7"/>
    <x v="0"/>
    <x v="1"/>
    <n v="28"/>
    <n v="16"/>
    <x v="5"/>
    <s v="Popular"/>
    <s v="No"/>
    <s v="Wide Reach"/>
    <x v="0"/>
    <s v="Other"/>
    <n v="2"/>
  </r>
  <r>
    <n v="514"/>
    <s v="NorwayFjordExplorer"/>
    <s v="Cruising the fjords of Norway, each icy landscape a breathtaking masterpiece of nature's grandeur."/>
    <x v="146"/>
    <d v="2018-05-28T18:30:00"/>
    <x v="1"/>
    <s v=" #Grandeur #IcyMasterpiece "/>
    <n v="22"/>
    <n v="45"/>
    <x v="26"/>
    <x v="11"/>
    <x v="3"/>
    <n v="28"/>
    <n v="18"/>
    <x v="9"/>
    <s v="Popular"/>
    <s v="No"/>
    <s v="Wide Reach"/>
    <x v="2"/>
    <s v="Other"/>
    <n v="2.0454545454545454"/>
  </r>
  <r>
    <n v="515"/>
    <s v="AdeleConcertGoer"/>
    <s v="At the front row of Adele's concert, each note of 'Someone Like You' resonates with soul-stirring emotion."/>
    <x v="147"/>
    <d v="2022-09-15T20:00:00"/>
    <x v="1"/>
    <s v=" #Emotion #AdeleConcert "/>
    <n v="40"/>
    <n v="80"/>
    <x v="0"/>
    <x v="4"/>
    <x v="8"/>
    <n v="15"/>
    <n v="20"/>
    <x v="26"/>
    <s v="Popular"/>
    <s v="Yes"/>
    <s v="Wide Reach"/>
    <x v="2"/>
    <s v="North America"/>
    <n v="2"/>
  </r>
  <r>
    <n v="516"/>
    <s v="BeyonceDancer"/>
    <s v="Dancing under the stars at BeyoncÃ©'s live show, feeling the power of 'Single Ladies' in every move."/>
    <x v="148"/>
    <d v="2019-07-28T21:30:00"/>
    <x v="0"/>
    <s v=" #Energy #BeyonceConcert "/>
    <n v="35"/>
    <n v="70"/>
    <x v="0"/>
    <x v="12"/>
    <x v="9"/>
    <n v="28"/>
    <n v="21"/>
    <x v="27"/>
    <s v="Popular"/>
    <s v="Yes"/>
    <s v="Wide Reach"/>
    <x v="2"/>
    <s v="North America"/>
    <n v="2"/>
  </r>
  <r>
    <n v="517"/>
    <s v="SwiftieDreamer"/>
    <s v="In the crowd of a Taylor Swift concert, the lyrics of 'Love Story' create an enchanting fairy tale."/>
    <x v="94"/>
    <d v="2021-05-10T19:45:00"/>
    <x v="2"/>
    <s v=" #Enchantment #TaylorSwift "/>
    <n v="30"/>
    <n v="60"/>
    <x v="0"/>
    <x v="2"/>
    <x v="3"/>
    <n v="10"/>
    <n v="19"/>
    <x v="7"/>
    <s v="Popular"/>
    <s v="Yes"/>
    <s v="Wide Reach"/>
    <x v="2"/>
    <s v="North America"/>
    <n v="2"/>
  </r>
  <r>
    <n v="518"/>
    <s v="QueenTributeFan"/>
    <s v="Rocking out to the guitar solos at a Queen tribute concert, a journey back in time with Freddie's spirit."/>
    <x v="56"/>
    <d v="2018-12-02T22:15:00"/>
    <x v="1"/>
    <s v=" #Nostalgia #QueenTribute "/>
    <n v="22"/>
    <n v="45"/>
    <x v="2"/>
    <x v="11"/>
    <x v="11"/>
    <n v="2"/>
    <n v="22"/>
    <x v="9"/>
    <s v="Popular"/>
    <s v="No"/>
    <s v="Wide Reach"/>
    <x v="2"/>
    <s v="Europe"/>
    <n v="2.0454545454545454"/>
  </r>
  <r>
    <n v="519"/>
    <s v="SheeranMelodyLover"/>
    <s v="Swaying to Ed Sheeran's acoustic melodies, a serene evening filled with 'Perfect' moments."/>
    <x v="30"/>
    <d v="2020-08-18T19:00:00"/>
    <x v="0"/>
    <s v=" #Serenity #EdSheeranConcert "/>
    <n v="18"/>
    <n v="35"/>
    <x v="2"/>
    <x v="13"/>
    <x v="4"/>
    <n v="18"/>
    <n v="19"/>
    <x v="8"/>
    <s v="Normal"/>
    <s v="No"/>
    <s v="Standard"/>
    <x v="2"/>
    <s v="Europe"/>
    <n v="1.9444444444444444"/>
  </r>
  <r>
    <n v="520"/>
    <s v="MarsJoyExplorer"/>
    <s v="Immersed in the pulsating beats of a Bruno Mars concert, where 'Uptown Funk' becomes a city of joy."/>
    <x v="8"/>
    <d v="2017-03-28T20:30:00"/>
    <x v="2"/>
    <s v=" #Joy #BrunoMars "/>
    <n v="28"/>
    <n v="55"/>
    <x v="0"/>
    <x v="10"/>
    <x v="2"/>
    <n v="28"/>
    <n v="20"/>
    <x v="11"/>
    <s v="Popular"/>
    <s v="Yes"/>
    <s v="Wide Reach"/>
    <x v="2"/>
    <s v="North America"/>
    <n v="1.9642857142857142"/>
  </r>
  <r>
    <n v="521"/>
    <s v="MJTributeDancer"/>
    <s v="At a Michael Jackson tribute show, moonwalking through the hits, a celebration of the King of Pop."/>
    <x v="149"/>
    <d v="2022-01-15T21:15:00"/>
    <x v="1"/>
    <s v=" #Celebration #MJTribute "/>
    <n v="25"/>
    <n v="50"/>
    <x v="0"/>
    <x v="4"/>
    <x v="0"/>
    <n v="15"/>
    <n v="21"/>
    <x v="5"/>
    <s v="Popular"/>
    <s v="No"/>
    <s v="Wide Reach"/>
    <x v="2"/>
    <s v="North America"/>
    <n v="2"/>
  </r>
  <r>
    <n v="522"/>
    <s v="SinatraCharmListener"/>
    <s v="Swinging to the rhythms of a Frank Sinatra tribute, feeling the timeless charm of 'Fly Me to the Moon'."/>
    <x v="150"/>
    <d v="2019-06-10T18:45:00"/>
    <x v="0"/>
    <s v=" #Charm #SinatraTribute "/>
    <n v="22"/>
    <n v="45"/>
    <x v="0"/>
    <x v="12"/>
    <x v="5"/>
    <n v="10"/>
    <n v="18"/>
    <x v="9"/>
    <s v="Popular"/>
    <s v="No"/>
    <s v="Wide Reach"/>
    <x v="2"/>
    <s v="North America"/>
    <n v="2.0454545454545454"/>
  </r>
  <r>
    <n v="523"/>
    <s v="MetallicaMoshWarrior"/>
    <s v="In the mosh pit of a Metallica concert, the thunderous chords create a symphony of headbanging ecstasy."/>
    <x v="151"/>
    <d v="2023-03-20T22:30:00"/>
    <x v="2"/>
    <s v=" #Ecstasy #MetallicaConcert "/>
    <n v="35"/>
    <n v="70"/>
    <x v="0"/>
    <x v="0"/>
    <x v="2"/>
    <n v="20"/>
    <n v="22"/>
    <x v="27"/>
    <s v="Popular"/>
    <s v="Yes"/>
    <s v="Wide Reach"/>
    <x v="2"/>
    <s v="North America"/>
    <n v="2"/>
  </r>
  <r>
    <n v="524"/>
    <s v="ColdplayHopeSeeker"/>
    <s v="Experiencing the magic of a Coldplay concert, where 'Fix You' becomes a beacon of hope in the night."/>
    <x v="32"/>
    <d v="2016-11-28T19:00:00"/>
    <x v="1"/>
    <s v=" #Hope #ColdplayMagic "/>
    <n v="30"/>
    <n v="60"/>
    <x v="2"/>
    <x v="9"/>
    <x v="6"/>
    <n v="28"/>
    <n v="19"/>
    <x v="7"/>
    <s v="Popular"/>
    <s v="Yes"/>
    <s v="Wide Reach"/>
    <x v="2"/>
    <s v="Europe"/>
    <n v="2"/>
  </r>
  <r>
    <n v="525"/>
    <s v="BieberDanceEnthusiast"/>
    <s v="At a Justin Bieber concert, the infectious beats of 'Baby' create a dance floor of unbridled enthusiasm."/>
    <x v="37"/>
    <d v="2018-08-05T20:00:00"/>
    <x v="1"/>
    <s v=" #Enthusiasm #JustinBieber "/>
    <n v="40"/>
    <n v="80"/>
    <x v="1"/>
    <x v="11"/>
    <x v="4"/>
    <n v="5"/>
    <n v="20"/>
    <x v="26"/>
    <s v="Popular"/>
    <s v="Yes"/>
    <s v="Wide Reach"/>
    <x v="2"/>
    <s v="North America"/>
    <n v="2"/>
  </r>
  <r>
    <n v="526"/>
    <s v="GagaArtisticChameleon"/>
    <s v="In the spotlight at a Lady Gaga show, each costume change is a metamorphosis of creativity and artistry."/>
    <x v="103"/>
    <d v="2021-04-15T21:30:00"/>
    <x v="0"/>
    <s v=" #Creativity #LadyGaga "/>
    <n v="35"/>
    <n v="70"/>
    <x v="0"/>
    <x v="2"/>
    <x v="7"/>
    <n v="15"/>
    <n v="21"/>
    <x v="27"/>
    <s v="Popular"/>
    <s v="Yes"/>
    <s v="Wide Reach"/>
    <x v="2"/>
    <s v="North America"/>
    <n v="2"/>
  </r>
  <r>
    <n v="527"/>
    <s v="AdeleMelodyTearjerker"/>
    <s v="Immersed in the soulful melodies of Adele, tears flow freely, moved by the emotion of 'Hello'."/>
    <x v="147"/>
    <d v="2019-11-28T19:45:00"/>
    <x v="2"/>
    <s v=" #Emotion #AdeleMelodies "/>
    <n v="30"/>
    <n v="60"/>
    <x v="2"/>
    <x v="12"/>
    <x v="6"/>
    <n v="28"/>
    <n v="19"/>
    <x v="7"/>
    <s v="Popular"/>
    <s v="Yes"/>
    <s v="Wide Reach"/>
    <x v="2"/>
    <s v="Europe"/>
    <n v="2"/>
  </r>
  <r>
    <n v="528"/>
    <s v="KatyPerryColorExplosion"/>
    <s v="Drenched in confetti at a Katy Perry concert, a kaleidoscope of colors igniting the night sky."/>
    <x v="152"/>
    <d v="2020-06-22T22:00:00"/>
    <x v="1"/>
    <s v=" #Colorful #KatyPerry "/>
    <n v="22"/>
    <n v="45"/>
    <x v="0"/>
    <x v="13"/>
    <x v="5"/>
    <n v="22"/>
    <n v="22"/>
    <x v="9"/>
    <s v="Popular"/>
    <s v="No"/>
    <s v="Wide Reach"/>
    <x v="2"/>
    <s v="North America"/>
    <n v="2.0454545454545454"/>
  </r>
  <r>
    <n v="529"/>
    <s v="JayZEmpireListener"/>
    <s v="In the audience of a Jay-Z performance, the lyrics of 'Empire State of Mind' become an anthem of pride."/>
    <x v="25"/>
    <d v="2017-09-10T20:15:00"/>
    <x v="0"/>
    <s v=" #Pride #JayZAnthem "/>
    <n v="18"/>
    <n v="35"/>
    <x v="0"/>
    <x v="10"/>
    <x v="8"/>
    <n v="10"/>
    <n v="20"/>
    <x v="8"/>
    <s v="Normal"/>
    <s v="No"/>
    <s v="Standard"/>
    <x v="2"/>
    <s v="North America"/>
    <n v="1.9444444444444444"/>
  </r>
  <r>
    <n v="530"/>
    <s v="ShakiraHipsDancer"/>
    <s v="Dancing to Shakira's rhythmic beats, hips swaying to the hypnotic charm of 'Hips Don't Lie'."/>
    <x v="153"/>
    <d v="2022-02-28T21:15:00"/>
    <x v="2"/>
    <s v=" #Hypnotic #ShakiraRhythms "/>
    <n v="28"/>
    <n v="55"/>
    <x v="27"/>
    <x v="4"/>
    <x v="1"/>
    <n v="28"/>
    <n v="21"/>
    <x v="11"/>
    <s v="Popular"/>
    <s v="Yes"/>
    <s v="Wide Reach"/>
    <x v="2"/>
    <s v="Other"/>
    <n v="1.9642857142857142"/>
  </r>
  <r>
    <n v="531"/>
    <s v="U2ConnectionSeeker"/>
    <s v="At a U2 concert, the anthemic chords of 'With or Without You' create a timeless moment of connection."/>
    <x v="154"/>
    <d v="2016-05-15T19:30:00"/>
    <x v="1"/>
    <s v=" #Connection #U2Anthem "/>
    <n v="25"/>
    <n v="50"/>
    <x v="28"/>
    <x v="9"/>
    <x v="3"/>
    <n v="15"/>
    <n v="19"/>
    <x v="5"/>
    <s v="Popular"/>
    <s v="No"/>
    <s v="Wide Reach"/>
    <x v="2"/>
    <s v="Other"/>
    <n v="2"/>
  </r>
  <r>
    <n v="532"/>
    <s v="GunsNRosesRiffRockstar"/>
    <s v="Rocking out at a Guns N' Roses show, the iconic riffs of 'Sweet Child o' Mine' echoing in the night."/>
    <x v="155"/>
    <d v="2018-12-10T22:30:00"/>
    <x v="0"/>
    <s v=" #Iconic #GNRConcert "/>
    <n v="22"/>
    <n v="45"/>
    <x v="0"/>
    <x v="11"/>
    <x v="11"/>
    <n v="10"/>
    <n v="22"/>
    <x v="9"/>
    <s v="Popular"/>
    <s v="No"/>
    <s v="Wide Reach"/>
    <x v="2"/>
    <s v="North America"/>
    <n v="2.0454545454545454"/>
  </r>
  <r>
    <n v="533"/>
    <s v="ArianaEuphoriaChaser"/>
    <s v="In the crowd of an Ariana Grande concert, the high notes of 'Into You' create a euphoric symphony."/>
    <x v="28"/>
    <d v="2023-01-22T20:00:00"/>
    <x v="2"/>
    <s v=" #Euphoria #ArianaGrande "/>
    <n v="35"/>
    <n v="70"/>
    <x v="0"/>
    <x v="0"/>
    <x v="0"/>
    <n v="22"/>
    <n v="20"/>
    <x v="27"/>
    <s v="Popular"/>
    <s v="Yes"/>
    <s v="Wide Reach"/>
    <x v="2"/>
    <s v="North America"/>
    <n v="2"/>
  </r>
  <r>
    <n v="534"/>
    <s v="MarleyReggaeTraveler"/>
    <s v="Swaying to the reggae vibes of Bob Marley's tribute concert, each chord a journey to Jamaica's soul."/>
    <x v="156"/>
    <d v="2020-03-05T18:45:00"/>
    <x v="1"/>
    <s v=" #Journey #BobMarleyTribute "/>
    <n v="30"/>
    <n v="60"/>
    <x v="29"/>
    <x v="13"/>
    <x v="2"/>
    <n v="5"/>
    <n v="18"/>
    <x v="7"/>
    <s v="Popular"/>
    <s v="Yes"/>
    <s v="Wide Reach"/>
    <x v="2"/>
    <s v="Other"/>
    <n v="2"/>
  </r>
  <r>
    <n v="535"/>
    <s v="MovieEnthusiastPremiereAttendee"/>
    <s v="Captivated by the spellbinding plot twists, the audience applauds, experiencing a rollercoaster of emotions at the movie premiere."/>
    <x v="23"/>
    <d v="2018-10-12T20:00:00"/>
    <x v="0"/>
    <s v=" #Excitement #MoviePremiereThrills "/>
    <n v="40"/>
    <n v="80"/>
    <x v="0"/>
    <x v="11"/>
    <x v="10"/>
    <n v="12"/>
    <n v="20"/>
    <x v="26"/>
    <s v="Popular"/>
    <s v="Yes"/>
    <s v="Wide Reach"/>
    <x v="2"/>
    <s v="North America"/>
    <n v="2"/>
  </r>
  <r>
    <n v="536"/>
    <s v="FilmLoverNostalgiaSeeker"/>
    <s v="As the credits roll, a profound sense of nostalgia washes over, reminiscent of cherished moments in classic films."/>
    <x v="56"/>
    <d v="2019-06-25T22:15:00"/>
    <x v="1"/>
    <s v=" #Nostalgia #ClassicFilmMoments "/>
    <n v="35"/>
    <n v="70"/>
    <x v="2"/>
    <x v="12"/>
    <x v="5"/>
    <n v="25"/>
    <n v="22"/>
    <x v="27"/>
    <s v="Popular"/>
    <s v="Yes"/>
    <s v="Wide Reach"/>
    <x v="2"/>
    <s v="Europe"/>
    <n v="2"/>
  </r>
  <r>
    <n v="537"/>
    <s v="WebSeriesViewerCharacterConnection"/>
    <s v="Streaming the latest web series, the viewer is engrossed in the characters' journey, feeling a sense of connection and empathy."/>
    <x v="157"/>
    <d v="2020-07-08T19:30:00"/>
    <x v="2"/>
    <s v=" #Engagement #WebSeriesJourney "/>
    <n v="30"/>
    <n v="60"/>
    <x v="1"/>
    <x v="13"/>
    <x v="9"/>
    <n v="8"/>
    <n v="19"/>
    <x v="7"/>
    <s v="Popular"/>
    <s v="Yes"/>
    <s v="Wide Reach"/>
    <x v="2"/>
    <s v="North America"/>
    <n v="2"/>
  </r>
  <r>
    <n v="538"/>
    <s v="IndieFilmmakerFestivalSuccess"/>
    <s v="At the film festival, the indie filmmaker's creation receives a standing ovation, evoking pride and a sense of accomplishment."/>
    <x v="25"/>
    <d v="2017-09-18T21:45:00"/>
    <x v="0"/>
    <s v=" #Pride #IndieFilmSuccess "/>
    <n v="22"/>
    <n v="45"/>
    <x v="3"/>
    <x v="10"/>
    <x v="8"/>
    <n v="18"/>
    <n v="21"/>
    <x v="9"/>
    <s v="Popular"/>
    <s v="No"/>
    <s v="Wide Reach"/>
    <x v="2"/>
    <s v="Oceania"/>
    <n v="2.0454545454545454"/>
  </r>
  <r>
    <n v="539"/>
    <s v="DramaEnthusiastHeartwarmingMoments"/>
    <s v="Watching a heartwarming family drama, tears flow freely as the characters overcome challenges, leaving the viewer with a warm glow."/>
    <x v="158"/>
    <d v="2021-01-15T18:00:00"/>
    <x v="1"/>
    <s v=" #Touched #FamilyDramaMoments "/>
    <n v="28"/>
    <n v="55"/>
    <x v="4"/>
    <x v="2"/>
    <x v="0"/>
    <n v="15"/>
    <n v="18"/>
    <x v="11"/>
    <s v="Popular"/>
    <s v="Yes"/>
    <s v="Wide Reach"/>
    <x v="2"/>
    <s v="Asia"/>
    <n v="1.9642857142857142"/>
  </r>
  <r>
    <n v="540"/>
    <s v="AwardWinningActorOscarsRecipient"/>
    <s v="At the Oscars, the actor graciously accepts an award, radiating joy and gratitude for the recognition of their outstanding performance."/>
    <x v="31"/>
    <d v="2016-02-28T20:30:00"/>
    <x v="2"/>
    <s v=" #Gratitude #OscarWinningMoment "/>
    <n v="18"/>
    <n v="35"/>
    <x v="0"/>
    <x v="9"/>
    <x v="1"/>
    <n v="28"/>
    <n v="20"/>
    <x v="8"/>
    <s v="Normal"/>
    <s v="No"/>
    <s v="Standard"/>
    <x v="2"/>
    <s v="North America"/>
    <n v="1.9444444444444444"/>
  </r>
  <r>
    <n v="541"/>
    <s v="DocumentaryEnthusiastHiddenGemFinder"/>
    <s v="Discovering a hidden gem in the world of documentaries, the viewer is enlightened and inspired, feeling a renewed sense of curiosity."/>
    <x v="82"/>
    <d v="2022-04-20T17:30:00"/>
    <x v="0"/>
    <s v=" #Inspiration #HiddenGemDiscovery "/>
    <n v="22"/>
    <n v="45"/>
    <x v="5"/>
    <x v="4"/>
    <x v="7"/>
    <n v="20"/>
    <n v="17"/>
    <x v="9"/>
    <s v="Popular"/>
    <s v="No"/>
    <s v="Wide Reach"/>
    <x v="0"/>
    <s v="Other"/>
    <n v="2.0454545454545454"/>
  </r>
  <r>
    <n v="542"/>
    <s v="FilmBuffContemplativeViewer"/>
    <s v="As the movie credits roll, the viewer experiences a mix of awe and contemplation, pondering the deeper meanings woven into the storyline."/>
    <x v="84"/>
    <d v="2019-11-05T21:15:00"/>
    <x v="1"/>
    <s v=" #Contemplation #DeepMeanings "/>
    <n v="28"/>
    <n v="55"/>
    <x v="9"/>
    <x v="12"/>
    <x v="6"/>
    <n v="5"/>
    <n v="21"/>
    <x v="11"/>
    <s v="Popular"/>
    <s v="Yes"/>
    <s v="Wide Reach"/>
    <x v="2"/>
    <s v="Other"/>
    <n v="1.9642857142857142"/>
  </r>
  <r>
    <n v="543"/>
    <s v="CrimeSeriesEnthusiastThrillSeeker"/>
    <s v="Binge-watching a thrilling crime series, the suspense keeps the viewer on the edge of their seat, creating a rush of adrenaline."/>
    <x v="159"/>
    <d v="2015-07-12T22:00:00"/>
    <x v="2"/>
    <s v=" #Suspense #CrimeSeriesThrills "/>
    <n v="35"/>
    <n v="70"/>
    <x v="7"/>
    <x v="8"/>
    <x v="9"/>
    <n v="12"/>
    <n v="22"/>
    <x v="27"/>
    <s v="Popular"/>
    <s v="Yes"/>
    <s v="Wide Reach"/>
    <x v="2"/>
    <s v="Other"/>
    <n v="2"/>
  </r>
  <r>
    <n v="544"/>
    <s v="FilmCriticSatisfactionSeeker"/>
    <s v="As the closing scene unfolds, a sense of satisfaction washes over, completing the cinematic journey with a profound and fulfilling ending."/>
    <x v="86"/>
    <d v="2020-09-10T19:45:00"/>
    <x v="0"/>
    <s v=" #Satisfaction #FulfillingEnding "/>
    <n v="22"/>
    <n v="45"/>
    <x v="6"/>
    <x v="13"/>
    <x v="8"/>
    <n v="10"/>
    <n v="19"/>
    <x v="9"/>
    <s v="Popular"/>
    <s v="No"/>
    <s v="Wide Reach"/>
    <x v="2"/>
    <s v="Other"/>
    <n v="2.0454545454545454"/>
  </r>
  <r>
    <n v="545"/>
    <s v="FootballFanWorldCupCelebration"/>
    <s v="Celebrating a historic victory in the World Cup, the nation erupts in joy, united by the triumph of their football team."/>
    <x v="8"/>
    <d v="2018-07-15T21:30:00"/>
    <x v="1"/>
    <s v=" #Joy #WorldCupTriumph "/>
    <n v="40"/>
    <n v="80"/>
    <x v="6"/>
    <x v="11"/>
    <x v="9"/>
    <n v="15"/>
    <n v="21"/>
    <x v="26"/>
    <s v="Popular"/>
    <s v="Yes"/>
    <s v="Wide Reach"/>
    <x v="2"/>
    <s v="Other"/>
    <n v="2"/>
  </r>
  <r>
    <n v="546"/>
    <s v="OlympicsEnthusiastGoldMedalWinner"/>
    <s v="At the Olympics, the athlete's perseverance shines through, earning a gold medal and inspiring a generation with their remarkable achievement."/>
    <x v="82"/>
    <d v="2020-08-08T19:45:00"/>
    <x v="0"/>
    <s v=" #Inspiration #OlympicAchievement "/>
    <n v="35"/>
    <n v="70"/>
    <x v="0"/>
    <x v="13"/>
    <x v="4"/>
    <n v="8"/>
    <n v="19"/>
    <x v="27"/>
    <s v="Popular"/>
    <s v="Yes"/>
    <s v="Wide Reach"/>
    <x v="2"/>
    <s v="North America"/>
    <n v="2"/>
  </r>
  <r>
    <n v="547"/>
    <s v="CricketFanChampionshipThrills"/>
    <s v="In the cricket championship, a nail-biting finish leaves fans on the edge of their seats, experiencing a rollercoaster of emotions."/>
    <x v="23"/>
    <d v="2019-06-25T22:15:00"/>
    <x v="2"/>
    <s v=" #Excitement #CricketChampionship "/>
    <n v="30"/>
    <n v="60"/>
    <x v="4"/>
    <x v="12"/>
    <x v="5"/>
    <n v="25"/>
    <n v="22"/>
    <x v="7"/>
    <s v="Popular"/>
    <s v="Yes"/>
    <s v="Wide Reach"/>
    <x v="2"/>
    <s v="Asia"/>
    <n v="2"/>
  </r>
  <r>
    <n v="548"/>
    <s v="MarathonSpectatorRecordBreaking"/>
    <s v="Witnessing a record-breaking marathon, spectators are filled with awe and admiration for the endurance and dedication of the runners."/>
    <x v="12"/>
    <d v="2021-11-07T17:30:00"/>
    <x v="1"/>
    <s v=" #Admiration #MarathonRecords "/>
    <n v="22"/>
    <n v="45"/>
    <x v="30"/>
    <x v="2"/>
    <x v="6"/>
    <n v="7"/>
    <n v="17"/>
    <x v="9"/>
    <s v="Popular"/>
    <s v="No"/>
    <s v="Wide Reach"/>
    <x v="0"/>
    <s v="Other"/>
    <n v="2.0454545454545454"/>
  </r>
  <r>
    <n v="549"/>
    <s v="TennisEnthusiastGrandSlamDrama"/>
    <s v="In the tennis grand slam, a fierce rivalry unfolds, captivating fans with a display of skill and sportsmanship on the world stage."/>
    <x v="144"/>
    <d v="2017-09-10T20:15:00"/>
    <x v="0"/>
    <s v=" #Captivation #TennisRivalry "/>
    <n v="28"/>
    <n v="55"/>
    <x v="2"/>
    <x v="10"/>
    <x v="8"/>
    <n v="10"/>
    <n v="20"/>
    <x v="11"/>
    <s v="Popular"/>
    <s v="Yes"/>
    <s v="Wide Reach"/>
    <x v="2"/>
    <s v="Europe"/>
    <n v="1.9642857142857142"/>
  </r>
  <r>
    <n v="550"/>
    <s v="BasketballFanUnderdogTriumph"/>
    <s v="Cheering for the underdog in the basketball finals, the crowd erupts in applause as the team defies odds to claim the championship title."/>
    <x v="160"/>
    <d v="2022-06-20T21:00:00"/>
    <x v="2"/>
    <s v=" #Triumph #BasketballFinals "/>
    <n v="18"/>
    <n v="35"/>
    <x v="0"/>
    <x v="4"/>
    <x v="5"/>
    <n v="20"/>
    <n v="21"/>
    <x v="8"/>
    <s v="Normal"/>
    <s v="No"/>
    <s v="Standard"/>
    <x v="2"/>
    <s v="North America"/>
    <n v="1.9444444444444444"/>
  </r>
  <r>
    <n v="551"/>
    <s v="GolfEnthusiastPrecisionVictory"/>
    <s v="At the golf tournament, the golfer's precision and focus lead to a stunning victory, leaving spectators in awe of their exceptional skill."/>
    <x v="14"/>
    <d v="2016-04-10T18:30:00"/>
    <x v="1"/>
    <s v=" #Awe #GolfVictory "/>
    <n v="22"/>
    <n v="45"/>
    <x v="31"/>
    <x v="9"/>
    <x v="7"/>
    <n v="10"/>
    <n v="18"/>
    <x v="9"/>
    <s v="Popular"/>
    <s v="No"/>
    <s v="Wide Reach"/>
    <x v="2"/>
    <s v="Other"/>
    <n v="2.0454545454545454"/>
  </r>
  <r>
    <n v="552"/>
    <s v="F1FanHighSpeedRaceExcitement"/>
    <s v="Experiencing the thrill of a high-speed Formula 1 race, fans are on the edge of their seats as drivers compete for the championship."/>
    <x v="79"/>
    <d v="2019-11-24T19:45:00"/>
    <x v="0"/>
    <s v=" #Thrill #Formula1Championship "/>
    <n v="28"/>
    <n v="55"/>
    <x v="9"/>
    <x v="12"/>
    <x v="6"/>
    <n v="24"/>
    <n v="19"/>
    <x v="11"/>
    <s v="Popular"/>
    <s v="Yes"/>
    <s v="Wide Reach"/>
    <x v="2"/>
    <s v="Other"/>
    <n v="1.9642857142857142"/>
  </r>
  <r>
    <n v="553"/>
    <s v="CyclingEnthusiastWorldChampion"/>
    <s v="In the cycling world championship, the climber conquers challenging terrains, symbolizing determination and achievement against all odds."/>
    <x v="58"/>
    <d v="2015-09-28T22:30:00"/>
    <x v="2"/>
    <s v=" #Determination #CyclingChampion "/>
    <n v="35"/>
    <n v="70"/>
    <x v="11"/>
    <x v="8"/>
    <x v="8"/>
    <n v="28"/>
    <n v="22"/>
    <x v="27"/>
    <s v="Popular"/>
    <s v="Yes"/>
    <s v="Wide Reach"/>
    <x v="2"/>
    <s v="Other"/>
    <n v="2"/>
  </r>
  <r>
    <n v="554"/>
    <s v="HockeyFanComebackVictory"/>
    <s v="Witnessing a heartwarming comeback in the hockey finals, fans share tears of joy as the team secures a historic victory after adversity."/>
    <x v="161"/>
    <d v="2020-12-12T20:00:00"/>
    <x v="1"/>
    <s v=" #Heartwarming #HockeyFinalsComeback "/>
    <n v="22"/>
    <n v="45"/>
    <x v="1"/>
    <x v="13"/>
    <x v="11"/>
    <n v="12"/>
    <n v="20"/>
    <x v="9"/>
    <s v="Popular"/>
    <s v="No"/>
    <s v="Wide Reach"/>
    <x v="2"/>
    <s v="North America"/>
    <n v="2.0454545454545454"/>
  </r>
  <r>
    <n v="555"/>
    <s v="SoccerFanTeamDefeats"/>
    <s v="After a series of defeats, the soccer team faces disappointment, struggling to find the silver lining in a challenging season."/>
    <x v="126"/>
    <d v="2019-11-02T18:45:00"/>
    <x v="0"/>
    <s v=" #Disappointment #SoccerDefeats "/>
    <n v="40"/>
    <n v="80"/>
    <x v="6"/>
    <x v="12"/>
    <x v="6"/>
    <n v="2"/>
    <n v="18"/>
    <x v="26"/>
    <s v="Popular"/>
    <s v="Yes"/>
    <s v="Wide Reach"/>
    <x v="2"/>
    <s v="Other"/>
    <n v="2"/>
  </r>
  <r>
    <n v="556"/>
    <s v="TennisEnthusiastUnexpectedSetback"/>
    <s v="In the tennis tournament, a highly anticipated player experiences a setback, leaving fans in shock and questioning the unforeseen turn of events."/>
    <x v="45"/>
    <d v="2018-07-10T21:15:00"/>
    <x v="1"/>
    <s v=" #Frustration #TennisSetback "/>
    <n v="35"/>
    <n v="70"/>
    <x v="0"/>
    <x v="11"/>
    <x v="9"/>
    <n v="10"/>
    <n v="21"/>
    <x v="27"/>
    <s v="Popular"/>
    <s v="Yes"/>
    <s v="Wide Reach"/>
    <x v="2"/>
    <s v="North America"/>
    <n v="2"/>
  </r>
  <r>
    <n v="557"/>
    <s v="BoxingFanChampionshipDefeat"/>
    <s v="Facing a defeat in the championship, the boxer reflects on the challenges, vowing to return stronger and more determined in the next bout."/>
    <x v="88"/>
    <d v="2020-09-18T19:30:00"/>
    <x v="2"/>
    <s v=" #Reflection #BoxingDefeat "/>
    <n v="30"/>
    <n v="60"/>
    <x v="2"/>
    <x v="13"/>
    <x v="8"/>
    <n v="18"/>
    <n v="19"/>
    <x v="7"/>
    <s v="Popular"/>
    <s v="Yes"/>
    <s v="Wide Reach"/>
    <x v="2"/>
    <s v="Europe"/>
    <n v="2"/>
  </r>
  <r>
    <n v="558"/>
    <s v="CyclingEnthusiastTireBlowout"/>
    <s v="In the midst of a cycling race, a tire blowout leads to frustration for the cyclist, who valiantly tries to overcome the unexpected obstacle."/>
    <x v="162"/>
    <d v="2017-05-15T22:00:00"/>
    <x v="0"/>
    <s v=" #Obstacle #CyclingFrustration "/>
    <n v="22"/>
    <n v="45"/>
    <x v="5"/>
    <x v="10"/>
    <x v="3"/>
    <n v="15"/>
    <n v="22"/>
    <x v="9"/>
    <s v="Popular"/>
    <s v="No"/>
    <s v="Wide Reach"/>
    <x v="2"/>
    <s v="Other"/>
    <n v="2.0454545454545454"/>
  </r>
  <r>
    <n v="559"/>
    <s v="GymnasticsFanRoutineFall"/>
    <s v="The gymnast's unexpected fall during a routine sparks a wave of sympathy from the audience, highlighting the vulnerability of sports."/>
    <x v="163"/>
    <d v="2021-04-05T20:15:00"/>
    <x v="1"/>
    <s v=" #Sympathy #GymnasticsFall "/>
    <n v="28"/>
    <n v="55"/>
    <x v="7"/>
    <x v="2"/>
    <x v="7"/>
    <n v="5"/>
    <n v="20"/>
    <x v="11"/>
    <s v="Popular"/>
    <s v="Yes"/>
    <s v="Wide Reach"/>
    <x v="2"/>
    <s v="Other"/>
    <n v="1.9642857142857142"/>
  </r>
  <r>
    <n v="560"/>
    <s v="GolfEnthusiastMissedPutt"/>
    <s v="In the golf tournament, a missed crucial putt results in defeat, causing the golfer to reflect on the pressure of high-stakes competition."/>
    <x v="164"/>
    <d v="2016-08-20T18:30:00"/>
    <x v="2"/>
    <s v=" #Pressure #GolfDefeat "/>
    <n v="18"/>
    <n v="35"/>
    <x v="0"/>
    <x v="9"/>
    <x v="4"/>
    <n v="20"/>
    <n v="18"/>
    <x v="8"/>
    <s v="Normal"/>
    <s v="No"/>
    <s v="Standard"/>
    <x v="2"/>
    <s v="North America"/>
    <n v="1.9444444444444444"/>
  </r>
  <r>
    <n v="561"/>
    <s v="BasketballFanTeamLosses"/>
    <s v="Experiencing a series of losses in the basketball season, the team grapples with frustration, determined to turn the tide with renewed effort."/>
    <x v="165"/>
    <d v="2019-02-12T19:45:00"/>
    <x v="0"/>
    <s v=" #RenewedEffort #BasketballStruggles "/>
    <n v="22"/>
    <n v="45"/>
    <x v="1"/>
    <x v="12"/>
    <x v="1"/>
    <n v="12"/>
    <n v="19"/>
    <x v="9"/>
    <s v="Popular"/>
    <s v="No"/>
    <s v="Wide Reach"/>
    <x v="2"/>
    <s v="North America"/>
    <n v="2.0454545454545454"/>
  </r>
  <r>
    <n v="562"/>
    <s v="SwimmingEnthusiastRaceSetback"/>
    <s v="Despite meticulous training, the swimmer faces disappointment as a split-second miscalculation costs them the lead in a crucial race."/>
    <x v="166"/>
    <d v="2015-06-28T20:00:00"/>
    <x v="1"/>
    <s v=" #Miscalculation #SwimmingDisappointment "/>
    <n v="28"/>
    <n v="55"/>
    <x v="3"/>
    <x v="8"/>
    <x v="5"/>
    <n v="28"/>
    <n v="20"/>
    <x v="11"/>
    <s v="Popular"/>
    <s v="Yes"/>
    <s v="Wide Reach"/>
    <x v="2"/>
    <s v="Oceania"/>
    <n v="1.9642857142857142"/>
  </r>
  <r>
    <n v="563"/>
    <s v="WeightliftingFanFailedRecord"/>
    <s v="The weightlifter's failed attempt at a personal record results in frustration, highlighting the challenging nature of pushing physical limits."/>
    <x v="167"/>
    <d v="2022-01-08T21:30:00"/>
    <x v="2"/>
    <s v=" #Challenge #WeightliftingFailure "/>
    <n v="35"/>
    <n v="70"/>
    <x v="9"/>
    <x v="4"/>
    <x v="0"/>
    <n v="8"/>
    <n v="21"/>
    <x v="27"/>
    <s v="Popular"/>
    <s v="Yes"/>
    <s v="Wide Reach"/>
    <x v="2"/>
    <s v="Other"/>
    <n v="2"/>
  </r>
  <r>
    <n v="564"/>
    <s v="SoccerPlayerOwnGoalMoment"/>
    <s v="In the midst of a soccer match, an unexpected own goal creates a moment of despair for the player, as teammates console and encourage them."/>
    <x v="40"/>
    <d v="2018-12-15T20:15:00"/>
    <x v="0"/>
    <s v=" #Despair #OwnGoal "/>
    <n v="22"/>
    <n v="45"/>
    <x v="14"/>
    <x v="11"/>
    <x v="11"/>
    <n v="15"/>
    <n v="20"/>
    <x v="9"/>
    <s v="Popular"/>
    <s v="No"/>
    <s v="Wide Reach"/>
    <x v="2"/>
    <s v="Other"/>
    <n v="2.0454545454545454"/>
  </r>
  <r>
    <n v="565"/>
    <s v="NatureEnthusiastSunsetWonder"/>
    <s v="In the serene beauty of a sunset, nature unfolds a canvas of colors, evoking a sense of tranquility and wonder."/>
    <x v="145"/>
    <d v="2021-07-10T19:00:00"/>
    <x v="1"/>
    <s v=" #Tranquility #SunsetBeauty "/>
    <n v="40"/>
    <n v="80"/>
    <x v="1"/>
    <x v="2"/>
    <x v="9"/>
    <n v="10"/>
    <n v="19"/>
    <x v="26"/>
    <s v="Popular"/>
    <s v="Yes"/>
    <s v="Wide Reach"/>
    <x v="2"/>
    <s v="North America"/>
    <n v="2"/>
  </r>
  <r>
    <n v="566"/>
    <s v="TravelEnthusiastRoadTripDiscovery"/>
    <s v="Embarking on a spontaneous road trip, the traveler discovers hidden gems, creating memories that will be cherished for a lifetime."/>
    <x v="108"/>
    <d v="2019-09-28T20:30:00"/>
    <x v="0"/>
    <s v=" #Adventure #RoadTripMemories "/>
    <n v="35"/>
    <n v="70"/>
    <x v="0"/>
    <x v="12"/>
    <x v="8"/>
    <n v="28"/>
    <n v="20"/>
    <x v="27"/>
    <s v="Popular"/>
    <s v="Yes"/>
    <s v="Wide Reach"/>
    <x v="2"/>
    <s v="North America"/>
    <n v="2"/>
  </r>
  <r>
    <n v="567"/>
    <s v="UrbanExplorerCafeSolitude"/>
    <s v="Amidst the bustling city, a quiet cafÃ© becomes a sanctuary for reflection, where a cup of coffee brings solace to the wandering mind."/>
    <x v="168"/>
    <d v="2022-03-15T18:45:00"/>
    <x v="2"/>
    <s v=" #Solace #CafeReflection "/>
    <n v="30"/>
    <n v="60"/>
    <x v="5"/>
    <x v="4"/>
    <x v="2"/>
    <n v="15"/>
    <n v="18"/>
    <x v="7"/>
    <s v="Popular"/>
    <s v="Yes"/>
    <s v="Wide Reach"/>
    <x v="2"/>
    <s v="Other"/>
    <n v="2"/>
  </r>
  <r>
    <n v="568"/>
    <s v="ArtEnthusiastStreetArtExploration"/>
    <s v="Exploring the vibrant street art of a cultural neighborhood, each mural tells a story, infusing the city with creativity and expression."/>
    <x v="103"/>
    <d v="2017-11-05T21:15:00"/>
    <x v="1"/>
    <s v=" #Creativity #StreetArtVibes "/>
    <n v="22"/>
    <n v="45"/>
    <x v="6"/>
    <x v="10"/>
    <x v="6"/>
    <n v="5"/>
    <n v="21"/>
    <x v="9"/>
    <s v="Popular"/>
    <s v="No"/>
    <s v="Wide Reach"/>
    <x v="2"/>
    <s v="Other"/>
    <n v="2.0454545454545454"/>
  </r>
  <r>
    <n v="569"/>
    <s v="ScienceEnthusiastDiscoveryMoment"/>
    <s v="In the world of science, a breakthrough discovery unfolds, pushing the boundaries of knowledge and opening new frontiers of exploration."/>
    <x v="169"/>
    <d v="2020-05-20T16:30:00"/>
    <x v="0"/>
    <s v=" #Breakthrough #ScientificDiscovery "/>
    <n v="28"/>
    <n v="55"/>
    <x v="9"/>
    <x v="13"/>
    <x v="3"/>
    <n v="20"/>
    <n v="16"/>
    <x v="11"/>
    <s v="Popular"/>
    <s v="Yes"/>
    <s v="Wide Reach"/>
    <x v="0"/>
    <s v="Other"/>
    <n v="1.9642857142857142"/>
  </r>
  <r>
    <n v="570"/>
    <s v="MusicLoverLiveOrchestraExperience"/>
    <s v="Connecting with the melody of a live orchestra, the music enthusiast experiences a symphony that resonates deep within the soul."/>
    <x v="102"/>
    <d v="2016-08-22T19:45:00"/>
    <x v="2"/>
    <s v=" #Harmony #OrchestraMelody "/>
    <n v="18"/>
    <n v="35"/>
    <x v="2"/>
    <x v="9"/>
    <x v="4"/>
    <n v="22"/>
    <n v="19"/>
    <x v="8"/>
    <s v="Normal"/>
    <s v="No"/>
    <s v="Standard"/>
    <x v="2"/>
    <s v="Europe"/>
    <n v="1.9444444444444444"/>
  </r>
  <r>
    <n v="571"/>
    <s v="HomeBakerDeliciousMemories"/>
    <s v="Embracing the aroma of freshly baked bread, the home chef finds joy in the art of baking, creating delicious memories for loved ones."/>
    <x v="170"/>
    <d v="2023-04-10T17:15:00"/>
    <x v="1"/>
    <s v=" #JoyInBaking #HomemadeDelights "/>
    <n v="22"/>
    <n v="45"/>
    <x v="4"/>
    <x v="0"/>
    <x v="7"/>
    <n v="10"/>
    <n v="17"/>
    <x v="9"/>
    <s v="Popular"/>
    <s v="No"/>
    <s v="Wide Reach"/>
    <x v="0"/>
    <s v="Asia"/>
    <n v="2.0454545454545454"/>
  </r>
  <r>
    <n v="572"/>
    <s v="HistoryBuffMuseumExploration"/>
    <s v="Wandering through a historical museum, the history enthusiast becomes immersed in the tales of the past, envisioning bygone eras."/>
    <x v="171"/>
    <d v="2015-12-18T18:00:00"/>
    <x v="0"/>
    <s v=" #EnvisioningHistory #MuseumTales "/>
    <n v="28"/>
    <n v="55"/>
    <x v="11"/>
    <x v="8"/>
    <x v="11"/>
    <n v="18"/>
    <n v="18"/>
    <x v="11"/>
    <s v="Popular"/>
    <s v="Yes"/>
    <s v="Wide Reach"/>
    <x v="2"/>
    <s v="Other"/>
    <n v="1.9642857142857142"/>
  </r>
  <r>
    <n v="573"/>
    <s v="BookwormCaptivatingNovelEscape"/>
    <s v="In the realm of literature, a captivating novel transports the reader to distant lands, weaving a tapestry of imagination and escape."/>
    <x v="172"/>
    <d v="2021-10-08T20:30:00"/>
    <x v="2"/>
    <s v=" #Imagination #LiteraryEscape "/>
    <n v="35"/>
    <n v="70"/>
    <x v="7"/>
    <x v="2"/>
    <x v="10"/>
    <n v="8"/>
    <n v="20"/>
    <x v="27"/>
    <s v="Popular"/>
    <s v="Yes"/>
    <s v="Wide Reach"/>
    <x v="2"/>
    <s v="Other"/>
    <n v="2"/>
  </r>
  <r>
    <n v="574"/>
    <s v="PhotographyEnthusiastMarketMoments"/>
    <s v="Capturing the essence of a bustling market, the photographer freezes moments in time, each frame telling a unique and vibrant story."/>
    <x v="173"/>
    <d v="2019-03-22T21:45:00"/>
    <x v="1"/>
    <s v=" #Vibrancy #MarketStories "/>
    <n v="22"/>
    <n v="45"/>
    <x v="3"/>
    <x v="12"/>
    <x v="2"/>
    <n v="22"/>
    <n v="21"/>
    <x v="9"/>
    <s v="Popular"/>
    <s v="No"/>
    <s v="Wide Reach"/>
    <x v="2"/>
    <s v="Oceania"/>
    <n v="2.0454545454545454"/>
  </r>
  <r>
    <n v="575"/>
    <s v="DanceEnthusiastCityNightPerformance"/>
    <s v="Underneath the city lights, the dancer expresses emotions through graceful movements, creating a mesmerizing performance under the night sky."/>
    <x v="174"/>
    <d v="2018-06-15T22:00:00"/>
    <x v="0"/>
    <s v=" #Mesmerizing #NightDancePerformance "/>
    <n v="40"/>
    <n v="80"/>
    <x v="0"/>
    <x v="11"/>
    <x v="5"/>
    <n v="15"/>
    <n v="22"/>
    <x v="26"/>
    <s v="Popular"/>
    <s v="Yes"/>
    <s v="Wide Reach"/>
    <x v="2"/>
    <s v="North America"/>
    <n v="2"/>
  </r>
  <r>
    <n v="576"/>
    <s v="FoodieMarketStreetFoodExploration"/>
    <s v="In the heart of a bustling market, the street food connoisseur indulges in a culinary adventure, savoring diverse flavors and aromas."/>
    <x v="175"/>
    <d v="2019-08-28T19:30:00"/>
    <x v="1"/>
    <s v=" #CulinaryAdventure #StreetFoodDelights "/>
    <n v="35"/>
    <n v="70"/>
    <x v="32"/>
    <x v="12"/>
    <x v="4"/>
    <n v="28"/>
    <n v="19"/>
    <x v="27"/>
    <s v="Popular"/>
    <s v="Yes"/>
    <s v="Wide Reach"/>
    <x v="2"/>
    <s v="Other"/>
    <n v="2"/>
  </r>
  <r>
    <n v="577"/>
    <s v="SnowLoverWinterEnthusiast"/>
    <s v="As the first snowflake descends, the winter enthusiast eagerly prepares for a season of frosty delights, anticipating the magic of snow-covered landscapes."/>
    <x v="176"/>
    <d v="2022-12-01T17:45:00"/>
    <x v="2"/>
    <s v=" #WinterMagic #SnowyLandscapes "/>
    <n v="30"/>
    <n v="60"/>
    <x v="1"/>
    <x v="4"/>
    <x v="11"/>
    <n v="1"/>
    <n v="17"/>
    <x v="7"/>
    <s v="Popular"/>
    <s v="Yes"/>
    <s v="Wide Reach"/>
    <x v="0"/>
    <s v="North America"/>
    <n v="2"/>
  </r>
  <r>
    <n v="578"/>
    <s v="MysteryBookwormSuspensefulRead"/>
    <s v="Amidst the pages of a captivating mystery novel, the reader unravels clues and secrets, experiencing a thrilling journey of suspense and revelation."/>
    <x v="177"/>
    <d v="2017-04-10T21:15:00"/>
    <x v="0"/>
    <s v=" #ThrillingJourney #MysteryNovel "/>
    <n v="22"/>
    <n v="45"/>
    <x v="2"/>
    <x v="10"/>
    <x v="7"/>
    <n v="10"/>
    <n v="21"/>
    <x v="9"/>
    <s v="Popular"/>
    <s v="No"/>
    <s v="Wide Reach"/>
    <x v="2"/>
    <s v="Europe"/>
    <n v="2.0454545454545454"/>
  </r>
  <r>
    <n v="579"/>
    <s v="GardeningEnthusiastFlowerGarden"/>
    <s v="Surrounded by the vibrant colors of a flower garden, the gardener nurtures blossoms, finding joy in the beauty of nature's ever-changing canvas."/>
    <x v="178"/>
    <d v="2020-05-15T18:30:00"/>
    <x v="1"/>
    <s v=" #NaturesBeauty #FloralJoy "/>
    <n v="28"/>
    <n v="55"/>
    <x v="3"/>
    <x v="13"/>
    <x v="3"/>
    <n v="15"/>
    <n v="18"/>
    <x v="11"/>
    <s v="Popular"/>
    <s v="Yes"/>
    <s v="Wide Reach"/>
    <x v="2"/>
    <s v="Oceania"/>
    <n v="1.9642857142857142"/>
  </r>
  <r>
    <n v="580"/>
    <s v="AstronomyEnthusiastStargazing"/>
    <s v="At the astronomy observatory, the stargazer marvels at the vastness of the cosmos, contemplating the mysteries hidden within the celestial expanse."/>
    <x v="179"/>
    <d v="2016-09-22T20:00:00"/>
    <x v="2"/>
    <s v=" #CelestialWonder #Stargazing "/>
    <n v="18"/>
    <n v="35"/>
    <x v="0"/>
    <x v="9"/>
    <x v="8"/>
    <n v="22"/>
    <n v="20"/>
    <x v="8"/>
    <s v="Normal"/>
    <s v="No"/>
    <s v="Standard"/>
    <x v="2"/>
    <s v="North America"/>
    <n v="1.9444444444444444"/>
  </r>
  <r>
    <n v="581"/>
    <s v="CoffeeLoverWritersRetreat"/>
    <s v="Engulfed in the aroma of freshly brewed coffee, the writer finds inspiration in every sip, embarking on a journey of creativity and prose."/>
    <x v="180"/>
    <d v="2023-02-12T19:45:00"/>
    <x v="0"/>
    <s v=" #CreativeInspiration #CoffeeJourney "/>
    <n v="22"/>
    <n v="45"/>
    <x v="5"/>
    <x v="0"/>
    <x v="1"/>
    <n v="12"/>
    <n v="19"/>
    <x v="9"/>
    <s v="Popular"/>
    <s v="No"/>
    <s v="Wide Reach"/>
    <x v="2"/>
    <s v="Other"/>
    <n v="2.0454545454545454"/>
  </r>
  <r>
    <n v="582"/>
    <s v="FashionEnthusiastDesignerShowcase"/>
    <s v="In the realm of fashion, the designer unveils a collection that tells a story, blending innovation and tradition on the runway of creativity."/>
    <x v="181"/>
    <d v="2015-11-10T21:00:00"/>
    <x v="1"/>
    <s v=" #RunwayCreativity #FashionInnovation "/>
    <n v="28"/>
    <n v="55"/>
    <x v="11"/>
    <x v="8"/>
    <x v="6"/>
    <n v="10"/>
    <n v="21"/>
    <x v="11"/>
    <s v="Popular"/>
    <s v="Yes"/>
    <s v="Wide Reach"/>
    <x v="2"/>
    <s v="Other"/>
    <n v="1.9642857142857142"/>
  </r>
  <r>
    <n v="583"/>
    <s v="SurfingEnthusiastWaveRider"/>
    <s v="As the waves crash against the shore, the surfer embraces the thrill of riding the ocean's energy, capturing the essence of freedom in each wave."/>
    <x v="182"/>
    <d v="2021-07-20T18:15:00"/>
    <x v="2"/>
    <s v=" #OceansFreedom #SurfingThrills "/>
    <n v="22"/>
    <n v="45"/>
    <x v="6"/>
    <x v="2"/>
    <x v="9"/>
    <n v="20"/>
    <n v="18"/>
    <x v="9"/>
    <s v="Popular"/>
    <s v="No"/>
    <s v="Wide Reach"/>
    <x v="2"/>
    <s v="Other"/>
    <n v="2.0454545454545454"/>
  </r>
  <r>
    <n v="584"/>
    <s v="HistoryExplorerAncientCityTour"/>
    <s v="Exploring the historical architecture of an ancient city, the traveler is transported to a bygone era, where each monument whispers tales of the past."/>
    <x v="183"/>
    <d v="2019-04-18T20:30:00"/>
    <x v="0"/>
    <s v=" #WhispersOfThePast #HistoricalTour "/>
    <n v="35"/>
    <n v="70"/>
    <x v="8"/>
    <x v="12"/>
    <x v="7"/>
    <n v="18"/>
    <n v="20"/>
    <x v="27"/>
    <s v="Popular"/>
    <s v="Yes"/>
    <s v="Wide Reach"/>
    <x v="2"/>
    <s v="Other"/>
    <n v="2"/>
  </r>
  <r>
    <n v="585"/>
    <s v="CrushAvoider"/>
    <s v="Successfully avoided eye contact with my crush in the hallway. Mission accomplished. #TeenCrush #StealthMode"/>
    <x v="23"/>
    <d v="2023-05-20T19:45:00"/>
    <x v="0"/>
    <s v=" #CrushStruggles #AvoidingEyeContact "/>
    <n v="15"/>
    <n v="30"/>
    <x v="0"/>
    <x v="0"/>
    <x v="3"/>
    <n v="20"/>
    <n v="19"/>
    <x v="0"/>
    <s v="Normal"/>
    <s v="No"/>
    <s v="Standard"/>
    <x v="2"/>
    <s v="North America"/>
    <n v="2"/>
  </r>
  <r>
    <n v="586"/>
    <s v="MovieBuff"/>
    <s v="Ran out of snacks during a movie marathon. Crisis level: Emergency! #MovieNightStruggles #TeenProblems"/>
    <x v="46"/>
    <d v="2023-05-21T21:00:00"/>
    <x v="1"/>
    <s v=" #SnackCrisis #TeenLife "/>
    <n v="18"/>
    <n v="35"/>
    <x v="1"/>
    <x v="0"/>
    <x v="3"/>
    <n v="21"/>
    <n v="21"/>
    <x v="8"/>
    <s v="Normal"/>
    <s v="No"/>
    <s v="Standard"/>
    <x v="2"/>
    <s v="North America"/>
    <n v="1.9444444444444444"/>
  </r>
  <r>
    <n v="587"/>
    <s v="SelfieAddict"/>
    <s v="Spent an hour choosing the perfect filter for a selfie. The struggle for that Instagram aesthetic is real. #SelfieQueen #TeenVibes"/>
    <x v="8"/>
    <d v="2023-05-22T14:30:00"/>
    <x v="2"/>
    <s v=" #SelfieStruggle #TeenConfessions "/>
    <n v="22"/>
    <n v="45"/>
    <x v="2"/>
    <x v="0"/>
    <x v="3"/>
    <n v="22"/>
    <n v="14"/>
    <x v="9"/>
    <s v="Popular"/>
    <s v="No"/>
    <s v="Wide Reach"/>
    <x v="0"/>
    <s v="Europe"/>
    <n v="2.0454545454545454"/>
  </r>
  <r>
    <n v="588"/>
    <s v="AudioExplorer"/>
    <s v="Lost my headphones again. How do they vanish into thin air? #HeadphoneMystery #TeenLife"/>
    <x v="45"/>
    <d v="2023-05-23T16:45:00"/>
    <x v="0"/>
    <s v=" #TeenProblems #LostHeadphones "/>
    <n v="20"/>
    <n v="40"/>
    <x v="0"/>
    <x v="0"/>
    <x v="3"/>
    <n v="23"/>
    <n v="16"/>
    <x v="2"/>
    <s v="Normal"/>
    <s v="No"/>
    <s v="Standard"/>
    <x v="0"/>
    <s v="North America"/>
    <n v="2"/>
  </r>
  <r>
    <n v="589"/>
    <s v="MemeCreator"/>
    <s v="Decided to study for exams but ended up making memes about studying instead. Procrastination level: Expert. #ProcrastinationNation #TeenConfessions"/>
    <x v="16"/>
    <d v="2023-05-24T13:15:00"/>
    <x v="1"/>
    <s v=" #StudyingMemes #TeenLife "/>
    <n v="25"/>
    <n v="50"/>
    <x v="1"/>
    <x v="0"/>
    <x v="3"/>
    <n v="24"/>
    <n v="13"/>
    <x v="5"/>
    <s v="Popular"/>
    <s v="No"/>
    <s v="Wide Reach"/>
    <x v="0"/>
    <s v="North America"/>
    <n v="2"/>
  </r>
  <r>
    <n v="590"/>
    <s v="FashionBlunder"/>
    <s v="Got dressed for the day, then remembered it's Saturday. Oops. #WeekendVibes #TeenStruggles"/>
    <x v="53"/>
    <d v="2023-05-25T19:00:00"/>
    <x v="2"/>
    <s v=" #WeekendOops #TeenFashion "/>
    <n v="20"/>
    <n v="40"/>
    <x v="0"/>
    <x v="0"/>
    <x v="3"/>
    <n v="25"/>
    <n v="19"/>
    <x v="2"/>
    <s v="Normal"/>
    <s v="No"/>
    <s v="Standard"/>
    <x v="2"/>
    <s v="North America"/>
    <n v="2"/>
  </r>
  <r>
    <n v="591"/>
    <s v="GroupGenius"/>
    <s v="Survived a group project without any drama. Miracles do happen. #GroupProjectSuccess #TeenAchievements"/>
    <x v="86"/>
    <d v="2023-05-26T14:20:00"/>
    <x v="0"/>
    <s v=" #TeenSuccess #ProjectMiracle "/>
    <n v="28"/>
    <n v="55"/>
    <x v="2"/>
    <x v="0"/>
    <x v="3"/>
    <n v="26"/>
    <n v="14"/>
    <x v="11"/>
    <s v="Popular"/>
    <s v="Yes"/>
    <s v="Wide Reach"/>
    <x v="0"/>
    <s v="Europe"/>
    <n v="1.9642857142857142"/>
  </r>
  <r>
    <n v="592"/>
    <s v="ChipExplorer"/>
    <s v="Entered the kitchen with the intention to cook. Left with a bag of chips. Cooking is overrated, anyway. #MasterChefInTraining #TeenHumor"/>
    <x v="6"/>
    <d v="2023-05-27T21:15:00"/>
    <x v="1"/>
    <s v=" #TeenChef #CookingFail "/>
    <n v="22"/>
    <n v="45"/>
    <x v="1"/>
    <x v="0"/>
    <x v="3"/>
    <n v="27"/>
    <n v="21"/>
    <x v="9"/>
    <s v="Popular"/>
    <s v="No"/>
    <s v="Wide Reach"/>
    <x v="2"/>
    <s v="North America"/>
    <n v="2.0454545454545454"/>
  </r>
  <r>
    <n v="593"/>
    <s v="ExcitementSeeker"/>
    <s v="Staring at the clock in class, waiting for the bell to ring like it's the most exciting event of the day. #ClassCountdown #TeenLife"/>
    <x v="16"/>
    <d v="2023-05-28T12:00:00"/>
    <x v="2"/>
    <s v=" #ClassEvent #TeenExcitement "/>
    <n v="18"/>
    <n v="35"/>
    <x v="0"/>
    <x v="0"/>
    <x v="3"/>
    <n v="28"/>
    <n v="12"/>
    <x v="8"/>
    <s v="Normal"/>
    <s v="No"/>
    <s v="Standard"/>
    <x v="0"/>
    <s v="North America"/>
    <n v="1.9444444444444444"/>
  </r>
  <r>
    <n v="594"/>
    <s v="NightReader"/>
    <s v="Discovered a new book series and spent the whole night reading. Who needs sleep, anyway? #BookwormLife #LateNightReading"/>
    <x v="8"/>
    <d v="2023-05-29T23:30:00"/>
    <x v="0"/>
    <s v=" #BookDiscoveries #TeenReading "/>
    <n v="30"/>
    <n v="60"/>
    <x v="2"/>
    <x v="0"/>
    <x v="3"/>
    <n v="29"/>
    <n v="23"/>
    <x v="7"/>
    <s v="Popular"/>
    <s v="Yes"/>
    <s v="Wide Reach"/>
    <x v="2"/>
    <s v="Europe"/>
    <n v="2"/>
  </r>
  <r>
    <n v="595"/>
    <s v="GamingEnthusiast"/>
    <s v="Bought a new video game, played for hours, forgot to eat. The ultimate gaming session. #GamerLife #NoFoodGaming"/>
    <x v="23"/>
    <d v="2023-05-30T20:45:00"/>
    <x v="1"/>
    <s v=" #GameOn #TeenGamer "/>
    <n v="22"/>
    <n v="45"/>
    <x v="0"/>
    <x v="0"/>
    <x v="3"/>
    <n v="30"/>
    <n v="20"/>
    <x v="9"/>
    <s v="Popular"/>
    <s v="No"/>
    <s v="Wide Reach"/>
    <x v="2"/>
    <s v="North America"/>
    <n v="2.0454545454545454"/>
  </r>
  <r>
    <n v="596"/>
    <s v="LazyWatcher"/>
    <s v="Spent the day binge-watching a new series. Productivity level: Zero. #LazyDay #TVSeriesMarathon"/>
    <x v="8"/>
    <d v="2023-05-31T15:30:00"/>
    <x v="2"/>
    <s v=" #BingeWatchDay #TeenLife "/>
    <n v="35"/>
    <n v="70"/>
    <x v="1"/>
    <x v="0"/>
    <x v="3"/>
    <n v="31"/>
    <n v="15"/>
    <x v="27"/>
    <s v="Popular"/>
    <s v="Yes"/>
    <s v="Wide Reach"/>
    <x v="0"/>
    <s v="North America"/>
    <n v="2"/>
  </r>
  <r>
    <n v="597"/>
    <s v="TrendExplorer"/>
    <s v="Caught up on the latest fashion trends and now planning a shopping spree. #Fashionista #TrendyTeen"/>
    <x v="23"/>
    <d v="2023-06-01T18:00:00"/>
    <x v="0"/>
    <s v=" #FashionGoals #TeenStyle "/>
    <n v="20"/>
    <n v="40"/>
    <x v="0"/>
    <x v="0"/>
    <x v="5"/>
    <n v="1"/>
    <n v="18"/>
    <x v="2"/>
    <s v="Normal"/>
    <s v="No"/>
    <s v="Standard"/>
    <x v="2"/>
    <s v="North America"/>
    <n v="2"/>
  </r>
  <r>
    <n v="598"/>
    <s v="MusicalExplorer"/>
    <s v="Decided to learn a new instrument. Day one: Still trying to figure out how to hold it. #MusicNovice #LearningJourney"/>
    <x v="45"/>
    <d v="2023-06-02T14:30:00"/>
    <x v="1"/>
    <s v=" #InstrumentLearning #TeenMusic "/>
    <n v="28"/>
    <n v="55"/>
    <x v="2"/>
    <x v="0"/>
    <x v="5"/>
    <n v="2"/>
    <n v="14"/>
    <x v="11"/>
    <s v="Popular"/>
    <s v="Yes"/>
    <s v="Wide Reach"/>
    <x v="0"/>
    <s v="Europe"/>
    <n v="1.9642857142857142"/>
  </r>
  <r>
    <n v="599"/>
    <s v="MusicAficionado"/>
    <s v="Spent hours creating the perfect playlist for every mood. Music is my therapy. #PlaylistMaker #TeenMusicLover"/>
    <x v="8"/>
    <d v="2023-06-03T21:15:00"/>
    <x v="2"/>
    <s v=" #MusicTherapy #TeenPlaylist "/>
    <n v="22"/>
    <n v="45"/>
    <x v="1"/>
    <x v="0"/>
    <x v="5"/>
    <n v="3"/>
    <n v="21"/>
    <x v="9"/>
    <s v="Popular"/>
    <s v="No"/>
    <s v="Wide Reach"/>
    <x v="2"/>
    <s v="North America"/>
    <n v="2.0454545454545454"/>
  </r>
  <r>
    <n v="600"/>
    <s v="HomeChef"/>
    <s v="Successfully cooked a gourmet meal for the family. Chef skills unlocked! #ChefMode #TeenChef"/>
    <x v="25"/>
    <d v="2023-06-04T19:30:00"/>
    <x v="0"/>
    <s v=" #CookingSuccess #TeenCook "/>
    <n v="25"/>
    <n v="50"/>
    <x v="0"/>
    <x v="0"/>
    <x v="5"/>
    <n v="4"/>
    <n v="19"/>
    <x v="5"/>
    <s v="Popular"/>
    <s v="No"/>
    <s v="Wide Reach"/>
    <x v="2"/>
    <s v="North America"/>
    <n v="2"/>
  </r>
  <r>
    <n v="601"/>
    <s v="AdventureSeeker"/>
    <s v="Spontaneously booked a weekend getaway. Adventure awaits! #TravelBug #WeekendEscape"/>
    <x v="23"/>
    <d v="2023-06-05T10:00:00"/>
    <x v="1"/>
    <s v=" #GetawayGoals #TeenTravel "/>
    <n v="18"/>
    <n v="35"/>
    <x v="2"/>
    <x v="0"/>
    <x v="5"/>
    <n v="5"/>
    <n v="10"/>
    <x v="8"/>
    <s v="Normal"/>
    <s v="No"/>
    <s v="Standard"/>
    <x v="1"/>
    <s v="Europe"/>
    <n v="1.9444444444444444"/>
  </r>
  <r>
    <n v="602"/>
    <s v="DanceEnthusiast"/>
    <s v="Attended a concert and danced the night away. Music is the heartbeat of life. #ConcertVibes #DanceAllNight"/>
    <x v="8"/>
    <d v="2023-06-06T22:30:00"/>
    <x v="2"/>
    <s v=" #MusicMagic #TeenConcert "/>
    <n v="28"/>
    <n v="55"/>
    <x v="1"/>
    <x v="0"/>
    <x v="5"/>
    <n v="6"/>
    <n v="22"/>
    <x v="11"/>
    <s v="Popular"/>
    <s v="Yes"/>
    <s v="Wide Reach"/>
    <x v="2"/>
    <s v="North America"/>
    <n v="1.9642857142857142"/>
  </r>
  <r>
    <n v="603"/>
    <s v="NostalgiaExplorer"/>
    <s v="Rediscovered childhood cartoons and had a nostalgia-filled marathon. #CartoonNostalgia #TeenMemories"/>
    <x v="8"/>
    <d v="2023-06-07T12:45:00"/>
    <x v="0"/>
    <s v=" #ChildhoodMemories #TeenCartoons "/>
    <n v="22"/>
    <n v="45"/>
    <x v="0"/>
    <x v="0"/>
    <x v="5"/>
    <n v="7"/>
    <n v="12"/>
    <x v="9"/>
    <s v="Popular"/>
    <s v="No"/>
    <s v="Wide Reach"/>
    <x v="0"/>
    <s v="North America"/>
    <n v="2.0454545454545454"/>
  </r>
  <r>
    <n v="604"/>
    <s v="HomeDecorator"/>
    <s v="Embarked on a DIY home decor project. Let's hope it turns out better than last time. #DIYAdventure #TeenHomeDecor"/>
    <x v="23"/>
    <d v="2023-06-08T16:00:00"/>
    <x v="1"/>
    <s v=" #DIYGoals #TeenCreative "/>
    <n v="35"/>
    <n v="70"/>
    <x v="2"/>
    <x v="0"/>
    <x v="5"/>
    <n v="8"/>
    <n v="16"/>
    <x v="27"/>
    <s v="Popular"/>
    <s v="Yes"/>
    <s v="Wide Reach"/>
    <x v="0"/>
    <s v="Europe"/>
    <n v="2"/>
  </r>
  <r>
    <n v="605"/>
    <s v="ArtExplorer"/>
    <s v="Spent the afternoon at a museum, pretending to be cultured. Art enthusiast in the making. #MuseumDay #TeenArtLover"/>
    <x v="52"/>
    <d v="2023-06-09T14:00:00"/>
    <x v="2"/>
    <s v=" #CulturalDay #TeenCuriosity "/>
    <n v="20"/>
    <n v="40"/>
    <x v="0"/>
    <x v="0"/>
    <x v="5"/>
    <n v="9"/>
    <n v="14"/>
    <x v="2"/>
    <s v="Normal"/>
    <s v="No"/>
    <s v="Standard"/>
    <x v="0"/>
    <s v="North America"/>
    <n v="2"/>
  </r>
  <r>
    <n v="606"/>
    <s v="ThoughtfulBlogger"/>
    <s v="Started a blog about random thoughts and musings. Blogging is the new diary. #BloggerLife #TeenBlogger"/>
    <x v="52"/>
    <d v="2023-06-10T17:30:00"/>
    <x v="0"/>
    <s v=" #BloggingJourney #TeenThoughts "/>
    <n v="30"/>
    <n v="60"/>
    <x v="1"/>
    <x v="0"/>
    <x v="5"/>
    <n v="10"/>
    <n v="17"/>
    <x v="7"/>
    <s v="Popular"/>
    <s v="Yes"/>
    <s v="Wide Reach"/>
    <x v="0"/>
    <s v="North America"/>
    <n v="2"/>
  </r>
  <r>
    <n v="607"/>
    <s v="NovelEnthusiast"/>
    <s v="Relishing a peaceful afternoon with a classic novel. Quiet moments are the best moments. #BookLover #PeacefulAfternoon"/>
    <x v="29"/>
    <d v="2023-06-11T15:30:00"/>
    <x v="1"/>
    <s v=" #QuietMoments #BookishEscape "/>
    <n v="35"/>
    <n v="70"/>
    <x v="0"/>
    <x v="0"/>
    <x v="5"/>
    <n v="11"/>
    <n v="15"/>
    <x v="27"/>
    <s v="Popular"/>
    <s v="Yes"/>
    <s v="Wide Reach"/>
    <x v="0"/>
    <s v="North America"/>
    <n v="2"/>
  </r>
  <r>
    <n v="608"/>
    <s v="WiseSoul"/>
    <s v="Reflecting on a lifetime of memories, each wrinkle tells a story. Embracing the beauty of aging. #LifeReflections #BeautyInAging"/>
    <x v="31"/>
    <d v="2023-06-12T18:00:00"/>
    <x v="0"/>
    <s v=" #AgingGracefully #Memories "/>
    <n v="28"/>
    <n v="55"/>
    <x v="2"/>
    <x v="0"/>
    <x v="5"/>
    <n v="12"/>
    <n v="18"/>
    <x v="11"/>
    <s v="Popular"/>
    <s v="Yes"/>
    <s v="Wide Reach"/>
    <x v="2"/>
    <s v="Europe"/>
    <n v="1.9642857142857142"/>
  </r>
  <r>
    <n v="609"/>
    <s v="ArtAdventurer"/>
    <s v="Exploring the world of digital art. It's never too late to discover new passions. #DigitalArtistry #LateBloomer"/>
    <x v="52"/>
    <d v="2023-06-13T14:45:00"/>
    <x v="2"/>
    <s v=" #ArtDiscovery #SeniorArtist "/>
    <n v="22"/>
    <n v="45"/>
    <x v="1"/>
    <x v="0"/>
    <x v="5"/>
    <n v="13"/>
    <n v="14"/>
    <x v="9"/>
    <s v="Popular"/>
    <s v="No"/>
    <s v="Wide Reach"/>
    <x v="0"/>
    <s v="North America"/>
    <n v="2.0454545454545454"/>
  </r>
  <r>
    <n v="610"/>
    <s v="HomeChefSenior"/>
    <s v="Savoring the flavors of a home-cooked meal. Simple joys are the heart of happiness. #HomeCooking #SimpleJoys"/>
    <x v="29"/>
    <d v="2023-06-14T19:30:00"/>
    <x v="1"/>
    <s v=" #HappinessInFood #SeniorLife "/>
    <n v="25"/>
    <n v="50"/>
    <x v="0"/>
    <x v="0"/>
    <x v="5"/>
    <n v="14"/>
    <n v="19"/>
    <x v="5"/>
    <s v="Popular"/>
    <s v="No"/>
    <s v="Wide Reach"/>
    <x v="2"/>
    <s v="North America"/>
    <n v="2"/>
  </r>
  <r>
    <n v="611"/>
    <s v="LinguisticExplorer"/>
    <s v="Embarking on a journey of learning a new language. The mind stays young with every new word. #LanguageLearning #NeverTooLate"/>
    <x v="52"/>
    <d v="2023-06-15T12:15:00"/>
    <x v="0"/>
    <s v=" #MindEnrichment #SeniorLearning "/>
    <n v="30"/>
    <n v="60"/>
    <x v="2"/>
    <x v="0"/>
    <x v="5"/>
    <n v="15"/>
    <n v="12"/>
    <x v="7"/>
    <s v="Popular"/>
    <s v="Yes"/>
    <s v="Wide Reach"/>
    <x v="0"/>
    <s v="Europe"/>
    <n v="2"/>
  </r>
  <r>
    <n v="612"/>
    <s v="MusicConnoisseur"/>
    <s v="Attended a classical music concert, feeling the timeless melodies resonate. Music transcends generations. #ClassicalMusic #TimelessMelodies"/>
    <x v="8"/>
    <d v="2023-06-16T21:45:00"/>
    <x v="2"/>
    <s v=" #MusicLover #SeniorConcert "/>
    <n v="18"/>
    <n v="35"/>
    <x v="1"/>
    <x v="0"/>
    <x v="5"/>
    <n v="16"/>
    <n v="21"/>
    <x v="8"/>
    <s v="Normal"/>
    <s v="No"/>
    <s v="Standard"/>
    <x v="2"/>
    <s v="North America"/>
    <n v="1.9444444444444444"/>
  </r>
  <r>
    <n v="613"/>
    <s v="PhotographySenior"/>
    <s v="Capturing the beauty of nature through photography. Every snapshot is a treasure. #NaturePhotography #SeniorPhotographer"/>
    <x v="8"/>
    <d v="2023-06-17T15:00:00"/>
    <x v="1"/>
    <s v=" #NatureCapture #SeniorMoments "/>
    <n v="35"/>
    <n v="70"/>
    <x v="0"/>
    <x v="0"/>
    <x v="5"/>
    <n v="17"/>
    <n v="15"/>
    <x v="27"/>
    <s v="Popular"/>
    <s v="Yes"/>
    <s v="Wide Reach"/>
    <x v="0"/>
    <s v="North America"/>
    <n v="2"/>
  </r>
  <r>
    <n v="614"/>
    <s v="TeaTimeSenior"/>
    <s v="Reconnecting with old friends over a cup of tea. Friendship, the true essence of companionship. #OldFriends #Companionship"/>
    <x v="29"/>
    <d v="2023-06-18T11:30:00"/>
    <x v="0"/>
    <s v=" #FriendshipGoals #SeniorBonding "/>
    <n v="28"/>
    <n v="55"/>
    <x v="2"/>
    <x v="0"/>
    <x v="5"/>
    <n v="18"/>
    <n v="11"/>
    <x v="11"/>
    <s v="Popular"/>
    <s v="Yes"/>
    <s v="Wide Reach"/>
    <x v="1"/>
    <s v="Europe"/>
    <n v="1.9642857142857142"/>
  </r>
  <r>
    <n v="615"/>
    <s v="RoadTripSenior"/>
    <s v="Embarked on a road trip to revisit cherished places from the past. Nostalgia, the ultimate travel companion. #RoadTrip #NostalgiaTour"/>
    <x v="8"/>
    <d v="2023-06-19T16:30:00"/>
    <x v="2"/>
    <s v=" #CherishedPlaces #SeniorTravel "/>
    <n v="22"/>
    <n v="45"/>
    <x v="1"/>
    <x v="0"/>
    <x v="5"/>
    <n v="19"/>
    <n v="16"/>
    <x v="9"/>
    <s v="Popular"/>
    <s v="No"/>
    <s v="Wide Reach"/>
    <x v="0"/>
    <s v="North America"/>
    <n v="2.0454545454545454"/>
  </r>
  <r>
    <n v="616"/>
    <s v="ChoirEnthusiast"/>
    <s v="Joined a community choir, harmonizing with fellow voices. Music creates bonds that withstand time. #CommunityChoir #HarmonyInAging"/>
    <x v="8"/>
    <d v="2023-06-20T14:20:00"/>
    <x v="1"/>
    <s v=" #MusicHarmony #SeniorVoices "/>
    <n v="20"/>
    <n v="40"/>
    <x v="0"/>
    <x v="0"/>
    <x v="5"/>
    <n v="20"/>
    <n v="14"/>
    <x v="2"/>
    <s v="Normal"/>
    <s v="No"/>
    <s v="Standard"/>
    <x v="0"/>
    <s v="North America"/>
    <n v="2"/>
  </r>
  <r>
    <n v="617"/>
    <s v="MeditationSenior"/>
    <s v="Exploring the art of meditation, finding tranquility in the stillness of the mind. #MeditationJourney #TranquilMind"/>
    <x v="29"/>
    <d v="2023-06-21T19:00:00"/>
    <x v="0"/>
    <s v=" #MindfulLiving #SeniorCalm "/>
    <n v="18"/>
    <n v="35"/>
    <x v="2"/>
    <x v="0"/>
    <x v="5"/>
    <n v="21"/>
    <n v="19"/>
    <x v="8"/>
    <s v="Normal"/>
    <s v="No"/>
    <s v="Standard"/>
    <x v="2"/>
    <s v="Europe"/>
    <n v="1.9444444444444444"/>
  </r>
  <r>
    <n v="618"/>
    <s v="GardenEnthusiast"/>
    <s v="Taking a stroll in the garden, appreciating the beauty of blooming flowers. Nature's wonders never cease. #GardenWalk #FloralBeauty"/>
    <x v="29"/>
    <d v="2023-06-22T13:45:00"/>
    <x v="2"/>
    <s v=" #NatureWonders #SeniorGarden "/>
    <n v="25"/>
    <n v="50"/>
    <x v="0"/>
    <x v="0"/>
    <x v="5"/>
    <n v="22"/>
    <n v="13"/>
    <x v="5"/>
    <s v="Popular"/>
    <s v="No"/>
    <s v="Wide Reach"/>
    <x v="0"/>
    <s v="North America"/>
    <n v="2"/>
  </r>
  <r>
    <n v="619"/>
    <s v="WineConnoisseur"/>
    <s v="Sipping on a favorite vintage wine, each sip telling a story of the years gone by. Cheers to a life well-lived. #WineLover #VintageCheers"/>
    <x v="29"/>
    <d v="2023-06-23T18:45:00"/>
    <x v="1"/>
    <s v=" #LifeWellLived #SeniorWine "/>
    <n v="28"/>
    <n v="55"/>
    <x v="2"/>
    <x v="0"/>
    <x v="5"/>
    <n v="23"/>
    <n v="18"/>
    <x v="11"/>
    <s v="Popular"/>
    <s v="Yes"/>
    <s v="Wide Reach"/>
    <x v="2"/>
    <s v="Europe"/>
    <n v="1.9642857142857142"/>
  </r>
  <r>
    <n v="620"/>
    <s v="ArtisticSenior"/>
    <s v="Participated in a community art class, unleashing creativity in the golden years. Art has no age limit. #ArtClass #SeniorArtistry"/>
    <x v="8"/>
    <d v="2023-06-24T16:15:00"/>
    <x v="0"/>
    <s v=" #CreativityAtAnyAge #SeniorCreativity "/>
    <n v="22"/>
    <n v="45"/>
    <x v="1"/>
    <x v="0"/>
    <x v="5"/>
    <n v="24"/>
    <n v="16"/>
    <x v="9"/>
    <s v="Popular"/>
    <s v="No"/>
    <s v="Wide Reach"/>
    <x v="0"/>
    <s v="North America"/>
    <n v="2.0454545454545454"/>
  </r>
  <r>
    <n v="621"/>
    <s v="MemoiristSenior"/>
    <s v="Embarking on a journey of writing a memoir, documenting a lifetime of experiences. Every story matters. #MemoirWriting #SeniorStories"/>
    <x v="31"/>
    <d v="2023-06-25T20:30:00"/>
    <x v="2"/>
    <s v=" #LifetimeExperiences #SeniorMemoir "/>
    <n v="35"/>
    <n v="70"/>
    <x v="0"/>
    <x v="0"/>
    <x v="5"/>
    <n v="25"/>
    <n v="20"/>
    <x v="27"/>
    <s v="Popular"/>
    <s v="Yes"/>
    <s v="Wide Reach"/>
    <x v="2"/>
    <s v="North America"/>
    <n v="2"/>
  </r>
  <r>
    <n v="622"/>
    <s v="HistoryEnthusiast"/>
    <s v="Attended a lecture on history, always fascinated by the lessons from the past. Learning is a lifelong adventure. #HistoryLecture #SeniorLearning"/>
    <x v="52"/>
    <d v="2023-06-26T14:00:00"/>
    <x v="1"/>
    <s v=" #LifetimeAdventure #SeniorCuriosity "/>
    <n v="30"/>
    <n v="60"/>
    <x v="2"/>
    <x v="0"/>
    <x v="5"/>
    <n v="26"/>
    <n v="14"/>
    <x v="7"/>
    <s v="Popular"/>
    <s v="Yes"/>
    <s v="Wide Reach"/>
    <x v="0"/>
    <s v="Europe"/>
    <n v="2"/>
  </r>
  <r>
    <n v="623"/>
    <s v="FamilyChefSenior"/>
    <s v="Rediscovered the joy of cooking traditional family recipes. The kitchen, a place of cherished memories. #FamilyRecipes #SeniorCooking"/>
    <x v="29"/>
    <d v="2023-06-27T17:45:00"/>
    <x v="0"/>
    <s v=" #KitchenMemories #SeniorCulinary "/>
    <n v="20"/>
    <n v="40"/>
    <x v="0"/>
    <x v="0"/>
    <x v="5"/>
    <n v="27"/>
    <n v="17"/>
    <x v="2"/>
    <s v="Normal"/>
    <s v="No"/>
    <s v="Standard"/>
    <x v="0"/>
    <s v="North America"/>
    <n v="2"/>
  </r>
  <r>
    <n v="624"/>
    <s v="NaturePhotographySenior"/>
    <s v="Joined a nature photography club, capturing the beauty of the great outdoors. Every click is a connection to nature. #NaturePhotography #SeniorPhotographer"/>
    <x v="8"/>
    <d v="2023-06-28T22:15:00"/>
    <x v="2"/>
    <s v=" #OutdoorBeauty #SeniorClicks "/>
    <n v="18"/>
    <n v="35"/>
    <x v="2"/>
    <x v="0"/>
    <x v="5"/>
    <n v="28"/>
    <n v="22"/>
    <x v="8"/>
    <s v="Normal"/>
    <s v="No"/>
    <s v="Standard"/>
    <x v="2"/>
    <s v="Europe"/>
    <n v="1.9444444444444444"/>
  </r>
  <r>
    <n v="625"/>
    <s v="JazzMusicLover"/>
    <s v="Attended a jazz concert and swayed to the rhythm of timeless tunes. Music, a constant companion in the golden years. #JazzConcert #SeniorMusic"/>
    <x v="8"/>
    <d v="2023-06-29T16:30:00"/>
    <x v="1"/>
    <s v=" #TimelessTunes #SeniorJazz "/>
    <n v="25"/>
    <n v="50"/>
    <x v="0"/>
    <x v="0"/>
    <x v="5"/>
    <n v="29"/>
    <n v="16"/>
    <x v="5"/>
    <s v="Popular"/>
    <s v="No"/>
    <s v="Wide Reach"/>
    <x v="0"/>
    <s v="North America"/>
    <n v="2"/>
  </r>
  <r>
    <n v="626"/>
    <s v="SeniorWordsmith"/>
    <s v="Joined a writing group, penning down thoughts and reflections. Writing, a journey into the depths of the soul. #WritingGroup #SeniorWriter"/>
    <x v="31"/>
    <d v="2023-06-30T19:30:00"/>
    <x v="0"/>
    <s v=" #SoulfulWriting #SeniorReflections "/>
    <n v="28"/>
    <n v="55"/>
    <x v="2"/>
    <x v="0"/>
    <x v="5"/>
    <n v="30"/>
    <n v="19"/>
    <x v="11"/>
    <s v="Popular"/>
    <s v="Yes"/>
    <s v="Wide Reach"/>
    <x v="2"/>
    <s v="Europe"/>
    <n v="1.9642857142857142"/>
  </r>
  <r>
    <n v="627"/>
    <s v="SoloAdventurer"/>
    <s v="Embarked on a solo travel adventure, discovering the beauty of new places at my own pace. #SoloTravel #SeniorExplorer"/>
    <x v="23"/>
    <d v="2023-07-01T14:00:00"/>
    <x v="1"/>
    <s v=" #DiscoverNewPlaces #SeniorTravel "/>
    <n v="30"/>
    <n v="60"/>
    <x v="0"/>
    <x v="0"/>
    <x v="9"/>
    <n v="1"/>
    <n v="14"/>
    <x v="7"/>
    <s v="Popular"/>
    <s v="Yes"/>
    <s v="Wide Reach"/>
    <x v="0"/>
    <s v="North America"/>
    <n v="2"/>
  </r>
  <r>
    <n v="628"/>
    <s v="CarEnthusiastSenior"/>
    <s v="Attended a vintage car show, reminiscing about the classics that once ruled the roads. Nostalgia in every rev. #VintageCars #ClassicRides"/>
    <x v="8"/>
    <d v="2023-07-02T18:30:00"/>
    <x v="2"/>
    <s v=" #RoadTripDownMemoryLane #SeniorCars "/>
    <n v="22"/>
    <n v="45"/>
    <x v="2"/>
    <x v="0"/>
    <x v="9"/>
    <n v="2"/>
    <n v="18"/>
    <x v="9"/>
    <s v="Popular"/>
    <s v="No"/>
    <s v="Wide Reach"/>
    <x v="2"/>
    <s v="Europe"/>
    <n v="2.0454545454545454"/>
  </r>
  <r>
    <n v="629"/>
    <s v="GreenThumbSenior"/>
    <s v="Started a community garden, growing not just plants but friendships too. Green thumbs unite! #CommunityGarden #SeniorGardener"/>
    <x v="8"/>
    <d v="2023-07-03T12:45:00"/>
    <x v="0"/>
    <s v=" #GardenFriends #SeniorGreenThumb "/>
    <n v="28"/>
    <n v="55"/>
    <x v="1"/>
    <x v="0"/>
    <x v="9"/>
    <n v="3"/>
    <n v="12"/>
    <x v="11"/>
    <s v="Popular"/>
    <s v="Yes"/>
    <s v="Wide Reach"/>
    <x v="0"/>
    <s v="North America"/>
    <n v="1.9642857142857142"/>
  </r>
  <r>
    <n v="630"/>
    <s v="FamilyHostSenior"/>
    <s v="Hosted a family dinner, where laughter echoed louder than the clinking of utensils. Family, the heart of happiness. #FamilyDinner #SeniorHost"/>
    <x v="29"/>
    <d v="2023-07-04T17:00:00"/>
    <x v="1"/>
    <s v=" #HeartwarmingMoments #SeniorFamily "/>
    <n v="35"/>
    <n v="70"/>
    <x v="0"/>
    <x v="0"/>
    <x v="9"/>
    <n v="4"/>
    <n v="17"/>
    <x v="27"/>
    <s v="Popular"/>
    <s v="Yes"/>
    <s v="Wide Reach"/>
    <x v="0"/>
    <s v="North America"/>
    <n v="2"/>
  </r>
  <r>
    <n v="631"/>
    <s v="DanceEnthusiastSenior"/>
    <s v="Enrolled in a dance class for seniors, moving to the rhythm of life. Age is just a number on the dance floor. #DanceClass #SeniorDancer"/>
    <x v="8"/>
    <d v="2023-07-05T20:15:00"/>
    <x v="0"/>
    <s v=" #DanceLife #SeniorMoves "/>
    <n v="18"/>
    <n v="35"/>
    <x v="2"/>
    <x v="0"/>
    <x v="9"/>
    <n v="5"/>
    <n v="20"/>
    <x v="8"/>
    <s v="Normal"/>
    <s v="No"/>
    <s v="Standard"/>
    <x v="2"/>
    <s v="Europe"/>
    <n v="1.9444444444444444"/>
  </r>
  <r>
    <n v="632"/>
    <s v="ArtGalleryVisitor"/>
    <s v="Visited an art gallery, appreciating the brushstrokes that tell tales of creativity. Art, an eternal companion. #ArtGallery #SeniorArtLover"/>
    <x v="8"/>
    <d v="2023-07-06T14:30:00"/>
    <x v="2"/>
    <s v=" #CreativeExpressions #SeniorArt "/>
    <n v="25"/>
    <n v="50"/>
    <x v="0"/>
    <x v="0"/>
    <x v="9"/>
    <n v="6"/>
    <n v="14"/>
    <x v="5"/>
    <s v="Popular"/>
    <s v="No"/>
    <s v="Wide Reach"/>
    <x v="0"/>
    <s v="North America"/>
    <n v="2"/>
  </r>
  <r>
    <n v="633"/>
    <s v="SeniorBookClub"/>
    <s v="Started a book club for seniors, where discussions are as lively as the characters in the novels. #BookClub #SeniorReaders"/>
    <x v="8"/>
    <d v="2023-07-07T19:45:00"/>
    <x v="1"/>
    <s v=" #BookishTalks #SeniorBookworms "/>
    <n v="22"/>
    <n v="45"/>
    <x v="2"/>
    <x v="0"/>
    <x v="9"/>
    <n v="7"/>
    <n v="19"/>
    <x v="9"/>
    <s v="Popular"/>
    <s v="No"/>
    <s v="Wide Reach"/>
    <x v="2"/>
    <s v="Europe"/>
    <n v="2.0454545454545454"/>
  </r>
  <r>
    <n v="634"/>
    <s v="SeniorPicnicHost"/>
    <s v="Hosted a picnic in the park, basking in the warmth of friendship and sunshine. Simple joys, timeless memories. #ParkPicnic #SeniorJoy"/>
    <x v="29"/>
    <d v="2023-07-08T16:00:00"/>
    <x v="0"/>
    <s v=" #FriendshipSunshine #SeniorMemories "/>
    <n v="30"/>
    <n v="60"/>
    <x v="1"/>
    <x v="0"/>
    <x v="9"/>
    <n v="8"/>
    <n v="16"/>
    <x v="7"/>
    <s v="Popular"/>
    <s v="Yes"/>
    <s v="Wide Reach"/>
    <x v="0"/>
    <s v="North America"/>
    <n v="2"/>
  </r>
  <r>
    <n v="635"/>
    <s v="SeniorActor"/>
    <s v="Participated in a local theater production, proving that the stage belongs to every age. #TheaterProduction #SeniorActor"/>
    <x v="8"/>
    <d v="2023-07-09T22:30:00"/>
    <x v="2"/>
    <s v=" #StagePassion #SeniorTheater "/>
    <n v="20"/>
    <n v="40"/>
    <x v="0"/>
    <x v="0"/>
    <x v="9"/>
    <n v="9"/>
    <n v="22"/>
    <x v="2"/>
    <s v="Normal"/>
    <s v="No"/>
    <s v="Standard"/>
    <x v="2"/>
    <s v="North America"/>
    <n v="2"/>
  </r>
  <r>
    <n v="636"/>
    <s v="SeniorHikerExplorer"/>
    <s v="Embarked on a hiking adventure, conquering trails and relishing the beauty of nature. Age is just a number on the mountaintop. #HikingAdventure #SeniorHiker"/>
    <x v="23"/>
    <d v="2023-07-10T14:20:00"/>
    <x v="1"/>
    <s v=" #NatureTrailBlazer #SeniorExplorer "/>
    <n v="28"/>
    <n v="55"/>
    <x v="2"/>
    <x v="0"/>
    <x v="9"/>
    <n v="10"/>
    <n v="14"/>
    <x v="11"/>
    <s v="Popular"/>
    <s v="Yes"/>
    <s v="Wide Reach"/>
    <x v="0"/>
    <s v="Europe"/>
    <n v="1.9642857142857142"/>
  </r>
  <r>
    <n v="637"/>
    <s v="SeniorPhotographerExhibitor"/>
    <s v="Hosted a photography exhibition featuring snapshots of a life well-lived. Every photo has a story to tell. #PhotographyExhibition #SeniorPhotographer"/>
    <x v="31"/>
    <d v="2023-07-11T18:45:00"/>
    <x v="0"/>
    <s v=" #LifeInPictures #SeniorExhibition "/>
    <n v="22"/>
    <n v="45"/>
    <x v="1"/>
    <x v="0"/>
    <x v="9"/>
    <n v="11"/>
    <n v="18"/>
    <x v="9"/>
    <s v="Popular"/>
    <s v="No"/>
    <s v="Wide Reach"/>
    <x v="2"/>
    <s v="North America"/>
    <n v="2.0454545454545454"/>
  </r>
  <r>
    <n v="638"/>
    <s v="SeniorCyclingEnthusiast"/>
    <s v="Joined a seniors' cycling club, feeling the wind in my hair and the freedom of the open road. #CyclingClub #SeniorCyclist"/>
    <x v="23"/>
    <d v="2023-07-12T13:45:00"/>
    <x v="2"/>
    <s v=" #OpenRoadAdventures #SeniorCycling "/>
    <n v="25"/>
    <n v="50"/>
    <x v="0"/>
    <x v="0"/>
    <x v="9"/>
    <n v="12"/>
    <n v="13"/>
    <x v="5"/>
    <s v="Popular"/>
    <s v="No"/>
    <s v="Wide Reach"/>
    <x v="0"/>
    <s v="North America"/>
    <n v="2"/>
  </r>
  <r>
    <n v="639"/>
    <s v="SeniorWineConnoisseur"/>
    <s v="Attended a wine tasting event, savoring the richness of flavors that age like fine wine. Cheers to the golden years! #WineTasting #SeniorWineLover"/>
    <x v="8"/>
    <d v="2023-07-13T20:00:00"/>
    <x v="1"/>
    <s v=" #AgedToPerfection #SeniorCheers "/>
    <n v="35"/>
    <n v="70"/>
    <x v="2"/>
    <x v="0"/>
    <x v="9"/>
    <n v="13"/>
    <n v="20"/>
    <x v="27"/>
    <s v="Popular"/>
    <s v="Yes"/>
    <s v="Wide Reach"/>
    <x v="2"/>
    <s v="Europe"/>
    <n v="2"/>
  </r>
  <r>
    <n v="640"/>
    <s v="SeniorBallroomDancer"/>
    <s v="Started learning ballroom dancing, gliding gracefully across the dance floor. Ageless elegance in every step. #BallroomDancing #SeniorDancer"/>
    <x v="8"/>
    <d v="2023-07-14T16:15:00"/>
    <x v="0"/>
    <s v=" #GracefulMoves #SeniorDance "/>
    <n v="20"/>
    <n v="40"/>
    <x v="0"/>
    <x v="0"/>
    <x v="9"/>
    <n v="14"/>
    <n v="16"/>
    <x v="2"/>
    <s v="Normal"/>
    <s v="No"/>
    <s v="Standard"/>
    <x v="0"/>
    <s v="North America"/>
    <n v="2"/>
  </r>
  <r>
    <n v="641"/>
    <s v="SeniorPaintingOrganizer"/>
    <s v="Organized a community painting event, turning blank canvases into a masterpiece of shared creativity. #PaintingEvent #SeniorArtist"/>
    <x v="8"/>
    <d v="2023-07-15T19:30:00"/>
    <x v="2"/>
    <s v=" #CommunityArt #SeniorCreativity "/>
    <n v="28"/>
    <n v="55"/>
    <x v="1"/>
    <x v="0"/>
    <x v="9"/>
    <n v="15"/>
    <n v="19"/>
    <x v="11"/>
    <s v="Popular"/>
    <s v="Yes"/>
    <s v="Wide Reach"/>
    <x v="2"/>
    <s v="North America"/>
    <n v="1.9642857142857142"/>
  </r>
  <r>
    <n v="642"/>
    <s v="SeniorMemoriesHost"/>
    <s v="Hosted a 'memory lane' evening with old friends, reminiscing about the adventures that shaped our lives. #MemoryLane #SeniorReminiscing"/>
    <x v="31"/>
    <d v="2023-07-16T14:00:00"/>
    <x v="1"/>
    <s v=" #FriendshipAdventures #SeniorNostalgia "/>
    <n v="30"/>
    <n v="60"/>
    <x v="0"/>
    <x v="0"/>
    <x v="9"/>
    <n v="16"/>
    <n v="14"/>
    <x v="7"/>
    <s v="Popular"/>
    <s v="Yes"/>
    <s v="Wide Reach"/>
    <x v="0"/>
    <s v="North America"/>
    <n v="2"/>
  </r>
  <r>
    <n v="643"/>
    <s v="SeniorStargazer"/>
    <s v="Joined a seniors' astronomy club, stargazing and finding wonder in the vastness of the cosmos. #AstronomyClub #SeniorStargazer"/>
    <x v="52"/>
    <d v="2023-07-17T22:15:00"/>
    <x v="0"/>
    <s v=" #CelestialWonders #SeniorAstronomy "/>
    <n v="18"/>
    <n v="35"/>
    <x v="2"/>
    <x v="0"/>
    <x v="9"/>
    <n v="17"/>
    <n v="22"/>
    <x v="8"/>
    <s v="Normal"/>
    <s v="No"/>
    <s v="Standard"/>
    <x v="2"/>
    <s v="Europe"/>
    <n v="1.9444444444444444"/>
  </r>
  <r>
    <n v="644"/>
    <s v="SeniorJazzFestivalGoer"/>
    <s v="Attended a local jazz festival, tapping toes to the tunes that have stood the test of time. Music, a lifelong love affair. #JazzFestival #SeniorMusicLover"/>
    <x v="8"/>
    <d v="2023-07-18T16:30:00"/>
    <x v="2"/>
    <s v=" #TimelessTunes #SeniorJazz "/>
    <n v="25"/>
    <n v="50"/>
    <x v="0"/>
    <x v="0"/>
    <x v="9"/>
    <n v="18"/>
    <n v="16"/>
    <x v="5"/>
    <s v="Popular"/>
    <s v="No"/>
    <s v="Wide Reach"/>
    <x v="0"/>
    <s v="North America"/>
    <n v="2"/>
  </r>
  <r>
    <n v="645"/>
    <s v="WisdomBloggerSenior"/>
    <s v="Started a blog sharing the wisdom gained through the years, proving that every day is a chance to learn and grow. #SeniorWisdom #Blog"/>
    <x v="31"/>
    <d v="2023-07-19T19:45:00"/>
    <x v="1"/>
    <s v=" #LifeLessons #SeniorBlog "/>
    <n v="22"/>
    <n v="45"/>
    <x v="2"/>
    <x v="0"/>
    <x v="9"/>
    <n v="19"/>
    <n v="19"/>
    <x v="9"/>
    <s v="Popular"/>
    <s v="No"/>
    <s v="Wide Reach"/>
    <x v="2"/>
    <s v="Europe"/>
    <n v="2.0454545454545454"/>
  </r>
  <r>
    <n v="646"/>
    <s v="SeniorCharityRunner"/>
    <s v="Participated in a charity run, proving that age is no barrier to supporting meaningful causes. #CharityRun #SeniorRunner"/>
    <x v="23"/>
    <d v="2023-07-20T17:00:00"/>
    <x v="0"/>
    <s v=" #RunForACause #SeniorSupport "/>
    <n v="30"/>
    <n v="60"/>
    <x v="1"/>
    <x v="0"/>
    <x v="9"/>
    <n v="20"/>
    <n v="17"/>
    <x v="7"/>
    <s v="Popular"/>
    <s v="Yes"/>
    <s v="Wide Reach"/>
    <x v="0"/>
    <s v="North America"/>
    <n v="2"/>
  </r>
  <r>
    <n v="647"/>
    <s v="PhysicsWhizHighSchool"/>
    <s v="Survived a challenging physics exam. Equations, you won't defeat me!"/>
    <x v="184"/>
    <d v="2023-08-01T13:30:00"/>
    <x v="1"/>
    <s v=" #PhysicsSurvivor #HighSchoolAdventures "/>
    <n v="20"/>
    <n v="40"/>
    <x v="0"/>
    <x v="0"/>
    <x v="4"/>
    <n v="1"/>
    <n v="13"/>
    <x v="2"/>
    <s v="Normal"/>
    <s v="No"/>
    <s v="Standard"/>
    <x v="0"/>
    <s v="North America"/>
    <n v="2"/>
  </r>
  <r>
    <n v="648"/>
    <s v="CodeExplorerHighSchool"/>
    <s v="Exploring the world of coding. Debugging is an adventure on its own! #CodingJourney #HighSchoolCoder"/>
    <x v="23"/>
    <d v="2023-08-02T14:45:00"/>
    <x v="0"/>
    <s v=" #CodingAdventure #HighSchoolCoderLife "/>
    <n v="25"/>
    <n v="50"/>
    <x v="2"/>
    <x v="0"/>
    <x v="4"/>
    <n v="2"/>
    <n v="14"/>
    <x v="5"/>
    <s v="Popular"/>
    <s v="No"/>
    <s v="Wide Reach"/>
    <x v="0"/>
    <s v="Europe"/>
    <n v="2"/>
  </r>
  <r>
    <n v="649"/>
    <s v="DebateWarriorHighSchool"/>
    <s v="Joined the school debate team. Words are my weapons, and I'm ready for battle!"/>
    <x v="23"/>
    <d v="2023-08-03T12:15:00"/>
    <x v="2"/>
    <s v=" #DebateWarrior #HighSchoolDebater "/>
    <n v="18"/>
    <n v="35"/>
    <x v="1"/>
    <x v="0"/>
    <x v="4"/>
    <n v="3"/>
    <n v="12"/>
    <x v="8"/>
    <s v="Normal"/>
    <s v="No"/>
    <s v="Standard"/>
    <x v="0"/>
    <s v="North America"/>
    <n v="1.9444444444444444"/>
  </r>
  <r>
    <n v="650"/>
    <s v="PhotoClubHighSchool"/>
    <s v="Started a photography club at school. Capturing moments, one snapshot at a time!"/>
    <x v="8"/>
    <d v="2023-08-04T16:30:00"/>
    <x v="1"/>
    <s v=" #PhotographyClub #HighSchoolPhotographer "/>
    <n v="22"/>
    <n v="45"/>
    <x v="0"/>
    <x v="0"/>
    <x v="4"/>
    <n v="4"/>
    <n v="16"/>
    <x v="9"/>
    <s v="Popular"/>
    <s v="No"/>
    <s v="Wide Reach"/>
    <x v="0"/>
    <s v="North America"/>
    <n v="2.0454545454545454"/>
  </r>
  <r>
    <n v="651"/>
    <s v="PromDreamerHighSchool"/>
    <s v="Daydreaming about the upcoming prom. The dress, the dance â€“ it's a fairytale in the making!"/>
    <x v="23"/>
    <d v="2023-08-05T19:45:00"/>
    <x v="0"/>
    <s v=" #PromDreams #HighSchoolFairytale "/>
    <n v="30"/>
    <n v="60"/>
    <x v="1"/>
    <x v="0"/>
    <x v="4"/>
    <n v="5"/>
    <n v="19"/>
    <x v="7"/>
    <s v="Popular"/>
    <s v="Yes"/>
    <s v="Wide Reach"/>
    <x v="2"/>
    <s v="North America"/>
    <n v="2"/>
  </r>
  <r>
    <n v="652"/>
    <s v="OutdoorClassHighSchool"/>
    <s v="Convinced the teacher to have class outdoors. Learning equations with a side of fresh air!"/>
    <x v="0"/>
    <d v="2023-08-06T14:00:00"/>
    <x v="2"/>
    <s v=" #OutdoorClassroom #HighSchoolExplorer "/>
    <n v="28"/>
    <n v="55"/>
    <x v="0"/>
    <x v="0"/>
    <x v="4"/>
    <n v="6"/>
    <n v="14"/>
    <x v="11"/>
    <s v="Popular"/>
    <s v="Yes"/>
    <s v="Wide Reach"/>
    <x v="0"/>
    <s v="North America"/>
    <n v="1.9642857142857142"/>
  </r>
  <r>
    <n v="653"/>
    <s v="PaintSpillHighSchool"/>
    <s v="Accidentally spilled paint in art class. Abstract art, right? #ArtClassAdventures #HighSchoolArtist"/>
    <x v="185"/>
    <d v="2023-08-07T19:45:00"/>
    <x v="1"/>
    <s v=" #ArtisticMishaps #HighSchoolArt "/>
    <n v="22"/>
    <n v="45"/>
    <x v="2"/>
    <x v="0"/>
    <x v="4"/>
    <n v="7"/>
    <n v="19"/>
    <x v="9"/>
    <s v="Popular"/>
    <s v="No"/>
    <s v="Wide Reach"/>
    <x v="2"/>
    <s v="Europe"/>
    <n v="2.0454545454545454"/>
  </r>
  <r>
    <n v="654"/>
    <s v="SkateProHighSchool"/>
    <s v="Trying to master the perfect kickflip on my skateboard. Skating into the weekend like a pro!"/>
    <x v="23"/>
    <d v="2023-08-08T16:00:00"/>
    <x v="0"/>
    <s v=" #SkaterLife #HighSchoolSkater "/>
    <n v="30"/>
    <n v="60"/>
    <x v="1"/>
    <x v="0"/>
    <x v="4"/>
    <n v="8"/>
    <n v="16"/>
    <x v="7"/>
    <s v="Popular"/>
    <s v="Yes"/>
    <s v="Wide Reach"/>
    <x v="0"/>
    <s v="North America"/>
    <n v="2"/>
  </r>
  <r>
    <n v="655"/>
    <s v="KpopFangirlHighSchool"/>
    <s v="Bonding with friends over the latest K-pop sensation. Fangirling at its finest!"/>
    <x v="8"/>
    <d v="2023-08-09T22:30:00"/>
    <x v="2"/>
    <s v=" #KpopFangirl #HighSchoolMusic "/>
    <n v="20"/>
    <n v="40"/>
    <x v="0"/>
    <x v="0"/>
    <x v="4"/>
    <n v="9"/>
    <n v="22"/>
    <x v="2"/>
    <s v="Normal"/>
    <s v="No"/>
    <s v="Standard"/>
    <x v="2"/>
    <s v="North America"/>
    <n v="2"/>
  </r>
  <r>
    <n v="656"/>
    <s v="ChemistryWizardHighSchool"/>
    <s v="Spent hours perfecting a chemistry experiment. Mixing potions like a wizard!"/>
    <x v="8"/>
    <d v="2023-08-10T14:20:00"/>
    <x v="1"/>
    <s v=" #ChemistryWizard #HighSchoolScientist "/>
    <n v="28"/>
    <n v="55"/>
    <x v="2"/>
    <x v="0"/>
    <x v="4"/>
    <n v="10"/>
    <n v="14"/>
    <x v="11"/>
    <s v="Popular"/>
    <s v="Yes"/>
    <s v="Wide Reach"/>
    <x v="0"/>
    <s v="Europe"/>
    <n v="1.9642857142857142"/>
  </r>
  <r>
    <n v="657"/>
    <s v="BirthdayPartyPlannerHighSchool"/>
    <s v="Successfully organized a surprise birthday party for a friend. Party planning expert mode: Achieved!"/>
    <x v="8"/>
    <d v="2023-08-11T18:45:00"/>
    <x v="0"/>
    <s v=" #BirthdayParty #HighSchoolCelebration "/>
    <n v="22"/>
    <n v="45"/>
    <x v="1"/>
    <x v="0"/>
    <x v="4"/>
    <n v="11"/>
    <n v="18"/>
    <x v="9"/>
    <s v="Popular"/>
    <s v="No"/>
    <s v="Wide Reach"/>
    <x v="2"/>
    <s v="North America"/>
    <n v="2.0454545454545454"/>
  </r>
  <r>
    <n v="658"/>
    <s v="DramaClubStarHighSchool"/>
    <s v="Joined the drama club to unleash my inner actor. Lights, camera, action!"/>
    <x v="23"/>
    <d v="2023-08-12T13:45:00"/>
    <x v="2"/>
    <s v=" #DramaClubStar #HighSchoolActor "/>
    <n v="25"/>
    <n v="50"/>
    <x v="0"/>
    <x v="0"/>
    <x v="4"/>
    <n v="12"/>
    <n v="13"/>
    <x v="5"/>
    <s v="Popular"/>
    <s v="No"/>
    <s v="Wide Reach"/>
    <x v="0"/>
    <s v="North America"/>
    <n v="2"/>
  </r>
  <r>
    <n v="659"/>
    <s v="FantasyBookNerdHighSchool"/>
    <s v="Got my hands on the latest fantasy novel. Diving into realms of magic and adventure!"/>
    <x v="23"/>
    <d v="2023-08-13T20:00:00"/>
    <x v="1"/>
    <s v=" #FantasyBookNerd #HighSchoolReader "/>
    <n v="35"/>
    <n v="70"/>
    <x v="2"/>
    <x v="0"/>
    <x v="4"/>
    <n v="13"/>
    <n v="20"/>
    <x v="27"/>
    <s v="Popular"/>
    <s v="Yes"/>
    <s v="Wide Reach"/>
    <x v="2"/>
    <s v="Europe"/>
    <n v="2"/>
  </r>
  <r>
    <n v="660"/>
    <s v="DoodleMasterHighSchool"/>
    <s v="Mastering the art of the perfect doodle during boring classes. Doodles: A+!"/>
    <x v="8"/>
    <d v="2023-08-14T16:15:00"/>
    <x v="0"/>
    <s v=" #DoodleMaster #HighSchoolArt "/>
    <n v="20"/>
    <n v="40"/>
    <x v="0"/>
    <x v="0"/>
    <x v="4"/>
    <n v="14"/>
    <n v="16"/>
    <x v="2"/>
    <s v="Normal"/>
    <s v="No"/>
    <s v="Standard"/>
    <x v="0"/>
    <s v="North America"/>
    <n v="2"/>
  </r>
  <r>
    <n v="661"/>
    <s v="HandstandChallengeHighSchool"/>
    <s v="Attempting to break the school record for the longest handstand. Wish me luck!"/>
    <x v="23"/>
    <d v="2023-08-15T19:30:00"/>
    <x v="2"/>
    <s v=" #HandstandChallenge #HighSchoolAthlete "/>
    <n v="28"/>
    <n v="55"/>
    <x v="1"/>
    <x v="0"/>
    <x v="4"/>
    <n v="15"/>
    <n v="19"/>
    <x v="11"/>
    <s v="Popular"/>
    <s v="Yes"/>
    <s v="Wide Reach"/>
    <x v="2"/>
    <s v="North America"/>
    <n v="1.9642857142857142"/>
  </r>
  <r>
    <n v="662"/>
    <s v="SnackSmugglerHighSchool"/>
    <s v="Sneaking snacks into class like a pro. The art of snack-smuggling is a sacred skill!"/>
    <x v="186"/>
    <d v="2023-08-16T14:00:00"/>
    <x v="1"/>
    <s v=" #SnackSmuggler #HighSchoolSnacks "/>
    <n v="30"/>
    <n v="60"/>
    <x v="0"/>
    <x v="0"/>
    <x v="4"/>
    <n v="16"/>
    <n v="14"/>
    <x v="7"/>
    <s v="Popular"/>
    <s v="Yes"/>
    <s v="Wide Reach"/>
    <x v="0"/>
    <s v="North America"/>
    <n v="2"/>
  </r>
  <r>
    <n v="663"/>
    <s v="SleepoverHostHighSchool"/>
    <s v="Hosting a sleepover with friends this weekend. Preparing for a night of laughter and memories!"/>
    <x v="23"/>
    <d v="2023-08-17T22:15:00"/>
    <x v="0"/>
    <s v=" #SleepoverFun #HighSchoolMemories "/>
    <n v="18"/>
    <n v="35"/>
    <x v="2"/>
    <x v="0"/>
    <x v="4"/>
    <n v="17"/>
    <n v="22"/>
    <x v="8"/>
    <s v="Normal"/>
    <s v="No"/>
    <s v="Standard"/>
    <x v="2"/>
    <s v="Europe"/>
    <n v="1.9444444444444444"/>
  </r>
  <r>
    <n v="664"/>
    <s v="TikTokFailHighSchool"/>
    <s v="Spent hours on a TikTok dance, only to realize I have two left feet. Dance fail: Unleashed!"/>
    <x v="185"/>
    <d v="2023-08-18T16:30:00"/>
    <x v="2"/>
    <s v=" #DanceFail #HighSchoolTikTok "/>
    <n v="25"/>
    <n v="50"/>
    <x v="0"/>
    <x v="0"/>
    <x v="4"/>
    <n v="18"/>
    <n v="16"/>
    <x v="5"/>
    <s v="Popular"/>
    <s v="No"/>
    <s v="Wide Reach"/>
    <x v="0"/>
    <s v="North America"/>
    <n v="2"/>
  </r>
  <r>
    <n v="665"/>
    <s v="SocialMediaBlunderHighSchool"/>
    <s v="Accidentally liked my crush's old photo while stalking their profile. Awkward level: Maximum!"/>
    <x v="185"/>
    <d v="2023-08-19T19:45:00"/>
    <x v="1"/>
    <s v=" #SocialMediaBlunder #HighSchoolAwkward "/>
    <n v="22"/>
    <n v="45"/>
    <x v="2"/>
    <x v="0"/>
    <x v="4"/>
    <n v="19"/>
    <n v="19"/>
    <x v="9"/>
    <s v="Popular"/>
    <s v="No"/>
    <s v="Wide Reach"/>
    <x v="2"/>
    <s v="Europe"/>
    <n v="2.0454545454545454"/>
  </r>
  <r>
    <n v="666"/>
    <s v="CrushFailHighSchool"/>
    <s v="Tried to impress my crush with a smooth conversation. Ended up spilling my drink. Smooth level: Nonexistent!"/>
    <x v="185"/>
    <d v="2023-08-20T17:00:00"/>
    <x v="0"/>
    <s v=" #CrushFail #HighSchoolEmbarrassment "/>
    <n v="30"/>
    <n v="60"/>
    <x v="1"/>
    <x v="0"/>
    <x v="4"/>
    <n v="20"/>
    <n v="17"/>
    <x v="7"/>
    <s v="Popular"/>
    <s v="Yes"/>
    <s v="Wide Reach"/>
    <x v="0"/>
    <s v="North America"/>
    <n v="2"/>
  </r>
  <r>
    <n v="667"/>
    <s v="PaperPlaneExpertHighSchool"/>
    <s v="Mastered the art of creating paper airplanes during lecture. Paper planes: Soaring to new heights!"/>
    <x v="8"/>
    <d v="2023-08-21T15:45:00"/>
    <x v="1"/>
    <s v=" #PaperPlaneExpert #HighSchoolArt "/>
    <n v="15"/>
    <n v="30"/>
    <x v="0"/>
    <x v="0"/>
    <x v="4"/>
    <n v="21"/>
    <n v="15"/>
    <x v="0"/>
    <s v="Normal"/>
    <s v="No"/>
    <s v="Standard"/>
    <x v="0"/>
    <s v="North America"/>
    <n v="2"/>
  </r>
  <r>
    <n v="668"/>
    <s v="JugglingProHighSchool"/>
    <s v="Trying to set a new trend by juggling textbooks between classes. Academic juggling: A unique skill!"/>
    <x v="23"/>
    <d v="2023-08-22T12:30:00"/>
    <x v="2"/>
    <s v=" #TextbookJuggling #HighSchoolSkills "/>
    <n v="22"/>
    <n v="40"/>
    <x v="1"/>
    <x v="0"/>
    <x v="4"/>
    <n v="22"/>
    <n v="12"/>
    <x v="28"/>
    <s v="Popular"/>
    <s v="No"/>
    <s v="Wide Reach"/>
    <x v="0"/>
    <s v="North America"/>
    <n v="1.8181818181818181"/>
  </r>
  <r>
    <n v="669"/>
    <s v="SnackNinjaHighSchool"/>
    <s v="Hiding a snack stash in my backpack for emergency cravings. Snack ninja mode: Activated!"/>
    <x v="186"/>
    <d v="2023-08-23T16:45:00"/>
    <x v="0"/>
    <s v=" #SnackNinja #HighSchoolSnacks "/>
    <n v="28"/>
    <n v="55"/>
    <x v="0"/>
    <x v="0"/>
    <x v="4"/>
    <n v="23"/>
    <n v="16"/>
    <x v="11"/>
    <s v="Popular"/>
    <s v="Yes"/>
    <s v="Wide Reach"/>
    <x v="0"/>
    <s v="North America"/>
    <n v="1.9642857142857142"/>
  </r>
  <r>
    <n v="670"/>
    <s v="ScavengerHuntMasterHighSchool"/>
    <s v="Planning a surprise scavenger hunt for friends. Anticipating the thrill and excitement!"/>
    <x v="23"/>
    <d v="2023-08-24T18:20:00"/>
    <x v="1"/>
    <s v=" #SurpriseAdventure #HighSchoolFun "/>
    <n v="20"/>
    <n v="38"/>
    <x v="2"/>
    <x v="0"/>
    <x v="4"/>
    <n v="24"/>
    <n v="18"/>
    <x v="29"/>
    <s v="Normal"/>
    <s v="No"/>
    <s v="Standard"/>
    <x v="2"/>
    <s v="Europe"/>
    <n v="1.9"/>
  </r>
  <r>
    <n v="671"/>
    <s v="RainDanceCelebrationHighSchool"/>
    <s v="Danced in the rain to celebrate the end of exams. Rain dance: Unexpectedly refreshing!"/>
    <x v="8"/>
    <d v="2023-08-25T14:15:00"/>
    <x v="2"/>
    <s v=" #RainDance #HighSchoolJoy "/>
    <n v="25"/>
    <n v="50"/>
    <x v="1"/>
    <x v="0"/>
    <x v="4"/>
    <n v="25"/>
    <n v="14"/>
    <x v="5"/>
    <s v="Popular"/>
    <s v="No"/>
    <s v="Wide Reach"/>
    <x v="0"/>
    <s v="North America"/>
    <n v="2"/>
  </r>
  <r>
    <n v="672"/>
    <s v="GroupChatBlunderHighSchool"/>
    <s v="Accidentally sent a text meant for a friend to the class group chat. Texting fail: Oops moment!"/>
    <x v="185"/>
    <d v="2023-08-26T17:30:00"/>
    <x v="0"/>
    <s v=" #TextingFail #HighSchoolAwkward "/>
    <n v="18"/>
    <n v="35"/>
    <x v="0"/>
    <x v="0"/>
    <x v="4"/>
    <n v="26"/>
    <n v="17"/>
    <x v="8"/>
    <s v="Normal"/>
    <s v="No"/>
    <s v="Standard"/>
    <x v="0"/>
    <s v="North America"/>
    <n v="1.9444444444444444"/>
  </r>
  <r>
    <n v="673"/>
    <s v="MagicFailHighSchool"/>
    <s v="Tried a magic trick to impress classmates. Magic fail: Where did that rabbit go?"/>
    <x v="185"/>
    <d v="2023-08-27T20:45:00"/>
    <x v="1"/>
    <s v=" #MagicFail #HighSchoolMagic "/>
    <n v="22"/>
    <n v="45"/>
    <x v="2"/>
    <x v="0"/>
    <x v="4"/>
    <n v="27"/>
    <n v="20"/>
    <x v="9"/>
    <s v="Popular"/>
    <s v="No"/>
    <s v="Wide Reach"/>
    <x v="2"/>
    <s v="Europe"/>
    <n v="2.0454545454545454"/>
  </r>
  <r>
    <n v="674"/>
    <s v="OrigamiProHighSchool"/>
    <s v="Perfecting the art of creating origami during a dull lecture. Origami mastery: A+!"/>
    <x v="8"/>
    <d v="2023-08-28T16:00:00"/>
    <x v="0"/>
    <s v=" #OrigamiMaster #HighSchoolArt "/>
    <n v="18"/>
    <n v="36"/>
    <x v="0"/>
    <x v="0"/>
    <x v="4"/>
    <n v="28"/>
    <n v="16"/>
    <x v="15"/>
    <s v="Normal"/>
    <s v="No"/>
    <s v="Standard"/>
    <x v="0"/>
    <s v="North America"/>
    <n v="2"/>
  </r>
  <r>
    <n v="675"/>
    <s v="HackySackChampionHighSchool"/>
    <s v="Attempting to set a new record for the most consecutive hacky sack kicks. Hacky sack skills: Unleashed!"/>
    <x v="23"/>
    <d v="2023-08-29T13:45:00"/>
    <x v="1"/>
    <s v=" #HackySackChallenge #HighSchoolAthlete "/>
    <n v="26"/>
    <n v="48"/>
    <x v="1"/>
    <x v="0"/>
    <x v="4"/>
    <n v="29"/>
    <n v="13"/>
    <x v="30"/>
    <s v="Popular"/>
    <s v="No"/>
    <s v="Wide Reach"/>
    <x v="0"/>
    <s v="North America"/>
    <n v="1.8461538461538463"/>
  </r>
  <r>
    <n v="676"/>
    <s v="SecretHandshakeHighSchool"/>
    <s v="Creating a secret handshake with friends. Friendship level: Expert!"/>
    <x v="8"/>
    <d v="2023-08-30T17:30:00"/>
    <x v="2"/>
    <s v=" #FriendshipGoals #HighSchoolMemories "/>
    <n v="20"/>
    <n v="40"/>
    <x v="0"/>
    <x v="0"/>
    <x v="4"/>
    <n v="30"/>
    <n v="17"/>
    <x v="2"/>
    <s v="Normal"/>
    <s v="No"/>
    <s v="Standard"/>
    <x v="0"/>
    <s v="North America"/>
    <n v="2"/>
  </r>
  <r>
    <n v="677"/>
    <s v="BurgerQuestHighSchool"/>
    <s v="Embarking on a mission to find the best burger joint in town. Burger connoisseur: Reporting for duty!"/>
    <x v="23"/>
    <d v="2023-08-31T20:15:00"/>
    <x v="0"/>
    <s v=" #BurgerQuest #HighSchoolFoodie "/>
    <n v="24"/>
    <n v="42"/>
    <x v="2"/>
    <x v="0"/>
    <x v="4"/>
    <n v="31"/>
    <n v="20"/>
    <x v="17"/>
    <s v="Popular"/>
    <s v="No"/>
    <s v="Wide Reach"/>
    <x v="2"/>
    <s v="Europe"/>
    <n v="1.75"/>
  </r>
  <r>
    <n v="678"/>
    <s v="ComedyGeniusHighSchool"/>
    <s v="Practicing a stand-up comedy routine for the upcoming talent show. Comedy gig: In the making!"/>
    <x v="8"/>
    <d v="2023-09-01T14:45:00"/>
    <x v="1"/>
    <s v=" #StandUpComedy #HighSchoolTalent "/>
    <n v="21"/>
    <n v="39"/>
    <x v="1"/>
    <x v="0"/>
    <x v="8"/>
    <n v="1"/>
    <n v="14"/>
    <x v="2"/>
    <s v="Normal"/>
    <s v="No"/>
    <s v="Wide Reach"/>
    <x v="0"/>
    <s v="North America"/>
    <n v="1.8571428571428572"/>
  </r>
  <r>
    <n v="679"/>
    <s v="LoveLetterBlunderHighSchool"/>
    <s v="Accidentally sent a love letter to the wrong person. Love note fail: Maximum embarrassment!"/>
    <x v="185"/>
    <d v="2023-09-02T18:30:00"/>
    <x v="2"/>
    <s v=" #LoveLetterFail #HighSchoolAwkward "/>
    <n v="17"/>
    <n v="33"/>
    <x v="0"/>
    <x v="0"/>
    <x v="8"/>
    <n v="2"/>
    <n v="18"/>
    <x v="31"/>
    <s v="Normal"/>
    <s v="No"/>
    <s v="Standard"/>
    <x v="2"/>
    <s v="North America"/>
    <n v="1.9411764705882353"/>
  </r>
  <r>
    <n v="680"/>
    <s v="ScienceExperimentProHighSchool"/>
    <s v="Attempting to impress the teacher with an elaborate science experiment. Science geek mode: Activated!"/>
    <x v="23"/>
    <d v="2023-09-03T22:00:00"/>
    <x v="0"/>
    <s v=" #ScienceGeek #HighSchoolExperiments "/>
    <n v="23"/>
    <n v="44"/>
    <x v="2"/>
    <x v="0"/>
    <x v="8"/>
    <n v="3"/>
    <n v="22"/>
    <x v="9"/>
    <s v="Popular"/>
    <s v="No"/>
    <s v="Wide Reach"/>
    <x v="2"/>
    <s v="Europe"/>
    <n v="1.9130434782608696"/>
  </r>
  <r>
    <n v="681"/>
    <s v="BraceletCraftsmanHighSchool"/>
    <s v="Crafting intricate friendship bracelets for the whole squad. Friendship level: Expert weaver!"/>
    <x v="8"/>
    <d v="2023-09-04T15:15:00"/>
    <x v="1"/>
    <s v=" #FriendshipBracelets #HighSchoolCrafts "/>
    <n v="19"/>
    <n v="37"/>
    <x v="0"/>
    <x v="0"/>
    <x v="8"/>
    <n v="4"/>
    <n v="15"/>
    <x v="32"/>
    <s v="Normal"/>
    <s v="No"/>
    <s v="Standard"/>
    <x v="0"/>
    <s v="North America"/>
    <n v="1.9473684210526316"/>
  </r>
  <r>
    <n v="682"/>
    <s v="CartwheelMasterHighSchool"/>
    <s v="Attempting to beat the record for the most consecutive cartwheels. Cartwheel challenge: Underway!"/>
    <x v="23"/>
    <d v="2023-09-05T12:30:00"/>
    <x v="0"/>
    <s v=" #CartwheelChallenge #HighSchoolAthlete "/>
    <n v="27"/>
    <n v="52"/>
    <x v="1"/>
    <x v="0"/>
    <x v="8"/>
    <n v="5"/>
    <n v="12"/>
    <x v="33"/>
    <s v="Popular"/>
    <s v="Yes"/>
    <s v="Wide Reach"/>
    <x v="0"/>
    <s v="North America"/>
    <n v="1.9259259259259258"/>
  </r>
  <r>
    <n v="683"/>
    <s v="MovieMarathonHostHighSchool"/>
    <s v="Organizing a movie marathon with friends. Popcorn and cinematic adventures await!"/>
    <x v="8"/>
    <d v="2023-09-06T16:45:00"/>
    <x v="2"/>
    <s v=" #MovieNight #HighSchoolMemories "/>
    <n v="22"/>
    <n v="43"/>
    <x v="2"/>
    <x v="0"/>
    <x v="8"/>
    <n v="6"/>
    <n v="16"/>
    <x v="34"/>
    <s v="Popular"/>
    <s v="No"/>
    <s v="Wide Reach"/>
    <x v="0"/>
    <s v="Europe"/>
    <n v="1.9545454545454546"/>
  </r>
  <r>
    <n v="684"/>
    <s v="HairColorExperimentHighSchool"/>
    <s v="Experimenting with a new hair color. A bold change for a bold semester!"/>
    <x v="23"/>
    <d v="2023-09-07T18:20:00"/>
    <x v="1"/>
    <s v=" #HairExperiment #HighSchoolStyle "/>
    <n v="20"/>
    <n v="39"/>
    <x v="0"/>
    <x v="0"/>
    <x v="8"/>
    <n v="7"/>
    <n v="18"/>
    <x v="35"/>
    <s v="Normal"/>
    <s v="No"/>
    <s v="Standard"/>
    <x v="2"/>
    <s v="North America"/>
    <n v="1.95"/>
  </r>
  <r>
    <n v="685"/>
    <s v="TimeCapsuleCreatorHighSchool"/>
    <s v="Building a time capsule to capture memories for the future. Time-traveling emotions!"/>
    <x v="8"/>
    <d v="2023-09-08T14:15:00"/>
    <x v="2"/>
    <s v=" #TimeCapsule #HighSchoolNostalgia "/>
    <n v="26"/>
    <n v="48"/>
    <x v="1"/>
    <x v="0"/>
    <x v="8"/>
    <n v="8"/>
    <n v="14"/>
    <x v="30"/>
    <s v="Popular"/>
    <s v="No"/>
    <s v="Wide Reach"/>
    <x v="0"/>
    <s v="North America"/>
    <n v="1.8461538461538463"/>
  </r>
  <r>
    <n v="686"/>
    <s v="ClassroomBlunderHighSchool"/>
    <s v="Accidentally walked into the wrong classroom on the first day. Classroom mix-up: Awkward start!"/>
    <x v="185"/>
    <d v="2023-09-09T17:30:00"/>
    <x v="0"/>
    <s v=" #FirstDayOops #HighSchoolEmbarrassment "/>
    <n v="16"/>
    <n v="32"/>
    <x v="0"/>
    <x v="0"/>
    <x v="8"/>
    <n v="9"/>
    <n v="17"/>
    <x v="21"/>
    <s v="Normal"/>
    <s v="No"/>
    <s v="Standard"/>
    <x v="0"/>
    <s v="North America"/>
    <n v="2"/>
  </r>
  <r>
    <n v="687"/>
    <s v="SmoothieConnoisseurHighSchool"/>
    <s v="Trying out a new smoothie recipe for a healthy start to the week. Smoothie enthusiast: Level up!"/>
    <x v="23"/>
    <d v="2023-09-10T20:45:00"/>
    <x v="1"/>
    <s v=" #HealthyLiving #HighSchoolWellness "/>
    <n v="23"/>
    <n v="42"/>
    <x v="2"/>
    <x v="0"/>
    <x v="8"/>
    <n v="10"/>
    <n v="20"/>
    <x v="34"/>
    <s v="Popular"/>
    <s v="No"/>
    <s v="Wide Reach"/>
    <x v="2"/>
    <s v="Europe"/>
    <n v="1.826086956521739"/>
  </r>
  <r>
    <n v="688"/>
    <s v="OverwhelmedHighSchoolStudent"/>
    <s v="Reflecting on the challenges of the school year. Feeling a bit overwhelmed with assignments."/>
    <x v="187"/>
    <d v="2023-09-11T15:45:00"/>
    <x v="0"/>
    <s v=" #SchoolChallenges #HighSchoolStruggles "/>
    <n v="15"/>
    <n v="28"/>
    <x v="0"/>
    <x v="0"/>
    <x v="8"/>
    <n v="11"/>
    <n v="15"/>
    <x v="36"/>
    <s v="Normal"/>
    <s v="No"/>
    <s v="Standard"/>
    <x v="0"/>
    <s v="North America"/>
    <n v="1.8666666666666667"/>
  </r>
  <r>
    <n v="689"/>
    <s v="DealingWithHateHighSchool"/>
    <s v="Encountered some mean-spirited comments online. Dealing with online hate is never easy."/>
    <x v="188"/>
    <d v="2023-09-12T12:30:00"/>
    <x v="1"/>
    <s v=" #OnlineHate #HighSchoolReality "/>
    <n v="18"/>
    <n v="36"/>
    <x v="1"/>
    <x v="0"/>
    <x v="8"/>
    <n v="12"/>
    <n v="12"/>
    <x v="15"/>
    <s v="Normal"/>
    <s v="No"/>
    <s v="Standard"/>
    <x v="0"/>
    <s v="North America"/>
    <n v="2"/>
  </r>
  <r>
    <n v="690"/>
    <s v="ToughDayHighSchool"/>
    <s v="Had a bad day at school. Everything seems to be going wrong."/>
    <x v="189"/>
    <d v="2023-09-13T16:45:00"/>
    <x v="2"/>
    <s v=" #BadDay #HighSchoolBlues "/>
    <n v="20"/>
    <n v="40"/>
    <x v="2"/>
    <x v="0"/>
    <x v="8"/>
    <n v="13"/>
    <n v="16"/>
    <x v="2"/>
    <s v="Normal"/>
    <s v="No"/>
    <s v="Standard"/>
    <x v="0"/>
    <s v="Europe"/>
    <n v="2"/>
  </r>
  <r>
    <n v="691"/>
    <s v="SportsTeamRejectionHighSchool"/>
    <s v="Feeling down after not making the sports team. Disappointment lingers."/>
    <x v="187"/>
    <d v="2023-09-14T18:20:00"/>
    <x v="0"/>
    <s v=" #Disappointment #HighSchoolSports "/>
    <n v="17"/>
    <n v="34"/>
    <x v="0"/>
    <x v="0"/>
    <x v="8"/>
    <n v="14"/>
    <n v="18"/>
    <x v="19"/>
    <s v="Normal"/>
    <s v="No"/>
    <s v="Standard"/>
    <x v="2"/>
    <s v="North America"/>
    <n v="2"/>
  </r>
  <r>
    <n v="692"/>
    <s v="CafeteriaConflictHighSchool"/>
    <s v="Witnessed a heated argument in the cafeteria. Unpleasant atmosphere at lunch."/>
    <x v="188"/>
    <d v="2023-09-15T14:15:00"/>
    <x v="1"/>
    <s v=" #CafeteriaDrama #HighSchoolTension "/>
    <n v="21"/>
    <n v="41"/>
    <x v="1"/>
    <x v="0"/>
    <x v="8"/>
    <n v="15"/>
    <n v="14"/>
    <x v="28"/>
    <s v="Popular"/>
    <s v="No"/>
    <s v="Wide Reach"/>
    <x v="0"/>
    <s v="North America"/>
    <n v="1.9523809523809523"/>
  </r>
  <r>
    <n v="693"/>
    <s v="ProjectGradeDisappointmentHighSchool"/>
    <s v="Received a not-so-great grade on a major project. Academic frustration setting in."/>
    <x v="189"/>
    <d v="2023-09-16T17:30:00"/>
    <x v="2"/>
    <s v=" #AcademicFrustration #HighSchoolStress "/>
    <n v="19"/>
    <n v="38"/>
    <x v="2"/>
    <x v="0"/>
    <x v="8"/>
    <n v="16"/>
    <n v="17"/>
    <x v="20"/>
    <s v="Normal"/>
    <s v="No"/>
    <s v="Standard"/>
    <x v="0"/>
    <s v="Europe"/>
    <n v="2"/>
  </r>
  <r>
    <n v="694"/>
    <s v="PersonalSetbackHighSchool"/>
    <s v="Dealing with a personal setback. Sometimes life throws unexpected challenges."/>
    <x v="187"/>
    <d v="2023-09-17T20:45:00"/>
    <x v="0"/>
    <s v=" #LifeChallenges #HighSchoolStruggles "/>
    <n v="22"/>
    <n v="44"/>
    <x v="0"/>
    <x v="0"/>
    <x v="8"/>
    <n v="17"/>
    <n v="20"/>
    <x v="17"/>
    <s v="Popular"/>
    <s v="No"/>
    <s v="Wide Reach"/>
    <x v="2"/>
    <s v="North America"/>
    <n v="2"/>
  </r>
  <r>
    <n v="695"/>
    <s v="LonelySaturdayHighSchool"/>
    <s v="Feeling lonely on a Saturday night. Sometimes solitude hits harder than expected."/>
    <x v="187"/>
    <d v="2023-09-18T22:00:00"/>
    <x v="1"/>
    <s v=" #LonelyNights #HighSchoolEmotions "/>
    <n v="16"/>
    <n v="31"/>
    <x v="1"/>
    <x v="0"/>
    <x v="8"/>
    <n v="18"/>
    <n v="22"/>
    <x v="37"/>
    <s v="Normal"/>
    <s v="No"/>
    <s v="Standard"/>
    <x v="2"/>
    <s v="North America"/>
    <n v="1.9375"/>
  </r>
  <r>
    <n v="696"/>
    <s v="CyberbullyingVictimHighSchool"/>
    <s v="Experiencing cyberbullying. Hateful messages online are disheartening."/>
    <x v="188"/>
    <d v="2023-09-19T15:15:00"/>
    <x v="2"/>
    <s v=" #StopCyberbullying #HighSchoolReality "/>
    <n v="14"/>
    <n v="27"/>
    <x v="2"/>
    <x v="0"/>
    <x v="8"/>
    <n v="19"/>
    <n v="15"/>
    <x v="38"/>
    <s v="Normal"/>
    <s v="No"/>
    <s v="Standard"/>
    <x v="0"/>
    <s v="Europe"/>
    <n v="1.9285714285714286"/>
  </r>
  <r>
    <n v="697"/>
    <s v="RainyDayBluesHighSchool"/>
    <s v="Caught in a torrential rainstorm without an umbrella. Today's weather is just bad luck."/>
    <x v="189"/>
    <d v="2023-09-20T12:30:00"/>
    <x v="0"/>
    <s v=" #BadLuck #HighSchoolWeather "/>
    <n v="18"/>
    <n v="35"/>
    <x v="0"/>
    <x v="0"/>
    <x v="8"/>
    <n v="20"/>
    <n v="12"/>
    <x v="8"/>
    <s v="Normal"/>
    <s v="No"/>
    <s v="Standard"/>
    <x v="0"/>
    <s v="North America"/>
    <n v="1.9444444444444444"/>
  </r>
  <r>
    <n v="698"/>
    <s v="MissedOpportunityHighSchool"/>
    <s v="Missing an important event due to unforeseen circumstances. A day filled with sadness."/>
    <x v="187"/>
    <d v="2023-09-21T16:45:00"/>
    <x v="1"/>
    <s v=" #MissedChances #HighSchoolRegret "/>
    <n v="20"/>
    <n v="39"/>
    <x v="1"/>
    <x v="0"/>
    <x v="8"/>
    <n v="21"/>
    <n v="16"/>
    <x v="35"/>
    <s v="Normal"/>
    <s v="No"/>
    <s v="Standard"/>
    <x v="0"/>
    <s v="North America"/>
    <n v="1.95"/>
  </r>
  <r>
    <n v="699"/>
    <s v="RumorVictimHighSchool"/>
    <s v="Dealing with unfounded rumors circulating about personal life. Rumors can be hurtful."/>
    <x v="188"/>
    <d v="2023-09-22T18:20:00"/>
    <x v="2"/>
    <s v=" #RumorMills #HighSchoolDrama "/>
    <n v="23"/>
    <n v="46"/>
    <x v="2"/>
    <x v="0"/>
    <x v="8"/>
    <n v="22"/>
    <n v="18"/>
    <x v="23"/>
    <s v="Popular"/>
    <s v="No"/>
    <s v="Wide Reach"/>
    <x v="2"/>
    <s v="Europe"/>
    <n v="2"/>
  </r>
  <r>
    <n v="700"/>
    <s v="FlatTireWoesHighSchool"/>
    <s v="Got a flat tire on the way to an important meeting. Talk about a series of bad events!"/>
    <x v="189"/>
    <d v="2023-09-23T14:15:00"/>
    <x v="0"/>
    <s v=" #BadLuckDay #HighSchoolStruggles "/>
    <n v="25"/>
    <n v="50"/>
    <x v="0"/>
    <x v="0"/>
    <x v="8"/>
    <n v="23"/>
    <n v="14"/>
    <x v="5"/>
    <s v="Popular"/>
    <s v="No"/>
    <s v="Wide Reach"/>
    <x v="0"/>
    <s v="North America"/>
    <n v="2"/>
  </r>
  <r>
    <n v="701"/>
    <s v="FriendMovingAwayHighSchool"/>
    <s v="Feeling a sense of emptiness after a close friend moves away. Farewells are always sad."/>
    <x v="187"/>
    <d v="2023-09-24T17:30:00"/>
    <x v="1"/>
    <s v=" #SayingGoodbye #HighSchoolEmotions "/>
    <n v="21"/>
    <n v="42"/>
    <x v="1"/>
    <x v="0"/>
    <x v="8"/>
    <n v="24"/>
    <n v="17"/>
    <x v="22"/>
    <s v="Popular"/>
    <s v="No"/>
    <s v="Wide Reach"/>
    <x v="0"/>
    <s v="North America"/>
    <n v="2"/>
  </r>
  <r>
    <n v="702"/>
    <s v="CollegeRejectionHighSchool"/>
    <s v="Facing rejection from a dream college. Disheartened but determined to explore other paths."/>
    <x v="187"/>
    <d v="2023-09-25T20:45:00"/>
    <x v="2"/>
    <s v=" #CollegeDreams #HighSchoolJourney "/>
    <n v="19"/>
    <n v="37"/>
    <x v="2"/>
    <x v="0"/>
    <x v="8"/>
    <n v="25"/>
    <n v="20"/>
    <x v="32"/>
    <s v="Normal"/>
    <s v="No"/>
    <s v="Standard"/>
    <x v="2"/>
    <s v="Europe"/>
    <n v="1.9473684210526316"/>
  </r>
  <r>
    <n v="703"/>
    <s v="GamingToxicityHighSchool"/>
    <s v="Encountering online toxicity during a gaming session. Hateful comments can ruin the fun."/>
    <x v="188"/>
    <d v="2023-09-26T14:15:00"/>
    <x v="0"/>
    <s v=" #OnlineGaming #HighSchoolGamer "/>
    <n v="16"/>
    <n v="32"/>
    <x v="0"/>
    <x v="0"/>
    <x v="8"/>
    <n v="26"/>
    <n v="14"/>
    <x v="21"/>
    <s v="Normal"/>
    <s v="No"/>
    <s v="Standard"/>
    <x v="0"/>
    <s v="North America"/>
    <n v="2"/>
  </r>
  <r>
    <n v="704"/>
    <s v="BadHairDayBluesHighSchool"/>
    <s v="Having a bad hair day and feeling self-conscious. Bad hair days can affect confidence."/>
    <x v="189"/>
    <d v="2023-09-27T17:30:00"/>
    <x v="1"/>
    <s v=" #BadHairDay #HighSchoolConfidence "/>
    <n v="18"/>
    <n v="36"/>
    <x v="1"/>
    <x v="0"/>
    <x v="8"/>
    <n v="27"/>
    <n v="17"/>
    <x v="15"/>
    <s v="Normal"/>
    <s v="No"/>
    <s v="Standard"/>
    <x v="0"/>
    <s v="North America"/>
    <n v="2"/>
  </r>
  <r>
    <n v="705"/>
    <s v="ProjectFailureDespairHighSchool"/>
    <s v="Feeling a sense of despair after a major project failure. Hard work didn't pay off this time."/>
    <x v="187"/>
    <d v="2023-09-28T22:00:00"/>
    <x v="2"/>
    <s v=" #ProjectStruggles #HighSchoolHardships "/>
    <n v="21"/>
    <n v="41"/>
    <x v="2"/>
    <x v="0"/>
    <x v="8"/>
    <n v="28"/>
    <n v="22"/>
    <x v="28"/>
    <s v="Popular"/>
    <s v="No"/>
    <s v="Wide Reach"/>
    <x v="2"/>
    <s v="Europe"/>
    <n v="1.9523809523809523"/>
  </r>
  <r>
    <n v="706"/>
    <s v="OpinionsHateHighSchool"/>
    <s v="Experiencing hate comments for expressing personal opinions. Online negativity prevails."/>
    <x v="188"/>
    <d v="2023-09-29T15:45:00"/>
    <x v="0"/>
    <s v=" #OnlineOpinions #HighSchoolCriticism "/>
    <n v="24"/>
    <n v="48"/>
    <x v="0"/>
    <x v="0"/>
    <x v="8"/>
    <n v="29"/>
    <n v="15"/>
    <x v="24"/>
    <s v="Popular"/>
    <s v="No"/>
    <s v="Wide Reach"/>
    <x v="0"/>
    <s v="North America"/>
    <n v="2"/>
  </r>
  <r>
    <n v="707"/>
    <s v="TechMalfunctionWoesHighSchool"/>
    <s v="Having a string of bad luck with constant technology malfunctions. Tech troubles galore!"/>
    <x v="189"/>
    <d v="2023-09-30T18:20:00"/>
    <x v="1"/>
    <s v=" #TechIssues #HighSchoolTech "/>
    <n v="22"/>
    <n v="43"/>
    <x v="1"/>
    <x v="0"/>
    <x v="8"/>
    <n v="30"/>
    <n v="18"/>
    <x v="34"/>
    <s v="Popular"/>
    <s v="No"/>
    <s v="Wide Reach"/>
    <x v="2"/>
    <s v="North America"/>
    <n v="1.9545454545454546"/>
  </r>
  <r>
    <n v="708"/>
    <s v="MissedEventBluesHighSchool"/>
    <s v="Missing out on a long-anticipated event due to unexpected circumstances. A day filled with sadness."/>
    <x v="187"/>
    <d v="2023-10-01T14:15:00"/>
    <x v="2"/>
    <s v=" #MissedMoments #HighSchoolRegret "/>
    <n v="20"/>
    <n v="39"/>
    <x v="2"/>
    <x v="0"/>
    <x v="10"/>
    <n v="1"/>
    <n v="14"/>
    <x v="35"/>
    <s v="Normal"/>
    <s v="No"/>
    <s v="Standard"/>
    <x v="0"/>
    <s v="Europe"/>
    <n v="1.95"/>
  </r>
  <r>
    <n v="709"/>
    <s v="StudyTechniqueExperimentHighSchool"/>
    <s v="Trying out a new study technique for upcoming exams. Exploring different learning strategies."/>
    <x v="2"/>
    <d v="2023-10-02T16:45:00"/>
    <x v="1"/>
    <s v=" #StudyStrategies #HighSchoolExams "/>
    <n v="23"/>
    <n v="42"/>
    <x v="0"/>
    <x v="0"/>
    <x v="10"/>
    <n v="2"/>
    <n v="16"/>
    <x v="34"/>
    <s v="Popular"/>
    <s v="No"/>
    <s v="Wide Reach"/>
    <x v="0"/>
    <s v="North America"/>
    <n v="1.826086956521739"/>
  </r>
  <r>
    <n v="710"/>
    <s v="CommunityCleanupHighSchool"/>
    <s v="Organizing a community cleanup event for a cleaner neighborhood. Promoting environmental awareness."/>
    <x v="2"/>
    <d v="2023-10-03T12:30:00"/>
    <x v="0"/>
    <s v=" #EnvironmentalEfforts #HighSchoolCommunity "/>
    <n v="26"/>
    <n v="50"/>
    <x v="1"/>
    <x v="0"/>
    <x v="10"/>
    <n v="3"/>
    <n v="12"/>
    <x v="39"/>
    <s v="Popular"/>
    <s v="No"/>
    <s v="Wide Reach"/>
    <x v="0"/>
    <s v="North America"/>
    <n v="1.9230769230769231"/>
  </r>
  <r>
    <n v="711"/>
    <s v="BookRecommendationsHighSchool"/>
    <s v="Sharing favorite book recommendations with classmates. Building a mini book club."/>
    <x v="2"/>
    <d v="2023-10-04T18:20:00"/>
    <x v="2"/>
    <s v=" #BookClub #HighSchoolReads "/>
    <n v="19"/>
    <n v="38"/>
    <x v="2"/>
    <x v="0"/>
    <x v="10"/>
    <n v="4"/>
    <n v="18"/>
    <x v="20"/>
    <s v="Normal"/>
    <s v="No"/>
    <s v="Standard"/>
    <x v="2"/>
    <s v="Europe"/>
    <n v="2"/>
  </r>
  <r>
    <n v="712"/>
    <s v="BakeSaleRecipeExperimentHighSchool"/>
    <s v="Experimenting with a new recipe for a school bake sale. Baking adventures in the kitchen."/>
    <x v="2"/>
    <d v="2023-10-05T14:15:00"/>
    <x v="1"/>
    <s v=" #BakingAdventures #HighSchoolBakes "/>
    <n v="21"/>
    <n v="43"/>
    <x v="0"/>
    <x v="0"/>
    <x v="10"/>
    <n v="5"/>
    <n v="14"/>
    <x v="40"/>
    <s v="Popular"/>
    <s v="No"/>
    <s v="Wide Reach"/>
    <x v="0"/>
    <s v="North America"/>
    <n v="2.0476190476190474"/>
  </r>
  <r>
    <n v="713"/>
    <s v="SchoolProjectCollaborationHighSchool"/>
    <s v="Collaborating on a school project with peers. Teamwork makes the dream work."/>
    <x v="2"/>
    <d v="2023-10-06T17:30:00"/>
    <x v="0"/>
    <s v=" #Teamwork #HighSchoolProjects "/>
    <n v="18"/>
    <n v="36"/>
    <x v="1"/>
    <x v="0"/>
    <x v="10"/>
    <n v="6"/>
    <n v="17"/>
    <x v="15"/>
    <s v="Normal"/>
    <s v="No"/>
    <s v="Standard"/>
    <x v="0"/>
    <s v="North America"/>
    <n v="2"/>
  </r>
  <r>
    <n v="714"/>
    <s v="ExtracurricularExplorationHighSchool"/>
    <s v="Attending a school club meeting to explore new interests. Dabbling in extracurricular activities."/>
    <x v="2"/>
    <d v="2023-10-07T20:45:00"/>
    <x v="1"/>
    <s v=" #SchoolClubs #HighSchoolInterests "/>
    <n v="22"/>
    <n v="45"/>
    <x v="2"/>
    <x v="0"/>
    <x v="10"/>
    <n v="7"/>
    <n v="20"/>
    <x v="9"/>
    <s v="Popular"/>
    <s v="No"/>
    <s v="Wide Reach"/>
    <x v="2"/>
    <s v="Europe"/>
    <n v="2.0454545454545454"/>
  </r>
  <r>
    <n v="715"/>
    <s v="PartTimeJobExplorationHighSchool"/>
    <s v="Exploring a new part-time job opportunity for gaining work experience. Career development in progress."/>
    <x v="2"/>
    <d v="2023-10-08T15:15:00"/>
    <x v="2"/>
    <s v=" #CareerDevelopment #HighSchoolJobs "/>
    <n v="24"/>
    <n v="48"/>
    <x v="0"/>
    <x v="0"/>
    <x v="10"/>
    <n v="8"/>
    <n v="15"/>
    <x v="24"/>
    <s v="Popular"/>
    <s v="No"/>
    <s v="Wide Reach"/>
    <x v="0"/>
    <s v="North America"/>
    <n v="2"/>
  </r>
  <r>
    <n v="716"/>
    <s v="SchoolAssemblyParticipationHighSchool"/>
    <s v="Attending a school assembly to stay informed about upcoming events and announcements. Staying connected with school activities."/>
    <x v="2"/>
    <d v="2023-10-09T22:00:00"/>
    <x v="0"/>
    <s v=" #SchoolEvents #HighSchoolConnectivity "/>
    <n v="20"/>
    <n v="40"/>
    <x v="1"/>
    <x v="0"/>
    <x v="10"/>
    <n v="9"/>
    <n v="22"/>
    <x v="2"/>
    <s v="Normal"/>
    <s v="No"/>
    <s v="Standard"/>
    <x v="2"/>
    <s v="North America"/>
    <n v="2"/>
  </r>
  <r>
    <n v="717"/>
    <s v="PhotographyHobbyHighSchool"/>
    <s v="Exploring a new hobby of photography during free time. Capturing moments through a lens."/>
    <x v="2"/>
    <d v="2023-10-10T14:15:00"/>
    <x v="1"/>
    <s v=" #PhotographyJourney #HighSchoolHobbies "/>
    <n v="25"/>
    <n v="49"/>
    <x v="2"/>
    <x v="0"/>
    <x v="10"/>
    <n v="10"/>
    <n v="14"/>
    <x v="30"/>
    <s v="Popular"/>
    <s v="No"/>
    <s v="Wide Reach"/>
    <x v="0"/>
    <s v="Europe"/>
    <n v="1.96"/>
  </r>
  <r>
    <n v="718"/>
    <s v="ScienceFairParticipationHighSchool"/>
    <s v="Participating in a science fair to showcase a unique experiment. Sharing knowledge with peers."/>
    <x v="2"/>
    <d v="2023-10-11T16:45:00"/>
    <x v="2"/>
    <s v=" #ScienceFair #HighSchoolScience "/>
    <n v="19"/>
    <n v="37"/>
    <x v="0"/>
    <x v="0"/>
    <x v="10"/>
    <n v="11"/>
    <n v="16"/>
    <x v="32"/>
    <s v="Normal"/>
    <s v="No"/>
    <s v="Standard"/>
    <x v="0"/>
    <s v="North America"/>
    <n v="1.9473684210526316"/>
  </r>
  <r>
    <n v="719"/>
    <s v="TimeManagementWorkshopHighSchool"/>
    <s v="Attending a workshop on time management to enhance organizational skills. Striving for efficiency."/>
    <x v="2"/>
    <d v="2023-10-12T18:20:00"/>
    <x v="0"/>
    <s v=" #EfficiencyGoals #HighSchoolSkills "/>
    <n v="23"/>
    <n v="44"/>
    <x v="1"/>
    <x v="0"/>
    <x v="10"/>
    <n v="12"/>
    <n v="18"/>
    <x v="9"/>
    <s v="Popular"/>
    <s v="No"/>
    <s v="Wide Reach"/>
    <x v="2"/>
    <s v="North America"/>
    <n v="1.9130434782608696"/>
  </r>
  <r>
    <n v="720"/>
    <s v="CharityEventVolunteerHighSchool"/>
    <s v="Volunteering at a local charity event to give back to the community. Contributing to social causes."/>
    <x v="2"/>
    <d v="2023-10-13T12:30:00"/>
    <x v="1"/>
    <s v=" #CommunityService #HighSchoolVolunteer "/>
    <n v="20"/>
    <n v="39"/>
    <x v="2"/>
    <x v="0"/>
    <x v="10"/>
    <n v="13"/>
    <n v="12"/>
    <x v="35"/>
    <s v="Normal"/>
    <s v="No"/>
    <s v="Standard"/>
    <x v="0"/>
    <s v="Europe"/>
    <n v="1.95"/>
  </r>
  <r>
    <n v="721"/>
    <s v="GroupProjectCollaborationHighSchool"/>
    <s v="Collaborating on a group project to promote teamwork and shared responsibilities. Group effort in action."/>
    <x v="2"/>
    <d v="2023-10-14T17:30:00"/>
    <x v="2"/>
    <s v=" #TeamSpirit #HighSchoolProjects "/>
    <n v="18"/>
    <n v="35"/>
    <x v="0"/>
    <x v="0"/>
    <x v="10"/>
    <n v="14"/>
    <n v="17"/>
    <x v="8"/>
    <s v="Normal"/>
    <s v="No"/>
    <s v="Standard"/>
    <x v="0"/>
    <s v="North America"/>
    <n v="1.9444444444444444"/>
  </r>
  <r>
    <n v="722"/>
    <s v="DebateClubParticipationHighSchool"/>
    <s v="Participating in a debate club to enhance critical thinking and communication skills. Intellectual engagement in progress."/>
    <x v="2"/>
    <d v="2023-10-15T20:45:00"/>
    <x v="0"/>
    <s v=" #DebateSkills #HighSchoolIntellect "/>
    <n v="22"/>
    <n v="43"/>
    <x v="1"/>
    <x v="0"/>
    <x v="10"/>
    <n v="15"/>
    <n v="20"/>
    <x v="34"/>
    <s v="Popular"/>
    <s v="No"/>
    <s v="Wide Reach"/>
    <x v="2"/>
    <s v="North America"/>
    <n v="1.9545454545454546"/>
  </r>
  <r>
    <n v="723"/>
    <s v="BirthdaySurpriseHighSchool"/>
    <s v="Celebrating a friend's birthday with a surprise party. Joyful moments and laughter all around!"/>
    <x v="190"/>
    <d v="2023-10-16T15:45:00"/>
    <x v="1"/>
    <s v=" #SurpriseParty #HighSchoolCelebration "/>
    <n v="27"/>
    <n v="52"/>
    <x v="2"/>
    <x v="0"/>
    <x v="10"/>
    <n v="16"/>
    <n v="15"/>
    <x v="33"/>
    <s v="Popular"/>
    <s v="Yes"/>
    <s v="Wide Reach"/>
    <x v="0"/>
    <s v="Europe"/>
    <n v="1.9259259259259258"/>
  </r>
  <r>
    <n v="724"/>
    <s v="CodingSuccessHighSchool"/>
    <s v="Successfully completing a challenging coding project. Excitement for overcoming coding hurdles!"/>
    <x v="190"/>
    <d v="2023-10-17T12:30:00"/>
    <x v="0"/>
    <s v=" #CodingTriumph #HighSchoolTech "/>
    <n v="24"/>
    <n v="48"/>
    <x v="0"/>
    <x v="0"/>
    <x v="10"/>
    <n v="17"/>
    <n v="12"/>
    <x v="24"/>
    <s v="Popular"/>
    <s v="No"/>
    <s v="Wide Reach"/>
    <x v="0"/>
    <s v="North America"/>
    <n v="2"/>
  </r>
  <r>
    <n v="725"/>
    <s v="TalentShowSupportHighSchool"/>
    <s v="Attending a school talent show to support classmates. Applauding the diverse talents on display!"/>
    <x v="190"/>
    <d v="2023-10-18T16:45:00"/>
    <x v="2"/>
    <s v=" #TalentShow #HighSchoolEntertainment "/>
    <n v="19"/>
    <n v="38"/>
    <x v="1"/>
    <x v="0"/>
    <x v="10"/>
    <n v="18"/>
    <n v="16"/>
    <x v="20"/>
    <s v="Normal"/>
    <s v="No"/>
    <s v="Standard"/>
    <x v="0"/>
    <s v="North America"/>
    <n v="2"/>
  </r>
  <r>
    <n v="726"/>
    <s v="WeekendHikeHighSchool"/>
    <s v="Exploring a new hiking trail with friends over the weekend. Nature, laughter, and good vibes!"/>
    <x v="190"/>
    <d v="2023-10-19T18:20:00"/>
    <x v="1"/>
    <s v=" #NatureAdventures #HighSchoolFriends "/>
    <n v="21"/>
    <n v="42"/>
    <x v="2"/>
    <x v="0"/>
    <x v="10"/>
    <n v="19"/>
    <n v="18"/>
    <x v="22"/>
    <s v="Popular"/>
    <s v="No"/>
    <s v="Wide Reach"/>
    <x v="2"/>
    <s v="Europe"/>
    <n v="2"/>
  </r>
  <r>
    <n v="727"/>
    <s v="SportsVictoryHighSchool"/>
    <s v="Winning a friendly sports competition against rival schools. Victory celebrations in full swing!"/>
    <x v="190"/>
    <d v="2023-10-20T14:15:00"/>
    <x v="0"/>
    <s v=" #SportsTriumph #HighSchoolAthletics "/>
    <n v="26"/>
    <n v="50"/>
    <x v="0"/>
    <x v="0"/>
    <x v="10"/>
    <n v="20"/>
    <n v="14"/>
    <x v="39"/>
    <s v="Popular"/>
    <s v="No"/>
    <s v="Wide Reach"/>
    <x v="0"/>
    <s v="North America"/>
    <n v="1.9230769230769231"/>
  </r>
  <r>
    <n v="728"/>
    <s v="PenPalConnectionHighSchool"/>
    <s v="Receiving a heartfelt letter from a pen pal in another country. Connecting across the globe!"/>
    <x v="190"/>
    <d v="2023-10-21T17:30:00"/>
    <x v="2"/>
    <s v=" #GlobalFriendship #HighSchoolCorrespondence "/>
    <n v="23"/>
    <n v="45"/>
    <x v="1"/>
    <x v="0"/>
    <x v="10"/>
    <n v="21"/>
    <n v="17"/>
    <x v="41"/>
    <s v="Popular"/>
    <s v="No"/>
    <s v="Wide Reach"/>
    <x v="0"/>
    <s v="North America"/>
    <n v="1.9565217391304348"/>
  </r>
  <r>
    <n v="729"/>
    <s v="MuralCreationHighSchool"/>
    <s v="Creating a beautiful mural with fellow art enthusiasts. The power of collaboration and creativity!"/>
    <x v="190"/>
    <d v="2023-10-22T20:45:00"/>
    <x v="1"/>
    <s v=" #ArtCollaboration #HighSchoolCreativity "/>
    <n v="22"/>
    <n v="43"/>
    <x v="2"/>
    <x v="0"/>
    <x v="10"/>
    <n v="22"/>
    <n v="20"/>
    <x v="34"/>
    <s v="Popular"/>
    <s v="No"/>
    <s v="Wide Reach"/>
    <x v="2"/>
    <s v="Europe"/>
    <n v="1.9545454545454546"/>
  </r>
  <r>
    <n v="730"/>
    <s v="ArtExhibitionJoyHighSchool"/>
    <s v="Participating in a school-wide art exhibition. Witnessing creativity and spreading positive vibes!"/>
    <x v="190"/>
    <d v="2015-11-10T16:45:00"/>
    <x v="1"/>
    <s v=" #ArtisticExpression #HighSchoolCreativity "/>
    <n v="23"/>
    <n v="44"/>
    <x v="0"/>
    <x v="8"/>
    <x v="6"/>
    <n v="10"/>
    <n v="16"/>
    <x v="9"/>
    <s v="Popular"/>
    <s v="No"/>
    <s v="Wide Reach"/>
    <x v="0"/>
    <s v="North America"/>
    <n v="1.9130434782608696"/>
  </r>
  <r>
    <n v="731"/>
    <s v="TrackFieldSuccessHighSchool"/>
    <s v="Achieving a personal best in a track and field competition. The thrill of victory and self-improvement!"/>
    <x v="190"/>
    <d v="2016-09-14T12:30:00"/>
    <x v="0"/>
    <s v=" #AthleticAchievement #HighSchoolSports "/>
    <n v="26"/>
    <n v="51"/>
    <x v="1"/>
    <x v="9"/>
    <x v="8"/>
    <n v="14"/>
    <n v="12"/>
    <x v="42"/>
    <s v="Popular"/>
    <s v="Yes"/>
    <s v="Wide Reach"/>
    <x v="0"/>
    <s v="North America"/>
    <n v="1.9615384615384615"/>
  </r>
  <r>
    <n v="732"/>
    <s v="ScienceProjectSuccessHighSchool"/>
    <s v="Collaborating on a science project that received recognition at a regional fair. Science triumphs and smiles!"/>
    <x v="190"/>
    <d v="2017-08-18T18:20:00"/>
    <x v="2"/>
    <s v=" #ScienceFairWinner #HighSchoolScience "/>
    <n v="20"/>
    <n v="39"/>
    <x v="2"/>
    <x v="10"/>
    <x v="4"/>
    <n v="18"/>
    <n v="18"/>
    <x v="35"/>
    <s v="Normal"/>
    <s v="No"/>
    <s v="Standard"/>
    <x v="2"/>
    <s v="Europe"/>
    <n v="1.95"/>
  </r>
  <r>
    <n v="733"/>
    <s v="BirthdayPartyJoyHighSchool"/>
    <s v="Attending a surprise birthday party organized by friends. Surrounded by love, laughter, and good company!"/>
    <x v="190"/>
    <d v="2018-06-22T14:15:00"/>
    <x v="1"/>
    <s v=" #SurpriseCelebration #HighSchoolFriendship "/>
    <n v="25"/>
    <n v="48"/>
    <x v="0"/>
    <x v="11"/>
    <x v="5"/>
    <n v="22"/>
    <n v="14"/>
    <x v="43"/>
    <s v="Popular"/>
    <s v="No"/>
    <s v="Wide Reach"/>
    <x v="0"/>
    <s v="North America"/>
    <n v="1.92"/>
  </r>
  <r>
    <n v="734"/>
    <s v="CharityFundraisingTriumphHighSchool"/>
    <s v="Successfully fundraising for a school charity initiative. The joy of giving back to the community!"/>
    <x v="190"/>
    <d v="2019-04-05T17:30:00"/>
    <x v="0"/>
    <s v=" #CommunityGiving #HighSchoolPhilanthropy "/>
    <n v="22"/>
    <n v="42"/>
    <x v="1"/>
    <x v="12"/>
    <x v="7"/>
    <n v="5"/>
    <n v="17"/>
    <x v="40"/>
    <s v="Popular"/>
    <s v="No"/>
    <s v="Wide Reach"/>
    <x v="0"/>
    <s v="North America"/>
    <n v="1.9090909090909092"/>
  </r>
  <r>
    <n v="735"/>
    <s v="MulticulturalFestivalJoyHighSchool"/>
    <s v="Participating in a multicultural festival, celebrating diversity with music, dance, and delicious food!"/>
    <x v="190"/>
    <d v="2020-02-29T20:45:00"/>
    <x v="2"/>
    <s v=" #CulturalCelebration #HighSchoolUnity "/>
    <n v="21"/>
    <n v="43"/>
    <x v="2"/>
    <x v="13"/>
    <x v="1"/>
    <n v="29"/>
    <n v="20"/>
    <x v="40"/>
    <s v="Popular"/>
    <s v="No"/>
    <s v="Wide Reach"/>
    <x v="2"/>
    <s v="Europe"/>
    <n v="2.0476190476190474"/>
  </r>
  <r>
    <n v="736"/>
    <s v="VirtualTalentShowSuccessHighSchool"/>
    <s v="Organizing a virtual talent show during challenging times, bringing smiles to classmates' faces!"/>
    <x v="190"/>
    <d v="2020-11-15T15:15:00"/>
    <x v="1"/>
    <s v=" #VirtualEntertainment #HighSchoolPositivity "/>
    <n v="24"/>
    <n v="47"/>
    <x v="0"/>
    <x v="13"/>
    <x v="6"/>
    <n v="15"/>
    <n v="15"/>
    <x v="44"/>
    <s v="Popular"/>
    <s v="No"/>
    <s v="Wide Reach"/>
    <x v="0"/>
    <s v="North America"/>
    <n v="1.95833333333333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x v="0"/>
    <s v="Enjoying a beautiful day at the park!"/>
    <s v="Positive"/>
    <d v="2023-01-15T12:30:00"/>
    <x v="0"/>
    <s v=" #Nature #Park                            "/>
    <n v="15"/>
    <n v="30"/>
    <s v="USA"/>
    <n v="2023"/>
    <n v="1"/>
    <n v="15"/>
    <n v="12"/>
    <n v="45"/>
    <s v="Normal"/>
    <s v="No"/>
    <s v="Standard"/>
    <s v="Afternoon"/>
    <x v="0"/>
    <n v="2"/>
  </r>
  <r>
    <x v="1"/>
    <s v="Traffic was terrible this morning."/>
    <s v="Negative"/>
    <d v="2023-01-15T08:45:00"/>
    <x v="0"/>
    <s v=" #Traffic #Morning                        "/>
    <n v="5"/>
    <n v="10"/>
    <s v="Canada"/>
    <n v="2023"/>
    <n v="1"/>
    <n v="15"/>
    <n v="8"/>
    <n v="15"/>
    <s v="Normal"/>
    <s v="No"/>
    <s v="Standard"/>
    <s v="Morning"/>
    <x v="0"/>
    <n v="2"/>
  </r>
  <r>
    <x v="2"/>
    <s v="Just finished an amazing workout! ðŸ’ª"/>
    <s v="Positive"/>
    <d v="2023-01-15T15:45:00"/>
    <x v="1"/>
    <s v=" #Fitness #Workout                        "/>
    <n v="20"/>
    <n v="40"/>
    <s v="USA"/>
    <n v="2023"/>
    <n v="1"/>
    <n v="15"/>
    <n v="15"/>
    <n v="60"/>
    <s v="Normal"/>
    <s v="No"/>
    <s v="Standard"/>
    <s v="Afternoon"/>
    <x v="0"/>
    <n v="2"/>
  </r>
  <r>
    <x v="3"/>
    <s v="Excited about the upcoming weekend getaway!"/>
    <s v="Positive"/>
    <d v="2023-01-15T18:20:00"/>
    <x v="2"/>
    <s v=" #Travel #Adventure                       "/>
    <n v="8"/>
    <n v="15"/>
    <s v="UK"/>
    <n v="2023"/>
    <n v="1"/>
    <n v="15"/>
    <n v="18"/>
    <n v="23"/>
    <s v="Normal"/>
    <s v="No"/>
    <s v="Standard"/>
    <s v="Evening"/>
    <x v="1"/>
    <n v="1.875"/>
  </r>
  <r>
    <x v="4"/>
    <s v="Trying out a new recipe for dinner tonight."/>
    <s v="Neutral"/>
    <d v="2023-01-15T19:55:00"/>
    <x v="1"/>
    <s v=" #Cooking #Food                           "/>
    <n v="12"/>
    <n v="25"/>
    <s v="Australia"/>
    <n v="2023"/>
    <n v="1"/>
    <n v="15"/>
    <n v="19"/>
    <n v="37"/>
    <s v="Normal"/>
    <s v="No"/>
    <s v="Standard"/>
    <s v="Evening"/>
    <x v="2"/>
    <n v="2.0833333333333335"/>
  </r>
  <r>
    <x v="5"/>
    <s v="Feeling grateful for the little things in life."/>
    <s v="Positive"/>
    <d v="2023-01-16T09:10:00"/>
    <x v="0"/>
    <s v=" #Gratitude #PositiveVibes              "/>
    <n v="25"/>
    <n v="50"/>
    <s v="India"/>
    <n v="2023"/>
    <n v="1"/>
    <n v="16"/>
    <n v="9"/>
    <n v="75"/>
    <s v="Popular"/>
    <s v="No"/>
    <s v="Wide Reach"/>
    <s v="Morning"/>
    <x v="3"/>
    <n v="2"/>
  </r>
  <r>
    <x v="6"/>
    <s v="Rainy days call for cozy blankets and hot cocoa."/>
    <s v="Positive"/>
    <d v="2023-01-16T14:45:00"/>
    <x v="2"/>
    <s v=" #RainyDays #Cozy                         "/>
    <n v="10"/>
    <n v="20"/>
    <s v="Canada"/>
    <n v="2023"/>
    <n v="1"/>
    <n v="16"/>
    <n v="14"/>
    <n v="30"/>
    <s v="Normal"/>
    <s v="No"/>
    <s v="Standard"/>
    <s v="Afternoon"/>
    <x v="0"/>
    <n v="2"/>
  </r>
  <r>
    <x v="7"/>
    <s v="The new movie release is a must-watch!"/>
    <s v="Positive"/>
    <d v="2023-01-16T19:30:00"/>
    <x v="1"/>
    <s v=" #MovieNight #MustWatch                  "/>
    <n v="15"/>
    <n v="30"/>
    <s v="USA"/>
    <n v="2023"/>
    <n v="1"/>
    <n v="16"/>
    <n v="19"/>
    <n v="45"/>
    <s v="Normal"/>
    <s v="No"/>
    <s v="Standard"/>
    <s v="Evening"/>
    <x v="0"/>
    <n v="2"/>
  </r>
  <r>
    <x v="8"/>
    <s v="Political discussions heating up on the timeline."/>
    <s v="Negative"/>
    <d v="2023-01-17T08:00:00"/>
    <x v="0"/>
    <s v=" #Politics #Debate                       "/>
    <n v="30"/>
    <n v="60"/>
    <s v="USA"/>
    <n v="2023"/>
    <n v="1"/>
    <n v="17"/>
    <n v="8"/>
    <n v="90"/>
    <s v="Popular"/>
    <s v="Yes"/>
    <s v="Wide Reach"/>
    <s v="Morning"/>
    <x v="0"/>
    <n v="2"/>
  </r>
  <r>
    <x v="9"/>
    <s v="Missing summer vibes and beach days."/>
    <s v="Neutral"/>
    <d v="2023-01-17T12:20:00"/>
    <x v="2"/>
    <s v=" #Summer #BeachDays                      "/>
    <n v="18"/>
    <n v="35"/>
    <s v="Australia"/>
    <n v="2023"/>
    <n v="1"/>
    <n v="17"/>
    <n v="12"/>
    <n v="53"/>
    <s v="Normal"/>
    <s v="No"/>
    <s v="Standard"/>
    <s v="Afternoon"/>
    <x v="2"/>
    <n v="1.9444444444444444"/>
  </r>
  <r>
    <x v="10"/>
    <s v="Just published a new blog post. Check it out!"/>
    <s v="Positive"/>
    <d v="2023-01-17T15:15:00"/>
    <x v="1"/>
    <s v=" #Blogging #NewPost                      "/>
    <n v="22"/>
    <n v="45"/>
    <s v="USA"/>
    <n v="2023"/>
    <n v="1"/>
    <n v="17"/>
    <n v="15"/>
    <n v="67"/>
    <s v="Popular"/>
    <s v="No"/>
    <s v="Wide Reach"/>
    <s v="Afternoon"/>
    <x v="0"/>
    <n v="2.0454545454545454"/>
  </r>
  <r>
    <x v="11"/>
    <s v="Feeling a bit under the weather today."/>
    <s v="Negative"/>
    <d v="2023-01-18T10:30:00"/>
    <x v="0"/>
    <s v=" #SickDay #Health                        "/>
    <n v="7"/>
    <n v="15"/>
    <s v="Canada"/>
    <n v="2023"/>
    <n v="1"/>
    <n v="18"/>
    <n v="10"/>
    <n v="22"/>
    <s v="Normal"/>
    <s v="No"/>
    <s v="Standard"/>
    <s v="Morning"/>
    <x v="0"/>
    <n v="2.1428571428571428"/>
  </r>
  <r>
    <x v="12"/>
    <s v="Exploring the city's hidden gems."/>
    <s v="Positive"/>
    <d v="2023-01-18T14:50:00"/>
    <x v="2"/>
    <s v=" #CityExplore #HiddenGems                "/>
    <n v="12"/>
    <n v="25"/>
    <s v="UK"/>
    <n v="2023"/>
    <n v="1"/>
    <n v="18"/>
    <n v="14"/>
    <n v="37"/>
    <s v="Normal"/>
    <s v="No"/>
    <s v="Standard"/>
    <s v="Afternoon"/>
    <x v="1"/>
    <n v="2.0833333333333335"/>
  </r>
  <r>
    <x v="13"/>
    <s v="New year, new fitness goals! ðŸ’ª"/>
    <s v="Positive"/>
    <d v="2023-01-18T18:00:00"/>
    <x v="1"/>
    <s v=" #NewYear #FitnessGoals                  "/>
    <n v="28"/>
    <n v="55"/>
    <s v="USA"/>
    <n v="2023"/>
    <n v="1"/>
    <n v="18"/>
    <n v="18"/>
    <n v="83"/>
    <s v="Popular"/>
    <s v="Yes"/>
    <s v="Wide Reach"/>
    <s v="Evening"/>
    <x v="0"/>
    <n v="1.9642857142857142"/>
  </r>
  <r>
    <x v="14"/>
    <s v="Technology is changing the way we live."/>
    <s v="Neutral"/>
    <d v="2023-01-19T09:45:00"/>
    <x v="0"/>
    <s v=" #Tech #Innovation                       "/>
    <n v="15"/>
    <n v="30"/>
    <s v="India"/>
    <n v="2023"/>
    <n v="1"/>
    <n v="19"/>
    <n v="9"/>
    <n v="45"/>
    <s v="Normal"/>
    <s v="No"/>
    <s v="Standard"/>
    <s v="Morning"/>
    <x v="3"/>
    <n v="2"/>
  </r>
  <r>
    <x v="15"/>
    <s v="Reflecting on the past and looking ahead."/>
    <s v="Positive"/>
    <d v="2023-01-19T13:20:00"/>
    <x v="2"/>
    <s v=" #Reflection #Future                     "/>
    <n v="20"/>
    <n v="40"/>
    <s v="USA"/>
    <n v="2023"/>
    <n v="1"/>
    <n v="19"/>
    <n v="13"/>
    <n v="60"/>
    <s v="Normal"/>
    <s v="No"/>
    <s v="Standard"/>
    <s v="Afternoon"/>
    <x v="0"/>
    <n v="2"/>
  </r>
  <r>
    <x v="16"/>
    <s v="Just adopted a cute furry friend! ðŸ¾"/>
    <s v="Positive"/>
    <d v="2023-01-19T17:10:00"/>
    <x v="1"/>
    <s v=" #PetAdoption #FurryFriend               "/>
    <n v="15"/>
    <n v="30"/>
    <s v="Canada"/>
    <n v="2023"/>
    <n v="1"/>
    <n v="19"/>
    <n v="17"/>
    <n v="45"/>
    <s v="Normal"/>
    <s v="No"/>
    <s v="Standard"/>
    <s v="Afternoon"/>
    <x v="0"/>
    <n v="2"/>
  </r>
  <r>
    <x v="17"/>
    <s v="Late-night gaming session with friends."/>
    <s v="Positive"/>
    <d v="2023-01-20T00:05:00"/>
    <x v="0"/>
    <s v=" #Gaming #LateNight                      "/>
    <n v="18"/>
    <n v="35"/>
    <s v="UK"/>
    <n v="2023"/>
    <n v="1"/>
    <n v="20"/>
    <n v="0"/>
    <n v="53"/>
    <s v="Normal"/>
    <s v="No"/>
    <s v="Standard"/>
    <s v="Night"/>
    <x v="1"/>
    <n v="1.9444444444444444"/>
  </r>
  <r>
    <x v="18"/>
    <s v="Attending a virtual conference on AI."/>
    <s v="Neutral"/>
    <d v="2023-01-20T11:30:00"/>
    <x v="2"/>
    <s v=" #AI #TechConference                     "/>
    <n v="25"/>
    <n v="50"/>
    <s v="USA"/>
    <n v="2023"/>
    <n v="1"/>
    <n v="20"/>
    <n v="11"/>
    <n v="75"/>
    <s v="Popular"/>
    <s v="No"/>
    <s v="Wide Reach"/>
    <s v="Morning"/>
    <x v="0"/>
    <n v="2"/>
  </r>
  <r>
    <x v="19"/>
    <s v="Winter blues got me feeling low."/>
    <s v="Negative"/>
    <d v="2023-01-20T15:15:00"/>
    <x v="1"/>
    <s v=" #WinterBlues #Mood                      "/>
    <n v="8"/>
    <n v="15"/>
    <s v="USA"/>
    <n v="2023"/>
    <n v="1"/>
    <n v="20"/>
    <n v="15"/>
    <n v="23"/>
    <s v="Normal"/>
    <s v="No"/>
    <s v="Standard"/>
    <s v="Afternoon"/>
    <x v="0"/>
    <n v="1.875"/>
  </r>
  <r>
    <x v="20"/>
    <s v="Sipping coffee and enjoying a good book."/>
    <s v="Positive"/>
    <d v="2023-01-21T08:40:00"/>
    <x v="0"/>
    <s v=" #Reading #CoffeeTime                    "/>
    <n v="22"/>
    <n v="45"/>
    <s v="India"/>
    <n v="2023"/>
    <n v="1"/>
    <n v="21"/>
    <n v="8"/>
    <n v="67"/>
    <s v="Popular"/>
    <s v="No"/>
    <s v="Wide Reach"/>
    <s v="Morning"/>
    <x v="3"/>
    <n v="2.0454545454545454"/>
  </r>
  <r>
    <x v="21"/>
    <s v="Exploring the world of virtual reality."/>
    <s v="Positive"/>
    <d v="2023-01-21T13:20:00"/>
    <x v="2"/>
    <s v=" #VR #VirtualReality                     "/>
    <n v="15"/>
    <n v="30"/>
    <s v="USA"/>
    <n v="2023"/>
    <n v="1"/>
    <n v="21"/>
    <n v="13"/>
    <n v="45"/>
    <s v="Normal"/>
    <s v="No"/>
    <s v="Standard"/>
    <s v="Afternoon"/>
    <x v="0"/>
    <n v="2"/>
  </r>
  <r>
    <x v="22"/>
    <s v="Productive day ticking off my to-do list."/>
    <s v="Positive"/>
    <d v="2023-01-21T16:45:00"/>
    <x v="1"/>
    <s v=" #Productivity #WorkFromHome           "/>
    <n v="30"/>
    <n v="60"/>
    <s v="USA"/>
    <n v="2023"/>
    <n v="1"/>
    <n v="21"/>
    <n v="16"/>
    <n v="90"/>
    <s v="Popular"/>
    <s v="Yes"/>
    <s v="Wide Reach"/>
    <s v="Afternoon"/>
    <x v="0"/>
    <n v="2"/>
  </r>
  <r>
    <x v="23"/>
    <s v="Just finished a challenging workout routine."/>
    <s v="Positive"/>
    <d v="2023-01-22T09:15:00"/>
    <x v="0"/>
    <s v=" #Fitness #ChallengeAccepted             "/>
    <n v="20"/>
    <n v="40"/>
    <s v="UK"/>
    <n v="2023"/>
    <n v="1"/>
    <n v="22"/>
    <n v="9"/>
    <n v="60"/>
    <s v="Normal"/>
    <s v="No"/>
    <s v="Standard"/>
    <s v="Morning"/>
    <x v="1"/>
    <n v="2"/>
  </r>
  <r>
    <x v="24"/>
    <s v="Celebrating a milestone at work! ðŸŽ‰"/>
    <s v="Positive"/>
    <d v="2023-01-22T14:30:00"/>
    <x v="2"/>
    <s v=" #Career #Milestone                      "/>
    <n v="12"/>
    <n v="25"/>
    <s v="Canada"/>
    <n v="2023"/>
    <n v="1"/>
    <n v="22"/>
    <n v="14"/>
    <n v="37"/>
    <s v="Normal"/>
    <s v="No"/>
    <s v="Standard"/>
    <s v="Afternoon"/>
    <x v="0"/>
    <n v="2.0833333333333335"/>
  </r>
  <r>
    <x v="25"/>
    <s v="Sunday brunch with friends."/>
    <s v="Positive"/>
    <d v="2023-01-22T12:00:00"/>
    <x v="1"/>
    <s v=" #Brunch #Friends                       "/>
    <n v="15"/>
    <n v="30"/>
    <s v="UK"/>
    <n v="2023"/>
    <n v="1"/>
    <n v="22"/>
    <n v="12"/>
    <n v="45"/>
    <s v="Normal"/>
    <s v="No"/>
    <s v="Standard"/>
    <s v="Afternoon"/>
    <x v="1"/>
    <n v="2"/>
  </r>
  <r>
    <x v="26"/>
    <s v="Learning a new language for personal growth."/>
    <s v="Positive"/>
    <d v="2023-01-23T16:20:00"/>
    <x v="2"/>
    <s v=" #LanguageLearning #PersonalGrowth       "/>
    <n v="25"/>
    <n v="50"/>
    <s v="India"/>
    <n v="2023"/>
    <n v="1"/>
    <n v="23"/>
    <n v="16"/>
    <n v="75"/>
    <s v="Popular"/>
    <s v="No"/>
    <s v="Wide Reach"/>
    <s v="Afternoon"/>
    <x v="3"/>
    <n v="2"/>
  </r>
  <r>
    <x v="27"/>
    <s v="Quiet evening with a good book."/>
    <s v="Positive"/>
    <d v="2023-01-23T19:45:00"/>
    <x v="1"/>
    <s v=" #Reading #QuietTime                     "/>
    <n v="15"/>
    <n v="30"/>
    <s v="Australia"/>
    <n v="2023"/>
    <n v="1"/>
    <n v="23"/>
    <n v="19"/>
    <n v="45"/>
    <s v="Normal"/>
    <s v="No"/>
    <s v="Standard"/>
    <s v="Evening"/>
    <x v="2"/>
    <n v="2"/>
  </r>
  <r>
    <x v="28"/>
    <s v="Reflecting on the importance of mental health."/>
    <s v="Positive"/>
    <d v="2023-01-24T11:30:00"/>
    <x v="0"/>
    <s v=" #MentalHealth #SelfCare                 "/>
    <n v="22"/>
    <n v="45"/>
    <s v="USA"/>
    <n v="2023"/>
    <n v="1"/>
    <n v="24"/>
    <n v="11"/>
    <n v="67"/>
    <s v="Popular"/>
    <s v="No"/>
    <s v="Wide Reach"/>
    <s v="Morning"/>
    <x v="0"/>
    <n v="2.0454545454545454"/>
  </r>
  <r>
    <x v="29"/>
    <s v="New painting in progress! ðŸŽ¨"/>
    <s v="Positive"/>
    <d v="2023-01-24T15:00:00"/>
    <x v="2"/>
    <s v=" #Art #PaintingInProgress             "/>
    <n v="12"/>
    <n v="25"/>
    <s v="Canada"/>
    <n v="2023"/>
    <n v="1"/>
    <n v="24"/>
    <n v="15"/>
    <n v="37"/>
    <s v="Normal"/>
    <s v="No"/>
    <s v="Standard"/>
    <s v="Afternoon"/>
    <x v="0"/>
    <n v="2.0833333333333335"/>
  </r>
  <r>
    <x v="30"/>
    <s v="Weekend road trip to explore scenic views."/>
    <s v="Positive"/>
    <d v="2023-01-24T17:30:00"/>
    <x v="1"/>
    <s v=" #RoadTrip #ScenicViews                  "/>
    <n v="18"/>
    <n v="35"/>
    <s v="UK"/>
    <n v="2023"/>
    <n v="1"/>
    <n v="24"/>
    <n v="17"/>
    <n v="53"/>
    <s v="Normal"/>
    <s v="No"/>
    <s v="Standard"/>
    <s v="Afternoon"/>
    <x v="1"/>
    <n v="1.9444444444444444"/>
  </r>
  <r>
    <x v="31"/>
    <s v="Enjoying a cup of tea and watching the sunset."/>
    <s v="Positive"/>
    <d v="2023-01-25T18:00:00"/>
    <x v="0"/>
    <s v=" #TeaTime #Sunset                       "/>
    <n v="15"/>
    <n v="30"/>
    <s v="India"/>
    <n v="2023"/>
    <n v="1"/>
    <n v="25"/>
    <n v="18"/>
    <n v="45"/>
    <s v="Normal"/>
    <s v="No"/>
    <s v="Standard"/>
    <s v="Evening"/>
    <x v="3"/>
    <n v="2"/>
  </r>
  <r>
    <x v="32"/>
    <s v="Coding a new project with enthusiasm."/>
    <s v="Positive"/>
    <d v="2023-01-25T13:15:00"/>
    <x v="2"/>
    <s v=" #Coding #Enthusiasm                   "/>
    <n v="30"/>
    <n v="60"/>
    <s v="USA"/>
    <n v="2023"/>
    <n v="1"/>
    <n v="25"/>
    <n v="13"/>
    <n v="90"/>
    <s v="Popular"/>
    <s v="Yes"/>
    <s v="Wide Reach"/>
    <s v="Afternoon"/>
    <x v="0"/>
    <n v="2"/>
  </r>
  <r>
    <x v="33"/>
    <s v="Feeling inspired after attending a workshop."/>
    <s v="Positive"/>
    <d v="2023-01-26T09:45:00"/>
    <x v="1"/>
    <s v=" #Inspiration #Workshop                  "/>
    <n v="25"/>
    <n v="50"/>
    <s v="USA"/>
    <n v="2023"/>
    <n v="1"/>
    <n v="26"/>
    <n v="9"/>
    <n v="75"/>
    <s v="Popular"/>
    <s v="No"/>
    <s v="Wide Reach"/>
    <s v="Morning"/>
    <x v="0"/>
    <n v="2"/>
  </r>
  <r>
    <x v="34"/>
    <s v="Winter sports day at the local park."/>
    <s v="Positive"/>
    <d v="2023-01-26T14:20:00"/>
    <x v="0"/>
    <s v=" #WinterSports #Fun                     "/>
    <n v="15"/>
    <n v="30"/>
    <s v="Canada"/>
    <n v="2023"/>
    <n v="1"/>
    <n v="26"/>
    <n v="14"/>
    <n v="45"/>
    <s v="Normal"/>
    <s v="No"/>
    <s v="Standard"/>
    <s v="Afternoon"/>
    <x v="0"/>
    <n v="2"/>
  </r>
  <r>
    <x v="35"/>
    <s v="Quality time with family this weekend."/>
    <s v="Positive"/>
    <d v="2023-01-26T17:40:00"/>
    <x v="2"/>
    <s v=" #FamilyTime #Weekend                    "/>
    <n v="22"/>
    <n v="45"/>
    <s v="UK"/>
    <n v="2023"/>
    <n v="1"/>
    <n v="26"/>
    <n v="17"/>
    <n v="67"/>
    <s v="Popular"/>
    <s v="No"/>
    <s v="Wide Reach"/>
    <s v="Afternoon"/>
    <x v="1"/>
    <n v="2.0454545454545454"/>
  </r>
  <r>
    <x v="36"/>
    <s v="Attending a live music concert tonight."/>
    <s v="Positive"/>
    <d v="2023-01-27T20:00:00"/>
    <x v="1"/>
    <s v=" #Music #ConcertNight                  "/>
    <n v="18"/>
    <n v="35"/>
    <s v="USA"/>
    <n v="2023"/>
    <n v="1"/>
    <n v="27"/>
    <n v="20"/>
    <n v="53"/>
    <s v="Normal"/>
    <s v="No"/>
    <s v="Standard"/>
    <s v="Evening"/>
    <x v="0"/>
    <n v="1.9444444444444444"/>
  </r>
  <r>
    <x v="37"/>
    <s v="Practicing mindfulness with meditation."/>
    <s v="Positive"/>
    <d v="2023-01-27T12:30:00"/>
    <x v="0"/>
    <s v=" #Mindfulness #Meditation               "/>
    <n v="15"/>
    <n v="30"/>
    <s v="India"/>
    <n v="2023"/>
    <n v="1"/>
    <n v="27"/>
    <n v="12"/>
    <n v="45"/>
    <s v="Normal"/>
    <s v="No"/>
    <s v="Standard"/>
    <s v="Afternoon"/>
    <x v="3"/>
    <n v="2"/>
  </r>
  <r>
    <x v="38"/>
    <s v="Trying out a new dessert recipe."/>
    <s v="Positive"/>
    <d v="2023-01-27T16:10:00"/>
    <x v="2"/>
    <s v=" #Dessert #Cooking                      "/>
    <n v="12"/>
    <n v="25"/>
    <s v="Canada"/>
    <n v="2023"/>
    <n v="1"/>
    <n v="27"/>
    <n v="16"/>
    <n v="37"/>
    <s v="Normal"/>
    <s v="No"/>
    <s v="Standard"/>
    <s v="Afternoon"/>
    <x v="0"/>
    <n v="2.0833333333333335"/>
  </r>
  <r>
    <x v="39"/>
    <s v="Excited about the upcoming gaming tournament."/>
    <s v="Positive"/>
    <d v="2023-01-28T09:00:00"/>
    <x v="1"/>
    <s v=" #Gaming #Tournament                     "/>
    <n v="30"/>
    <n v="60"/>
    <s v="USA"/>
    <n v="2023"/>
    <n v="1"/>
    <n v="28"/>
    <n v="9"/>
    <n v="90"/>
    <s v="Popular"/>
    <s v="Yes"/>
    <s v="Wide Reach"/>
    <s v="Morning"/>
    <x v="0"/>
    <n v="2"/>
  </r>
  <r>
    <x v="40"/>
    <s v="Planning a garden makeover for spring."/>
    <s v="Positive"/>
    <d v="2023-01-28T14:45:00"/>
    <x v="0"/>
    <s v=" #Gardening #Spring                     "/>
    <n v="25"/>
    <n v="50"/>
    <s v="USA"/>
    <n v="2023"/>
    <n v="1"/>
    <n v="28"/>
    <n v="14"/>
    <n v="75"/>
    <s v="Popular"/>
    <s v="No"/>
    <s v="Wide Reach"/>
    <s v="Afternoon"/>
    <x v="0"/>
    <n v="2"/>
  </r>
  <r>
    <x v="41"/>
    <s v="Celebrating a friend's birthday tonight! ðŸŽ‚"/>
    <s v="Positive"/>
    <d v="2023-01-28T19:30:00"/>
    <x v="2"/>
    <s v=" #Birthday #Celebration                  "/>
    <n v="15"/>
    <n v="30"/>
    <s v="UK"/>
    <n v="2023"/>
    <n v="1"/>
    <n v="28"/>
    <n v="19"/>
    <n v="45"/>
    <s v="Normal"/>
    <s v="No"/>
    <s v="Standard"/>
    <s v="Evening"/>
    <x v="1"/>
    <n v="2"/>
  </r>
  <r>
    <x v="42"/>
    <s v="Feeling accomplished after a productive day."/>
    <s v="Positive"/>
    <d v="2023-01-29T17:00:00"/>
    <x v="1"/>
    <s v=" #Accomplished #Success               "/>
    <n v="22"/>
    <n v="45"/>
    <s v="India"/>
    <n v="2023"/>
    <n v="1"/>
    <n v="29"/>
    <n v="17"/>
    <n v="67"/>
    <s v="Popular"/>
    <s v="No"/>
    <s v="Wide Reach"/>
    <s v="Afternoon"/>
    <x v="3"/>
    <n v="2.0454545454545454"/>
  </r>
  <r>
    <x v="43"/>
    <s v="A cozy evening with a good movie."/>
    <s v="Positive"/>
    <d v="2023-01-29T20:20:00"/>
    <x v="0"/>
    <s v=" #CozyNight #MovieTime                   "/>
    <n v="18"/>
    <n v="35"/>
    <s v="Canada"/>
    <n v="2023"/>
    <n v="1"/>
    <n v="29"/>
    <n v="20"/>
    <n v="53"/>
    <s v="Normal"/>
    <s v="No"/>
    <s v="Standard"/>
    <s v="Evening"/>
    <x v="0"/>
    <n v="1.9444444444444444"/>
  </r>
  <r>
    <x v="44"/>
    <s v="Exploring local art galleries this weekend."/>
    <s v="Positive"/>
    <d v="2023-01-30T11:30:00"/>
    <x v="2"/>
    <s v=" #Art #GalleryExplore                    "/>
    <n v="15"/>
    <n v="30"/>
    <s v="USA"/>
    <n v="2023"/>
    <n v="1"/>
    <n v="30"/>
    <n v="11"/>
    <n v="45"/>
    <s v="Normal"/>
    <s v="No"/>
    <s v="Standard"/>
    <s v="Morning"/>
    <x v="0"/>
    <n v="2"/>
  </r>
  <r>
    <x v="45"/>
    <s v="New book release from my favorite author!"/>
    <s v="Positive"/>
    <d v="2023-01-30T15:45:00"/>
    <x v="1"/>
    <s v=" #BookRelease #FavoriteAuthor           "/>
    <n v="12"/>
    <n v="25"/>
    <s v="UK"/>
    <n v="2023"/>
    <n v="1"/>
    <n v="30"/>
    <n v="15"/>
    <n v="37"/>
    <s v="Normal"/>
    <s v="No"/>
    <s v="Standard"/>
    <s v="Afternoon"/>
    <x v="1"/>
    <n v="2.0833333333333335"/>
  </r>
  <r>
    <x v="46"/>
    <s v="Attending a virtual reality meetup."/>
    <s v="Positive"/>
    <d v="2023-01-30T18:30:00"/>
    <x v="0"/>
    <s v=" #VRMeetup #VirtualReality               "/>
    <n v="28"/>
    <n v="55"/>
    <s v="India"/>
    <n v="2023"/>
    <n v="1"/>
    <n v="30"/>
    <n v="18"/>
    <n v="83"/>
    <s v="Popular"/>
    <s v="Yes"/>
    <s v="Wide Reach"/>
    <s v="Evening"/>
    <x v="3"/>
    <n v="1.9642857142857142"/>
  </r>
  <r>
    <x v="47"/>
    <s v="Reflecting on the beauty of nature."/>
    <s v="Positive"/>
    <d v="2023-01-31T10:45:00"/>
    <x v="2"/>
    <s v=" #Nature #Reflection                     "/>
    <n v="15"/>
    <n v="30"/>
    <s v="Australia"/>
    <n v="2023"/>
    <n v="1"/>
    <n v="31"/>
    <n v="10"/>
    <n v="45"/>
    <s v="Normal"/>
    <s v="No"/>
    <s v="Standard"/>
    <s v="Morning"/>
    <x v="2"/>
    <n v="2"/>
  </r>
  <r>
    <x v="48"/>
    <s v="Cooking a special dinner for loved ones."/>
    <s v="Positive"/>
    <d v="2023-01-31T19:00:00"/>
    <x v="1"/>
    <s v=" #Cooking #SpecialDinner                "/>
    <n v="20"/>
    <n v="40"/>
    <s v="USA"/>
    <n v="2023"/>
    <n v="1"/>
    <n v="31"/>
    <n v="19"/>
    <n v="60"/>
    <s v="Normal"/>
    <s v="No"/>
    <s v="Standard"/>
    <s v="Evening"/>
    <x v="0"/>
    <n v="2"/>
  </r>
  <r>
    <x v="49"/>
    <s v="Feeling optimistic about the week ahead."/>
    <s v="Positive"/>
    <d v="2023-01-31T16:20:00"/>
    <x v="0"/>
    <s v=" #Optimism #NewWeek                     "/>
    <n v="15"/>
    <n v="30"/>
    <s v="Canada"/>
    <n v="2023"/>
    <n v="1"/>
    <n v="31"/>
    <n v="16"/>
    <n v="45"/>
    <s v="Normal"/>
    <s v="No"/>
    <s v="Standard"/>
    <s v="Afternoon"/>
    <x v="0"/>
    <n v="2"/>
  </r>
  <r>
    <x v="50"/>
    <s v="Starting a new fitness challenge tomorrow! ðŸ’ª"/>
    <s v="Positive"/>
    <d v="2023-02-01T08:00:00"/>
    <x v="2"/>
    <s v=" #FitnessChallenge #NewBeginnings       "/>
    <n v="22"/>
    <n v="45"/>
    <s v="UK"/>
    <n v="2023"/>
    <n v="2"/>
    <n v="1"/>
    <n v="8"/>
    <n v="67"/>
    <s v="Popular"/>
    <s v="No"/>
    <s v="Wide Reach"/>
    <s v="Morning"/>
    <x v="1"/>
    <n v="2.0454545454545454"/>
  </r>
  <r>
    <x v="51"/>
    <s v="Sunday bike ride through scenic trails."/>
    <s v="Positive"/>
    <d v="2023-02-01T13:30:00"/>
    <x v="1"/>
    <s v=" #BikeRide #ScenicTrails                "/>
    <n v="18"/>
    <n v="35"/>
    <s v="USA"/>
    <n v="2023"/>
    <n v="2"/>
    <n v="1"/>
    <n v="13"/>
    <n v="53"/>
    <s v="Normal"/>
    <s v="No"/>
    <s v="Standard"/>
    <s v="Afternoon"/>
    <x v="0"/>
    <n v="1.9444444444444444"/>
  </r>
  <r>
    <x v="52"/>
    <s v="Can't believe the injustice happening in our society."/>
    <s v="Anger"/>
    <d v="2023-02-11T09:30:00"/>
    <x v="0"/>
    <s v=" #Injustice #Angry                            "/>
    <n v="20"/>
    <n v="40"/>
    <s v="Canada"/>
    <n v="2023"/>
    <n v="2"/>
    <n v="11"/>
    <n v="9"/>
    <n v="60"/>
    <s v="Normal"/>
    <s v="No"/>
    <s v="Standard"/>
    <s v="Morning"/>
    <x v="0"/>
    <n v="2"/>
  </r>
  <r>
    <x v="53"/>
    <s v="Feeling a sense of fear after watching a thriller movie."/>
    <s v="Fear"/>
    <d v="2023-02-11T21:15:00"/>
    <x v="1"/>
    <s v=" #Fear #ThrillerMovie                         "/>
    <n v="15"/>
    <n v="30"/>
    <s v="USA"/>
    <n v="2023"/>
    <n v="2"/>
    <n v="11"/>
    <n v="21"/>
    <n v="45"/>
    <s v="Normal"/>
    <s v="No"/>
    <s v="Standard"/>
    <s v="Evening"/>
    <x v="0"/>
    <n v="2"/>
  </r>
  <r>
    <x v="54"/>
    <s v="Heartbroken after hearing the news about a natural disaster."/>
    <s v="Sadness"/>
    <d v="2023-02-12T14:45:00"/>
    <x v="2"/>
    <s v=" #Sadness #NaturalDisaster                    "/>
    <n v="25"/>
    <n v="50"/>
    <s v="India"/>
    <n v="2023"/>
    <n v="2"/>
    <n v="12"/>
    <n v="14"/>
    <n v="75"/>
    <s v="Popular"/>
    <s v="No"/>
    <s v="Wide Reach"/>
    <s v="Afternoon"/>
    <x v="3"/>
    <n v="2"/>
  </r>
  <r>
    <x v="55"/>
    <s v="The state of the world's environment is just disgusting."/>
    <s v="Disgust"/>
    <d v="2023-02-12T18:20:00"/>
    <x v="0"/>
    <s v=" #Disgust #Environment                        "/>
    <n v="18"/>
    <n v="35"/>
    <s v="UK"/>
    <n v="2023"/>
    <n v="2"/>
    <n v="12"/>
    <n v="18"/>
    <n v="53"/>
    <s v="Normal"/>
    <s v="No"/>
    <s v="Standard"/>
    <s v="Evening"/>
    <x v="1"/>
    <n v="1.9444444444444444"/>
  </r>
  <r>
    <x v="56"/>
    <s v="Pure happiness: celebrating a loved one's achievement!"/>
    <s v="Happiness"/>
    <d v="2023-02-13T10:00:00"/>
    <x v="1"/>
    <s v=" #Happiness #Celebration                   "/>
    <n v="30"/>
    <n v="60"/>
    <s v="USA"/>
    <n v="2023"/>
    <n v="2"/>
    <n v="13"/>
    <n v="10"/>
    <n v="90"/>
    <s v="Popular"/>
    <s v="Yes"/>
    <s v="Wide Reach"/>
    <s v="Morning"/>
    <x v="0"/>
    <n v="2"/>
  </r>
  <r>
    <x v="57"/>
    <s v="Laughter is the best medicineâ€”enjoying a comedy show."/>
    <s v="Joy"/>
    <d v="2023-02-13T19:30:00"/>
    <x v="2"/>
    <s v=" #Joy #ComedyShow                             "/>
    <n v="22"/>
    <n v="45"/>
    <s v="Canada"/>
    <n v="2023"/>
    <n v="2"/>
    <n v="13"/>
    <n v="19"/>
    <n v="67"/>
    <s v="Popular"/>
    <s v="No"/>
    <s v="Wide Reach"/>
    <s v="Evening"/>
    <x v="0"/>
    <n v="2.0454545454545454"/>
  </r>
  <r>
    <x v="58"/>
    <s v="Sharing love and positive vibes with everyone! â¤ï¸"/>
    <s v="Love"/>
    <d v="2023-02-14T08:30:00"/>
    <x v="0"/>
    <s v=" #Love #SpreadLove                            "/>
    <n v="15"/>
    <n v="30"/>
    <s v="Australia"/>
    <n v="2023"/>
    <n v="2"/>
    <n v="14"/>
    <n v="8"/>
    <n v="45"/>
    <s v="Normal"/>
    <s v="No"/>
    <s v="Standard"/>
    <s v="Morning"/>
    <x v="2"/>
    <n v="2"/>
  </r>
  <r>
    <x v="59"/>
    <s v="An amusing incident brightened up my day!"/>
    <s v="Amusement"/>
    <d v="2023-02-14T14:20:00"/>
    <x v="1"/>
    <s v=" #Amusement #FunTimes                         "/>
    <n v="18"/>
    <n v="35"/>
    <s v="UK"/>
    <n v="2023"/>
    <n v="2"/>
    <n v="14"/>
    <n v="14"/>
    <n v="53"/>
    <s v="Normal"/>
    <s v="No"/>
    <s v="Standard"/>
    <s v="Afternoon"/>
    <x v="1"/>
    <n v="1.9444444444444444"/>
  </r>
  <r>
    <x v="60"/>
    <s v="Enjoying a quiet evening with a book and some tea."/>
    <s v="Enjoyment"/>
    <d v="2023-02-14T19:45:00"/>
    <x v="2"/>
    <s v=" #Enjoyment #BookTime                         "/>
    <n v="25"/>
    <n v="50"/>
    <s v="Canada"/>
    <n v="2023"/>
    <n v="2"/>
    <n v="14"/>
    <n v="19"/>
    <n v="75"/>
    <s v="Popular"/>
    <s v="No"/>
    <s v="Wide Reach"/>
    <s v="Evening"/>
    <x v="0"/>
    <n v="2"/>
  </r>
  <r>
    <x v="61"/>
    <s v="Admiring the beauty of nature during a peaceful hike."/>
    <s v="Admiration"/>
    <d v="2023-02-15T11:30:00"/>
    <x v="0"/>
    <s v=" #Admiration #Nature                         "/>
    <n v="20"/>
    <n v="40"/>
    <s v="USA"/>
    <n v="2023"/>
    <n v="2"/>
    <n v="15"/>
    <n v="11"/>
    <n v="60"/>
    <s v="Normal"/>
    <s v="No"/>
    <s v="Standard"/>
    <s v="Morning"/>
    <x v="0"/>
    <n v="2"/>
  </r>
  <r>
    <x v="62"/>
    <s v="Sending affectionate vibes to all my followers!"/>
    <s v="Affection"/>
    <d v="2023-02-15T16:00:00"/>
    <x v="1"/>
    <s v=" #Affection #PositiveVibes                   "/>
    <n v="15"/>
    <n v="30"/>
    <s v="USA"/>
    <n v="2023"/>
    <n v="2"/>
    <n v="15"/>
    <n v="16"/>
    <n v="45"/>
    <s v="Normal"/>
    <s v="No"/>
    <s v="Standard"/>
    <s v="Afternoon"/>
    <x v="0"/>
    <n v="2"/>
  </r>
  <r>
    <x v="63"/>
    <s v="Experiencing awe at the breathtaking sunset."/>
    <s v="Awe"/>
    <d v="2023-02-15T20:30:00"/>
    <x v="2"/>
    <s v=" #Awe #Breathtaking                          "/>
    <n v="22"/>
    <n v="45"/>
    <s v="Australia"/>
    <n v="2023"/>
    <n v="2"/>
    <n v="15"/>
    <n v="20"/>
    <n v="67"/>
    <s v="Popular"/>
    <s v="No"/>
    <s v="Wide Reach"/>
    <s v="Evening"/>
    <x v="2"/>
    <n v="2.0454545454545454"/>
  </r>
  <r>
    <x v="64"/>
    <s v="Disappointed with the service at a local restaurant."/>
    <s v="Disappointed"/>
    <d v="2023-02-16T09:00:00"/>
    <x v="0"/>
    <s v=" #Disappointed #BadService                   "/>
    <n v="18"/>
    <n v="35"/>
    <s v="India"/>
    <n v="2023"/>
    <n v="2"/>
    <n v="16"/>
    <n v="9"/>
    <n v="53"/>
    <s v="Normal"/>
    <s v="No"/>
    <s v="Standard"/>
    <s v="Morning"/>
    <x v="3"/>
    <n v="1.9444444444444444"/>
  </r>
  <r>
    <x v="65"/>
    <s v="A surprise gift from a friend made my day!"/>
    <s v="Surprise"/>
    <d v="2023-02-16T14:45:00"/>
    <x v="1"/>
    <s v=" #Surprise #Gift                              "/>
    <n v="25"/>
    <n v="50"/>
    <s v="USA"/>
    <n v="2023"/>
    <n v="2"/>
    <n v="16"/>
    <n v="14"/>
    <n v="75"/>
    <s v="Popular"/>
    <s v="No"/>
    <s v="Wide Reach"/>
    <s v="Afternoon"/>
    <x v="0"/>
    <n v="2"/>
  </r>
  <r>
    <x v="66"/>
    <s v="Finding acceptance in the midst of life's challenges."/>
    <s v="Acceptance"/>
    <d v="2023-02-16T18:20:00"/>
    <x v="2"/>
    <s v=" #Acceptance #Challenges                     "/>
    <n v="15"/>
    <n v="30"/>
    <s v="Canada"/>
    <n v="2023"/>
    <n v="2"/>
    <n v="16"/>
    <n v="18"/>
    <n v="45"/>
    <s v="Normal"/>
    <s v="No"/>
    <s v="Standard"/>
    <s v="Evening"/>
    <x v="0"/>
    <n v="2"/>
  </r>
  <r>
    <x v="67"/>
    <s v="Overflowing with adoration for my adorable pet! ðŸ¾"/>
    <s v="Adoration"/>
    <d v="2023-02-17T10:45:00"/>
    <x v="0"/>
    <s v=" #Adoration #PetLove                         "/>
    <n v="22"/>
    <n v="45"/>
    <s v="UK"/>
    <n v="2023"/>
    <n v="2"/>
    <n v="17"/>
    <n v="10"/>
    <n v="67"/>
    <s v="Popular"/>
    <s v="No"/>
    <s v="Wide Reach"/>
    <s v="Morning"/>
    <x v="1"/>
    <n v="2.0454545454545454"/>
  </r>
  <r>
    <x v="68"/>
    <s v="Anticipating a thrilling adventure in the coming weeks."/>
    <s v="Anticipation"/>
    <d v="2023-02-17T07:30:00"/>
    <x v="1"/>
    <s v=" #Anticipation #Adventure                    "/>
    <n v="20"/>
    <n v="40"/>
    <s v="USA"/>
    <n v="2023"/>
    <n v="2"/>
    <n v="17"/>
    <n v="7"/>
    <n v="60"/>
    <s v="Normal"/>
    <s v="No"/>
    <s v="Standard"/>
    <s v="Morning"/>
    <x v="0"/>
    <n v="2"/>
  </r>
  <r>
    <x v="69"/>
    <s v="A bitter experience turned into a valuable lesson."/>
    <s v="Bitter"/>
    <d v="2023-02-17T15:00:00"/>
    <x v="2"/>
    <s v=" #BitterLesson #Growth                      "/>
    <n v="18"/>
    <n v="35"/>
    <s v="USA"/>
    <n v="2023"/>
    <n v="2"/>
    <n v="17"/>
    <n v="15"/>
    <n v="53"/>
    <s v="Normal"/>
    <s v="No"/>
    <s v="Standard"/>
    <s v="Afternoon"/>
    <x v="0"/>
    <n v="1.9444444444444444"/>
  </r>
  <r>
    <x v="70"/>
    <s v="Finding calmness in the midst of a busy day."/>
    <s v="Calmness"/>
    <d v="2023-02-18T09:30:00"/>
    <x v="0"/>
    <s v=" #Calmness #PeacefulMind                    "/>
    <n v="15"/>
    <n v="30"/>
    <s v="India"/>
    <n v="2023"/>
    <n v="2"/>
    <n v="18"/>
    <n v="9"/>
    <n v="45"/>
    <s v="Normal"/>
    <s v="No"/>
    <s v="Standard"/>
    <s v="Morning"/>
    <x v="3"/>
    <n v="2"/>
  </r>
  <r>
    <x v="71"/>
    <s v="Confusion clouds my mind as I navigate through decisions."/>
    <s v="Confusion"/>
    <d v="2023-02-18T14:20:00"/>
    <x v="1"/>
    <s v=" #Confusion #DecisionMaking                 "/>
    <n v="25"/>
    <n v="50"/>
    <s v="UK"/>
    <n v="2023"/>
    <n v="2"/>
    <n v="18"/>
    <n v="14"/>
    <n v="75"/>
    <s v="Popular"/>
    <s v="No"/>
    <s v="Wide Reach"/>
    <s v="Afternoon"/>
    <x v="1"/>
    <n v="2"/>
  </r>
  <r>
    <x v="72"/>
    <s v="Excitement building up for the upcoming vacation!"/>
    <s v="Excitement"/>
    <d v="2023-02-18T18:45:00"/>
    <x v="2"/>
    <s v=" #Excitement #TravelPlans                   "/>
    <n v="22"/>
    <n v="45"/>
    <s v="Canada"/>
    <n v="2023"/>
    <n v="2"/>
    <n v="18"/>
    <n v="18"/>
    <n v="67"/>
    <s v="Popular"/>
    <s v="No"/>
    <s v="Wide Reach"/>
    <s v="Evening"/>
    <x v="0"/>
    <n v="2.0454545454545454"/>
  </r>
  <r>
    <x v="73"/>
    <s v="Kindness witnessed today restored my faith in humanity."/>
    <s v="Kind"/>
    <d v="2023-02-19T11:30:00"/>
    <x v="0"/>
    <s v=" #Kindness #Humanity                        "/>
    <n v="20"/>
    <n v="40"/>
    <s v="USA"/>
    <n v="2023"/>
    <n v="2"/>
    <n v="19"/>
    <n v="11"/>
    <n v="60"/>
    <s v="Normal"/>
    <s v="No"/>
    <s v="Standard"/>
    <s v="Morning"/>
    <x v="0"/>
    <n v="2"/>
  </r>
  <r>
    <x v="74"/>
    <s v="Pride in achieving a personal milestone."/>
    <s v="Pride"/>
    <d v="2023-02-19T16:00:00"/>
    <x v="1"/>
    <s v=" #Pride #Milestone                           "/>
    <n v="30"/>
    <n v="60"/>
    <s v="Australia"/>
    <n v="2023"/>
    <n v="2"/>
    <n v="19"/>
    <n v="16"/>
    <n v="90"/>
    <s v="Popular"/>
    <s v="Yes"/>
    <s v="Wide Reach"/>
    <s v="Afternoon"/>
    <x v="2"/>
    <n v="2"/>
  </r>
  <r>
    <x v="75"/>
    <s v="A moment of shame for not standing up against injustice."/>
    <s v="Shame"/>
    <d v="2023-02-19T19:45:00"/>
    <x v="2"/>
    <s v=" #Shame #Injustice                           "/>
    <n v="15"/>
    <n v="30"/>
    <s v="India"/>
    <n v="2023"/>
    <n v="2"/>
    <n v="19"/>
    <n v="19"/>
    <n v="45"/>
    <s v="Normal"/>
    <s v="No"/>
    <s v="Standard"/>
    <s v="Evening"/>
    <x v="3"/>
    <n v="2"/>
  </r>
  <r>
    <x v="76"/>
    <s v="Fuming with anger after a heated argument."/>
    <s v="Anger"/>
    <d v="2023-02-20T09:30:00"/>
    <x v="0"/>
    <s v=" #Anger #Argument                             "/>
    <n v="20"/>
    <n v="40"/>
    <s v="Canada"/>
    <n v="2023"/>
    <n v="2"/>
    <n v="20"/>
    <n v="9"/>
    <n v="60"/>
    <s v="Normal"/>
    <s v="No"/>
    <s v="Standard"/>
    <s v="Morning"/>
    <x v="0"/>
    <n v="2"/>
  </r>
  <r>
    <x v="77"/>
    <s v="The fear of the unknown is keeping me up at night."/>
    <s v="Fear"/>
    <d v="2023-02-20T21:15:00"/>
    <x v="1"/>
    <s v=" #Fear #Unknown                               "/>
    <n v="15"/>
    <n v="30"/>
    <s v="USA"/>
    <n v="2023"/>
    <n v="2"/>
    <n v="20"/>
    <n v="21"/>
    <n v="45"/>
    <s v="Normal"/>
    <s v="No"/>
    <s v="Standard"/>
    <s v="Evening"/>
    <x v="0"/>
    <n v="2"/>
  </r>
  <r>
    <x v="78"/>
    <s v="Heartfelt sadness after bidding farewell to a dear friend."/>
    <s v="Sadness"/>
    <d v="2023-02-21T14:45:00"/>
    <x v="2"/>
    <s v=" #Sadness #Farewell                          "/>
    <n v="25"/>
    <n v="50"/>
    <s v="India"/>
    <n v="2023"/>
    <n v="2"/>
    <n v="21"/>
    <n v="14"/>
    <n v="75"/>
    <s v="Popular"/>
    <s v="No"/>
    <s v="Wide Reach"/>
    <s v="Afternoon"/>
    <x v="3"/>
    <n v="2"/>
  </r>
  <r>
    <x v="79"/>
    <s v="The state of corruption in our society is utterly disgusting."/>
    <s v="Disgust"/>
    <d v="2023-02-21T18:20:00"/>
    <x v="0"/>
    <s v=" #Disgust #Corruption                         "/>
    <n v="18"/>
    <n v="35"/>
    <s v="UK"/>
    <n v="2023"/>
    <n v="2"/>
    <n v="21"/>
    <n v="18"/>
    <n v="53"/>
    <s v="Normal"/>
    <s v="No"/>
    <s v="Standard"/>
    <s v="Evening"/>
    <x v="1"/>
    <n v="1.9444444444444444"/>
  </r>
  <r>
    <x v="80"/>
    <s v="Overflowing happiness: welcoming a new family member!"/>
    <s v="Happiness"/>
    <d v="2023-02-22T10:00:00"/>
    <x v="1"/>
    <s v=" #Happiness #NewFamilyMember                 "/>
    <n v="30"/>
    <n v="60"/>
    <s v="UK"/>
    <n v="2023"/>
    <n v="2"/>
    <n v="22"/>
    <n v="10"/>
    <n v="90"/>
    <s v="Popular"/>
    <s v="Yes"/>
    <s v="Wide Reach"/>
    <s v="Morning"/>
    <x v="1"/>
    <n v="2"/>
  </r>
  <r>
    <x v="81"/>
    <s v="Laughter is the key to joyâ€”attending a stand-up comedy show."/>
    <s v="Joy"/>
    <d v="2023-02-22T19:30:00"/>
    <x v="2"/>
    <s v=" #Joy #StandUpComedy                         "/>
    <n v="22"/>
    <n v="45"/>
    <s v="Canada"/>
    <n v="2023"/>
    <n v="2"/>
    <n v="22"/>
    <n v="19"/>
    <n v="67"/>
    <s v="Popular"/>
    <s v="No"/>
    <s v="Wide Reach"/>
    <s v="Evening"/>
    <x v="0"/>
    <n v="2.0454545454545454"/>
  </r>
  <r>
    <x v="82"/>
    <s v="Sending love to all my followers on this beautiful day! â¤ï¸"/>
    <s v="Love"/>
    <d v="2023-02-23T08:30:00"/>
    <x v="0"/>
    <s v=" #Love #SpreadLove                            "/>
    <n v="15"/>
    <n v="30"/>
    <s v="Australia"/>
    <n v="2023"/>
    <n v="2"/>
    <n v="23"/>
    <n v="8"/>
    <n v="45"/>
    <s v="Normal"/>
    <s v="No"/>
    <s v="Standard"/>
    <s v="Morning"/>
    <x v="2"/>
    <n v="2"/>
  </r>
  <r>
    <x v="83"/>
    <s v="Amused by the antics of my petâ€”it's pure amusement!"/>
    <s v="Amusement"/>
    <d v="2023-02-23T14:20:00"/>
    <x v="1"/>
    <s v=" #Amusement #PetAntics                       "/>
    <n v="18"/>
    <n v="35"/>
    <s v="UK"/>
    <n v="2023"/>
    <n v="2"/>
    <n v="23"/>
    <n v="14"/>
    <n v="53"/>
    <s v="Normal"/>
    <s v="No"/>
    <s v="Standard"/>
    <s v="Afternoon"/>
    <x v="1"/>
    <n v="1.9444444444444444"/>
  </r>
  <r>
    <x v="84"/>
    <s v="Enjoying every moment of this tripâ€”pure enjoyment!"/>
    <s v="Enjoyment"/>
    <d v="2023-02-23T19:45:00"/>
    <x v="2"/>
    <s v=" #Enjoyment #Travel                           "/>
    <n v="25"/>
    <n v="50"/>
    <s v="USA"/>
    <n v="2023"/>
    <n v="2"/>
    <n v="23"/>
    <n v="19"/>
    <n v="75"/>
    <s v="Popular"/>
    <s v="No"/>
    <s v="Wide Reach"/>
    <s v="Evening"/>
    <x v="0"/>
    <n v="2"/>
  </r>
  <r>
    <x v="85"/>
    <s v="Admiring the dedication of volunteers at a local charity."/>
    <s v="Admiration"/>
    <d v="2023-02-24T11:30:00"/>
    <x v="0"/>
    <s v=" #Admiration #Volunteers                     "/>
    <n v="20"/>
    <n v="40"/>
    <s v="USA"/>
    <n v="2023"/>
    <n v="2"/>
    <n v="24"/>
    <n v="11"/>
    <n v="60"/>
    <s v="Normal"/>
    <s v="No"/>
    <s v="Standard"/>
    <s v="Morning"/>
    <x v="0"/>
    <n v="2"/>
  </r>
  <r>
    <x v="86"/>
    <s v="Sending affectionate vibes to friends and family."/>
    <s v="Affection"/>
    <d v="2023-02-24T16:00:00"/>
    <x v="1"/>
    <s v=" #Affection #FamilyLove                      "/>
    <n v="15"/>
    <n v="30"/>
    <s v="USA"/>
    <n v="2023"/>
    <n v="2"/>
    <n v="24"/>
    <n v="16"/>
    <n v="45"/>
    <s v="Normal"/>
    <s v="No"/>
    <s v="Standard"/>
    <s v="Afternoon"/>
    <x v="0"/>
    <n v="2"/>
  </r>
  <r>
    <x v="87"/>
    <s v="Awe-struck by the beauty of the night sky."/>
    <s v="Awe"/>
    <d v="2023-02-24T20:30:00"/>
    <x v="2"/>
    <s v=" #Awe #StarryNight                        "/>
    <n v="22"/>
    <n v="45"/>
    <s v="Australia"/>
    <n v="2023"/>
    <n v="2"/>
    <n v="24"/>
    <n v="20"/>
    <n v="67"/>
    <s v="Popular"/>
    <s v="No"/>
    <s v="Wide Reach"/>
    <s v="Evening"/>
    <x v="2"/>
    <n v="2.0454545454545454"/>
  </r>
  <r>
    <x v="88"/>
    <s v="Disappointed with the lack of progress in a personal project."/>
    <s v="Disappointed"/>
    <d v="2023-02-25T09:00:00"/>
    <x v="0"/>
    <s v=" #Disappointed #Project                     "/>
    <n v="18"/>
    <n v="35"/>
    <s v="India"/>
    <n v="2023"/>
    <n v="2"/>
    <n v="25"/>
    <n v="9"/>
    <n v="53"/>
    <s v="Normal"/>
    <s v="No"/>
    <s v="Standard"/>
    <s v="Morning"/>
    <x v="3"/>
    <n v="1.9444444444444444"/>
  </r>
  <r>
    <x v="89"/>
    <s v="A surprise visit from an old friend brought tears of joy."/>
    <s v="Surprise"/>
    <d v="2023-02-25T14:45:00"/>
    <x v="1"/>
    <s v=" #Surprise #OldFriends                       "/>
    <n v="25"/>
    <n v="50"/>
    <s v="USA"/>
    <n v="2023"/>
    <n v="2"/>
    <n v="25"/>
    <n v="14"/>
    <n v="75"/>
    <s v="Popular"/>
    <s v="No"/>
    <s v="Wide Reach"/>
    <s v="Afternoon"/>
    <x v="0"/>
    <n v="2"/>
  </r>
  <r>
    <x v="90"/>
    <s v="Embracing acceptance of life's ups and downs."/>
    <s v="Acceptance"/>
    <d v="2023-02-25T18:20:00"/>
    <x v="2"/>
    <s v=" #Acceptance #LifeJourney                   "/>
    <n v="15"/>
    <n v="30"/>
    <s v="Canada"/>
    <n v="2023"/>
    <n v="2"/>
    <n v="25"/>
    <n v="18"/>
    <n v="45"/>
    <s v="Normal"/>
    <s v="No"/>
    <s v="Standard"/>
    <s v="Evening"/>
    <x v="0"/>
    <n v="2"/>
  </r>
  <r>
    <x v="91"/>
    <s v="Overflowing adoration for a cute rescue puppy! ðŸ¶"/>
    <s v="Adoration"/>
    <d v="2023-02-26T10:45:00"/>
    <x v="0"/>
    <s v=" #Adoration #PuppyLove                       "/>
    <n v="22"/>
    <n v="45"/>
    <s v="UK"/>
    <n v="2023"/>
    <n v="2"/>
    <n v="26"/>
    <n v="10"/>
    <n v="67"/>
    <s v="Popular"/>
    <s v="No"/>
    <s v="Wide Reach"/>
    <s v="Morning"/>
    <x v="1"/>
    <n v="2.0454545454545454"/>
  </r>
  <r>
    <x v="92"/>
    <s v="Anticipating the release of a much-awaited movie."/>
    <s v="Anticipation"/>
    <d v="2023-02-26T07:30:00"/>
    <x v="1"/>
    <s v=" #Anticipation #MovieRelease                 "/>
    <n v="20"/>
    <n v="40"/>
    <s v="Australia"/>
    <n v="2023"/>
    <n v="2"/>
    <n v="26"/>
    <n v="7"/>
    <n v="60"/>
    <s v="Normal"/>
    <s v="No"/>
    <s v="Standard"/>
    <s v="Morning"/>
    <x v="2"/>
    <n v="2"/>
  </r>
  <r>
    <x v="93"/>
    <s v="Bitter experience at the customer service department."/>
    <s v="Bitter"/>
    <d v="2023-02-26T15:00:00"/>
    <x v="2"/>
    <s v=" #BitterExperience #CustomerService         "/>
    <n v="18"/>
    <n v="35"/>
    <s v="USA"/>
    <n v="2023"/>
    <n v="2"/>
    <n v="26"/>
    <n v="15"/>
    <n v="53"/>
    <s v="Normal"/>
    <s v="No"/>
    <s v="Standard"/>
    <s v="Afternoon"/>
    <x v="0"/>
    <n v="1.9444444444444444"/>
  </r>
  <r>
    <x v="94"/>
    <s v="Finding calmness amidst the chaos of daily life."/>
    <s v="Calmness"/>
    <d v="2023-02-27T09:30:00"/>
    <x v="0"/>
    <s v=" #Calmness #InnerPeace                      "/>
    <n v="15"/>
    <n v="30"/>
    <s v="India"/>
    <n v="2023"/>
    <n v="2"/>
    <n v="27"/>
    <n v="9"/>
    <n v="45"/>
    <s v="Normal"/>
    <s v="No"/>
    <s v="Standard"/>
    <s v="Morning"/>
    <x v="3"/>
    <n v="2"/>
  </r>
  <r>
    <x v="95"/>
    <s v="Confusion reigns as I try to make sense of recent events."/>
    <s v="Confusion"/>
    <d v="2023-02-27T14:20:00"/>
    <x v="1"/>
    <s v=" #Confusion #MakingSense                    "/>
    <n v="25"/>
    <n v="50"/>
    <s v="UK"/>
    <n v="2023"/>
    <n v="2"/>
    <n v="27"/>
    <n v="14"/>
    <n v="75"/>
    <s v="Popular"/>
    <s v="No"/>
    <s v="Wide Reach"/>
    <s v="Afternoon"/>
    <x v="1"/>
    <n v="2"/>
  </r>
  <r>
    <x v="96"/>
    <s v="Excitement building up for a surprise birthday party."/>
    <s v="Excitement"/>
    <d v="2023-02-27T18:45:00"/>
    <x v="2"/>
    <s v=" #Excitement #SurpriseParty                 "/>
    <n v="22"/>
    <n v="45"/>
    <s v="Canada"/>
    <n v="2023"/>
    <n v="2"/>
    <n v="27"/>
    <n v="18"/>
    <n v="67"/>
    <s v="Popular"/>
    <s v="No"/>
    <s v="Wide Reach"/>
    <s v="Evening"/>
    <x v="0"/>
    <n v="2.0454545454545454"/>
  </r>
  <r>
    <x v="97"/>
    <s v="Witnessed an act of kindness that made my day."/>
    <s v="Kind"/>
    <d v="2023-02-28T11:30:00"/>
    <x v="0"/>
    <s v=" #Kindness #ActsOfKindness                  "/>
    <n v="20"/>
    <n v="40"/>
    <s v="USA"/>
    <n v="2023"/>
    <n v="2"/>
    <n v="28"/>
    <n v="11"/>
    <n v="60"/>
    <s v="Normal"/>
    <s v="No"/>
    <s v="Standard"/>
    <s v="Morning"/>
    <x v="0"/>
    <n v="2"/>
  </r>
  <r>
    <x v="98"/>
    <s v="Pride in completing a challenging fitness challenge."/>
    <s v="Pride"/>
    <d v="2023-02-28T16:00:00"/>
    <x v="1"/>
    <s v=" #Pride #FitnessChallengeCompleted          "/>
    <n v="30"/>
    <n v="60"/>
    <s v="UK"/>
    <n v="2023"/>
    <n v="2"/>
    <n v="28"/>
    <n v="16"/>
    <n v="90"/>
    <s v="Popular"/>
    <s v="Yes"/>
    <s v="Wide Reach"/>
    <s v="Afternoon"/>
    <x v="1"/>
    <n v="2"/>
  </r>
  <r>
    <x v="99"/>
    <s v="A moment of shame for not speaking up against injustice."/>
    <s v="Shame"/>
    <d v="2023-02-28T19:45:00"/>
    <x v="2"/>
    <s v=" #Shame #Injustice                           "/>
    <n v="15"/>
    <n v="30"/>
    <s v="India"/>
    <n v="2023"/>
    <n v="2"/>
    <n v="28"/>
    <n v="19"/>
    <n v="45"/>
    <s v="Normal"/>
    <s v="No"/>
    <s v="Standard"/>
    <s v="Evening"/>
    <x v="3"/>
    <n v="2"/>
  </r>
  <r>
    <x v="100"/>
    <s v="Reflecting on the beauty of diversity in our world."/>
    <s v="Acceptance"/>
    <d v="2023-03-01T10:45:00"/>
    <x v="0"/>
    <s v=" #Acceptance #Diversity                      "/>
    <n v="22"/>
    <n v="45"/>
    <s v="Australia"/>
    <n v="2023"/>
    <n v="3"/>
    <n v="1"/>
    <n v="10"/>
    <n v="67"/>
    <s v="Popular"/>
    <s v="No"/>
    <s v="Wide Reach"/>
    <s v="Morning"/>
    <x v="2"/>
    <n v="2.0454545454545454"/>
  </r>
  <r>
    <x v="101"/>
    <s v="Excitement for a quiet evening with a good book."/>
    <s v="Excitement"/>
    <d v="2023-03-01T13:30:00"/>
    <x v="1"/>
    <s v=" #Excitement #BookTime                       "/>
    <n v="18"/>
    <n v="35"/>
    <s v="USA"/>
    <n v="2023"/>
    <n v="3"/>
    <n v="1"/>
    <n v="13"/>
    <n v="53"/>
    <s v="Normal"/>
    <s v="No"/>
    <s v="Standard"/>
    <s v="Afternoon"/>
    <x v="0"/>
    <n v="1.9444444444444444"/>
  </r>
  <r>
    <x v="102"/>
    <s v="Feeling bitter about the unfairness in the workplace."/>
    <s v="Bitter"/>
    <d v="2023-03-01T17:45:00"/>
    <x v="0"/>
    <s v=" #Bitter #Unfairness                         "/>
    <n v="15"/>
    <n v="30"/>
    <s v="Canada"/>
    <n v="2023"/>
    <n v="3"/>
    <n v="1"/>
    <n v="17"/>
    <n v="45"/>
    <s v="Normal"/>
    <s v="No"/>
    <s v="Standard"/>
    <s v="Afternoon"/>
    <x v="0"/>
    <n v="2"/>
  </r>
  <r>
    <x v="103"/>
    <s v="Calmness prevails as I practice mindfulness."/>
    <s v="Calmness"/>
    <d v="2023-03-02T18:00:00"/>
    <x v="2"/>
    <s v=" #Calmness #Mindfulness                      "/>
    <n v="15"/>
    <n v="30"/>
    <s v="UK"/>
    <n v="2023"/>
    <n v="3"/>
    <n v="2"/>
    <n v="18"/>
    <n v="45"/>
    <s v="Normal"/>
    <s v="No"/>
    <s v="Standard"/>
    <s v="Evening"/>
    <x v="1"/>
    <n v="2"/>
  </r>
  <r>
    <x v="104"/>
    <s v="Confusion surrounds me as I navigate through life's choices."/>
    <s v="Confusion"/>
    <d v="2023-03-02T13:15:00"/>
    <x v="1"/>
    <s v=" #Confusion #LifeChoices                     "/>
    <n v="30"/>
    <n v="60"/>
    <s v="USA"/>
    <n v="2023"/>
    <n v="3"/>
    <n v="2"/>
    <n v="13"/>
    <n v="90"/>
    <s v="Popular"/>
    <s v="Yes"/>
    <s v="Wide Reach"/>
    <s v="Afternoon"/>
    <x v="0"/>
    <n v="2"/>
  </r>
  <r>
    <x v="105"/>
    <s v="Excitement for a weekend road trip to explore new places."/>
    <s v="Excitement"/>
    <d v="2023-03-02T16:45:00"/>
    <x v="0"/>
    <s v=" #Excitement #WeekendAdventure               "/>
    <n v="25"/>
    <n v="50"/>
    <s v="India"/>
    <n v="2023"/>
    <n v="3"/>
    <n v="2"/>
    <n v="16"/>
    <n v="75"/>
    <s v="Popular"/>
    <s v="No"/>
    <s v="Wide Reach"/>
    <s v="Afternoon"/>
    <x v="3"/>
    <n v="2"/>
  </r>
  <r>
    <x v="106"/>
    <s v="Kindness witnessed today restores my faith in humanity."/>
    <s v="Kind"/>
    <d v="2023-03-03T11:30:00"/>
    <x v="2"/>
    <s v=" #Kindness #HumanityRestored                 "/>
    <n v="22"/>
    <n v="45"/>
    <s v="USA"/>
    <n v="2023"/>
    <n v="3"/>
    <n v="3"/>
    <n v="11"/>
    <n v="67"/>
    <s v="Popular"/>
    <s v="No"/>
    <s v="Wide Reach"/>
    <s v="Morning"/>
    <x v="0"/>
    <n v="2.0454545454545454"/>
  </r>
  <r>
    <x v="107"/>
    <s v="Pride in accomplishing personal and professional goals."/>
    <s v="Pride"/>
    <d v="2023-03-03T14:30:00"/>
    <x v="1"/>
    <s v=" #Pride #Accomplishments                     "/>
    <n v="12"/>
    <n v="25"/>
    <s v="Canada"/>
    <n v="2023"/>
    <n v="3"/>
    <n v="3"/>
    <n v="14"/>
    <n v="37"/>
    <s v="Normal"/>
    <s v="No"/>
    <s v="Standard"/>
    <s v="Afternoon"/>
    <x v="0"/>
    <n v="2.0833333333333335"/>
  </r>
  <r>
    <x v="108"/>
    <s v="Shame for not being true to my values in a difficult situation."/>
    <s v="Shame"/>
    <d v="2023-03-03T12:00:00"/>
    <x v="0"/>
    <s v=" #Shame #Integrity                           "/>
    <n v="15"/>
    <n v="30"/>
    <s v="UK"/>
    <n v="2023"/>
    <n v="3"/>
    <n v="3"/>
    <n v="12"/>
    <n v="45"/>
    <s v="Normal"/>
    <s v="No"/>
    <s v="Standard"/>
    <s v="Afternoon"/>
    <x v="1"/>
    <n v="2"/>
  </r>
  <r>
    <x v="109"/>
    <s v="Revisiting old memories, feeling a sense of elation."/>
    <s v="Elation"/>
    <d v="2010-05-15T15:30:00"/>
    <x v="0"/>
    <s v=" #Elation #Memories                             "/>
    <n v="20"/>
    <n v="40"/>
    <s v="Canada"/>
    <n v="2010"/>
    <n v="5"/>
    <n v="15"/>
    <n v="15"/>
    <n v="60"/>
    <s v="Normal"/>
    <s v="No"/>
    <s v="Standard"/>
    <s v="Afternoon"/>
    <x v="0"/>
    <n v="2"/>
  </r>
  <r>
    <x v="110"/>
    <s v="The victory of our team brought euphoria to the city."/>
    <s v="Euphoria"/>
    <d v="2021-08-10T21:15:00"/>
    <x v="1"/>
    <s v=" #Euphoria #Victory                             "/>
    <n v="15"/>
    <n v="30"/>
    <s v="USA"/>
    <n v="2021"/>
    <n v="8"/>
    <n v="10"/>
    <n v="21"/>
    <n v="45"/>
    <s v="Normal"/>
    <s v="No"/>
    <s v="Standard"/>
    <s v="Evening"/>
    <x v="0"/>
    <n v="2"/>
  </r>
  <r>
    <x v="111"/>
    <s v="Embracing the beauty of nature, a moment of contentment."/>
    <s v="Contentment"/>
    <d v="2011-06-20T14:45:00"/>
    <x v="2"/>
    <s v=" #Contentment #Nature                           "/>
    <n v="25"/>
    <n v="50"/>
    <s v="India"/>
    <n v="2011"/>
    <n v="6"/>
    <n v="20"/>
    <n v="14"/>
    <n v="75"/>
    <s v="Popular"/>
    <s v="No"/>
    <s v="Wide Reach"/>
    <s v="Afternoon"/>
    <x v="3"/>
    <n v="2"/>
  </r>
  <r>
    <x v="112"/>
    <s v="Meditating by the serene lake, finding inner peace."/>
    <s v="Serenity"/>
    <d v="2022-02-12T18:20:00"/>
    <x v="0"/>
    <s v=" #Serenity #Meditation                          "/>
    <n v="18"/>
    <n v="35"/>
    <s v="UK"/>
    <n v="2022"/>
    <n v="2"/>
    <n v="12"/>
    <n v="18"/>
    <n v="53"/>
    <s v="Normal"/>
    <s v="No"/>
    <s v="Standard"/>
    <s v="Evening"/>
    <x v="1"/>
    <n v="1.9444444444444444"/>
  </r>
  <r>
    <x v="113"/>
    <s v="Overflowing with gratitude for life's blessings."/>
    <s v="Gratitude"/>
    <d v="2012-11-25T10:00:00"/>
    <x v="1"/>
    <s v=" #Gratitude #Blessed                            "/>
    <n v="30"/>
    <n v="60"/>
    <s v="Australia"/>
    <n v="2012"/>
    <n v="11"/>
    <n v="25"/>
    <n v="10"/>
    <n v="90"/>
    <s v="Popular"/>
    <s v="Yes"/>
    <s v="Wide Reach"/>
    <s v="Morning"/>
    <x v="2"/>
    <n v="2"/>
  </r>
  <r>
    <x v="114"/>
    <s v="Hopeful for a brighter tomorrow, despite challenges."/>
    <s v="Hope"/>
    <d v="2013-04-05T19:30:00"/>
    <x v="2"/>
    <s v=" #Hope #Optimism                                "/>
    <n v="22"/>
    <n v="45"/>
    <s v="USA"/>
    <n v="2013"/>
    <n v="4"/>
    <n v="5"/>
    <n v="19"/>
    <n v="67"/>
    <s v="Popular"/>
    <s v="No"/>
    <s v="Wide Reach"/>
    <s v="Evening"/>
    <x v="0"/>
    <n v="2.0454545454545454"/>
  </r>
  <r>
    <x v="115"/>
    <s v="Empowered to make a difference in my community."/>
    <s v="Empowerment"/>
    <d v="2014-09-14T08:30:00"/>
    <x v="0"/>
    <s v=" #Empowerment #Community                        "/>
    <n v="15"/>
    <n v="30"/>
    <s v="UK"/>
    <n v="2014"/>
    <n v="9"/>
    <n v="14"/>
    <n v="8"/>
    <n v="45"/>
    <s v="Normal"/>
    <s v="No"/>
    <s v="Standard"/>
    <s v="Morning"/>
    <x v="1"/>
    <n v="2"/>
  </r>
  <r>
    <x v="116"/>
    <s v="Compassion in action: supporting a local charity event."/>
    <s v="Compassion"/>
    <d v="2015-07-18T14:20:00"/>
    <x v="1"/>
    <s v=" #Compassion #CharityEvent                   "/>
    <n v="18"/>
    <n v="35"/>
    <s v="Canada"/>
    <n v="2015"/>
    <n v="7"/>
    <n v="18"/>
    <n v="14"/>
    <n v="53"/>
    <s v="Normal"/>
    <s v="No"/>
    <s v="Standard"/>
    <s v="Afternoon"/>
    <x v="0"/>
    <n v="1.9444444444444444"/>
  </r>
  <r>
    <x v="117"/>
    <s v="A moment of tenderness, connecting with loved ones."/>
    <s v="Tenderness"/>
    <d v="2016-02-23T19:45:00"/>
    <x v="2"/>
    <s v=" #Tenderness #FamilyTime                       "/>
    <n v="25"/>
    <n v="50"/>
    <s v="UK"/>
    <n v="2016"/>
    <n v="2"/>
    <n v="23"/>
    <n v="19"/>
    <n v="75"/>
    <s v="Popular"/>
    <s v="No"/>
    <s v="Wide Reach"/>
    <s v="Evening"/>
    <x v="1"/>
    <n v="2"/>
  </r>
  <r>
    <x v="118"/>
    <s v="Arousal of excitement as I await a special announcement."/>
    <s v="Arousal"/>
    <d v="2017-10-30T11:30:00"/>
    <x v="0"/>
    <s v=" #Arousal #Excitement                           "/>
    <n v="20"/>
    <n v="40"/>
    <s v="Australia"/>
    <n v="2017"/>
    <n v="10"/>
    <n v="30"/>
    <n v="11"/>
    <n v="60"/>
    <s v="Normal"/>
    <s v="No"/>
    <s v="Standard"/>
    <s v="Morning"/>
    <x v="2"/>
    <n v="2"/>
  </r>
  <r>
    <x v="119"/>
    <s v="Enthusiastically diving into a new project."/>
    <s v="Enthusiasm"/>
    <d v="2018-06-15T16:00:00"/>
    <x v="1"/>
    <s v=" #Enthusiasm #NewProject                       "/>
    <n v="15"/>
    <n v="30"/>
    <s v="USA"/>
    <n v="2018"/>
    <n v="6"/>
    <n v="15"/>
    <n v="16"/>
    <n v="45"/>
    <s v="Normal"/>
    <s v="No"/>
    <s v="Standard"/>
    <s v="Afternoon"/>
    <x v="0"/>
    <n v="2"/>
  </r>
  <r>
    <x v="120"/>
    <s v="Feeling a sense of fulfillment after reaching a milestone."/>
    <s v="Fulfillment"/>
    <d v="2019-03-28T18:20:00"/>
    <x v="2"/>
    <s v=" #Fulfillment #Milestone                       "/>
    <n v="22"/>
    <n v="45"/>
    <s v="India"/>
    <n v="2019"/>
    <n v="3"/>
    <n v="28"/>
    <n v="18"/>
    <n v="67"/>
    <s v="Popular"/>
    <s v="No"/>
    <s v="Wide Reach"/>
    <s v="Evening"/>
    <x v="3"/>
    <n v="2.0454545454545454"/>
  </r>
  <r>
    <x v="121"/>
    <s v="Reverence for the beauty of a historic landmark."/>
    <s v="Reverence"/>
    <d v="2019-11-11T15:00:00"/>
    <x v="0"/>
    <s v=" #Reverence #History                           "/>
    <n v="18"/>
    <n v="35"/>
    <s v="UK"/>
    <n v="2019"/>
    <n v="11"/>
    <n v="11"/>
    <n v="15"/>
    <n v="53"/>
    <s v="Normal"/>
    <s v="No"/>
    <s v="Standard"/>
    <s v="Afternoon"/>
    <x v="1"/>
    <n v="1.9444444444444444"/>
  </r>
  <r>
    <x v="122"/>
    <s v="Elation after a surprise reunion with old friends."/>
    <s v="Elation"/>
    <d v="2020-04-02T09:30:00"/>
    <x v="1"/>
    <s v=" #Elation #OldFriends                          "/>
    <n v="25"/>
    <n v="50"/>
    <s v="Canada"/>
    <n v="2020"/>
    <n v="4"/>
    <n v="2"/>
    <n v="9"/>
    <n v="75"/>
    <s v="Popular"/>
    <s v="No"/>
    <s v="Wide Reach"/>
    <s v="Morning"/>
    <x v="0"/>
    <n v="2"/>
  </r>
  <r>
    <x v="123"/>
    <s v="The euphoria of a live music concert under the stars."/>
    <s v="Euphoria"/>
    <d v="2021-06-19T14:45:00"/>
    <x v="2"/>
    <s v=" #Euphoria #LiveMusic                          "/>
    <n v="15"/>
    <n v="30"/>
    <s v="USA"/>
    <n v="2021"/>
    <n v="6"/>
    <n v="19"/>
    <n v="14"/>
    <n v="45"/>
    <s v="Normal"/>
    <s v="No"/>
    <s v="Standard"/>
    <s v="Afternoon"/>
    <x v="0"/>
    <n v="2"/>
  </r>
  <r>
    <x v="124"/>
    <s v="Contentment in the simplicity of a quiet Sunday."/>
    <s v="Contentment"/>
    <d v="2010-08-15T10:00:00"/>
    <x v="0"/>
    <s v=" #Contentment #SundayMood                      "/>
    <n v="30"/>
    <n v="60"/>
    <s v="Australia"/>
    <n v="2010"/>
    <n v="8"/>
    <n v="15"/>
    <n v="10"/>
    <n v="90"/>
    <s v="Popular"/>
    <s v="Yes"/>
    <s v="Wide Reach"/>
    <s v="Morning"/>
    <x v="2"/>
    <n v="2"/>
  </r>
  <r>
    <x v="125"/>
    <s v="Serenity found in the pages of a favorite book."/>
    <s v="Serenity"/>
    <d v="2011-09-22T19:30:00"/>
    <x v="1"/>
    <s v=" #Serenity #BookTime                           "/>
    <n v="22"/>
    <n v="45"/>
    <s v="UK"/>
    <n v="2011"/>
    <n v="9"/>
    <n v="22"/>
    <n v="19"/>
    <n v="67"/>
    <s v="Popular"/>
    <s v="No"/>
    <s v="Wide Reach"/>
    <s v="Evening"/>
    <x v="1"/>
    <n v="2.0454545454545454"/>
  </r>
  <r>
    <x v="126"/>
    <s v="Gratitude for the support received during tough times."/>
    <s v="Gratitude"/>
    <d v="2012-03-10T08:30:00"/>
    <x v="2"/>
    <s v=" #Gratitude #Supportive                        "/>
    <n v="15"/>
    <n v="30"/>
    <s v="India"/>
    <n v="2012"/>
    <n v="3"/>
    <n v="10"/>
    <n v="8"/>
    <n v="45"/>
    <s v="Normal"/>
    <s v="No"/>
    <s v="Standard"/>
    <s v="Morning"/>
    <x v="3"/>
    <n v="2"/>
  </r>
  <r>
    <x v="127"/>
    <s v="Hopeful about the possibilities of a new journey."/>
    <s v="Hope"/>
    <d v="2013-12-05T16:00:00"/>
    <x v="0"/>
    <s v=" #Hope #NewBeginnings                          "/>
    <n v="18"/>
    <n v="35"/>
    <s v="Canada"/>
    <n v="2013"/>
    <n v="12"/>
    <n v="5"/>
    <n v="16"/>
    <n v="53"/>
    <s v="Normal"/>
    <s v="No"/>
    <s v="Standard"/>
    <s v="Afternoon"/>
    <x v="0"/>
    <n v="1.9444444444444444"/>
  </r>
  <r>
    <x v="128"/>
    <s v="Empowerment through learning and personal growth."/>
    <s v="Empowerment"/>
    <d v="2014-07-20T11:30:00"/>
    <x v="1"/>
    <s v=" #Empowerment #PersonalGrowth                  "/>
    <n v="25"/>
    <n v="50"/>
    <s v="USA"/>
    <n v="2014"/>
    <n v="7"/>
    <n v="20"/>
    <n v="11"/>
    <n v="75"/>
    <s v="Popular"/>
    <s v="No"/>
    <s v="Wide Reach"/>
    <s v="Morning"/>
    <x v="0"/>
    <n v="2"/>
  </r>
  <r>
    <x v="129"/>
    <s v="Compassion towards those in need during the holidays."/>
    <s v="Compassion"/>
    <d v="2015-12-22T14:20:00"/>
    <x v="2"/>
    <s v=" #Compassion #HolidaySupport                   "/>
    <n v="18"/>
    <n v="35"/>
    <s v="USA"/>
    <n v="2015"/>
    <n v="12"/>
    <n v="22"/>
    <n v="14"/>
    <n v="53"/>
    <s v="Normal"/>
    <s v="No"/>
    <s v="Standard"/>
    <s v="Afternoon"/>
    <x v="0"/>
    <n v="1.9444444444444444"/>
  </r>
  <r>
    <x v="130"/>
    <s v="Tenderness in the warmth of a cozy winter evening."/>
    <s v="Tenderness"/>
    <d v="2016-02-10T19:45:00"/>
    <x v="0"/>
    <s v=" #Tenderness #CozyEvening                     "/>
    <n v="25"/>
    <n v="50"/>
    <s v="UK"/>
    <n v="2016"/>
    <n v="2"/>
    <n v="10"/>
    <n v="19"/>
    <n v="75"/>
    <s v="Popular"/>
    <s v="No"/>
    <s v="Wide Reach"/>
    <s v="Evening"/>
    <x v="1"/>
    <n v="2"/>
  </r>
  <r>
    <x v="68"/>
    <s v="Arousal of excitement for an upcoming adventure."/>
    <s v="Arousal"/>
    <d v="2017-04-30T11:30:00"/>
    <x v="1"/>
    <s v=" #Arousal #AdventureTime                       "/>
    <n v="20"/>
    <n v="40"/>
    <s v="Australia"/>
    <n v="2017"/>
    <n v="4"/>
    <n v="30"/>
    <n v="11"/>
    <n v="60"/>
    <s v="Normal"/>
    <s v="No"/>
    <s v="Standard"/>
    <s v="Morning"/>
    <x v="2"/>
    <n v="2"/>
  </r>
  <r>
    <x v="131"/>
    <s v="Enthusiasm for a creative project in the making."/>
    <s v="Enthusiasm"/>
    <d v="2018-09-15T16:00:00"/>
    <x v="2"/>
    <s v=" #Enthusiasm #Creativity                       "/>
    <n v="15"/>
    <n v="30"/>
    <s v="Canada"/>
    <n v="2018"/>
    <n v="9"/>
    <n v="15"/>
    <n v="16"/>
    <n v="45"/>
    <s v="Normal"/>
    <s v="No"/>
    <s v="Standard"/>
    <s v="Afternoon"/>
    <x v="0"/>
    <n v="2"/>
  </r>
  <r>
    <x v="132"/>
    <s v="Fulfillment in completing a challenging workout routine."/>
    <s v="Fulfillment"/>
    <d v="2019-06-28T18:20:00"/>
    <x v="0"/>
    <s v=" #Fulfillment #FitnessGoals                   "/>
    <n v="22"/>
    <n v="45"/>
    <s v="India"/>
    <n v="2019"/>
    <n v="6"/>
    <n v="28"/>
    <n v="18"/>
    <n v="67"/>
    <s v="Popular"/>
    <s v="No"/>
    <s v="Wide Reach"/>
    <s v="Evening"/>
    <x v="3"/>
    <n v="2.0454545454545454"/>
  </r>
  <r>
    <x v="133"/>
    <s v="Reverence for the artistry displayed in a museum."/>
    <s v="Reverence"/>
    <d v="2020-11-11T15:00:00"/>
    <x v="1"/>
    <s v=" #Reverence #ArtAppreciation                  "/>
    <n v="18"/>
    <n v="35"/>
    <s v="UK"/>
    <n v="2020"/>
    <n v="11"/>
    <n v="11"/>
    <n v="15"/>
    <n v="53"/>
    <s v="Normal"/>
    <s v="No"/>
    <s v="Standard"/>
    <s v="Afternoon"/>
    <x v="1"/>
    <n v="1.9444444444444444"/>
  </r>
  <r>
    <x v="134"/>
    <s v="Elation after achieving a personal goal."/>
    <s v="Elation"/>
    <d v="2021-03-02T09:30:00"/>
    <x v="2"/>
    <s v=" #Elation #PersonalAchievement                "/>
    <n v="25"/>
    <n v="50"/>
    <s v="USA"/>
    <n v="2021"/>
    <n v="3"/>
    <n v="2"/>
    <n v="9"/>
    <n v="75"/>
    <s v="Popular"/>
    <s v="No"/>
    <s v="Wide Reach"/>
    <s v="Morning"/>
    <x v="0"/>
    <n v="2"/>
  </r>
  <r>
    <x v="135"/>
    <s v="Elation over discovering a hidden gem in the city."/>
    <s v="Elation"/>
    <d v="2012-02-18T14:30:00"/>
    <x v="0"/>
    <s v=" #Elation #HiddenGem                            "/>
    <n v="20"/>
    <n v="40"/>
    <s v="USA"/>
    <n v="2012"/>
    <n v="2"/>
    <n v="18"/>
    <n v="14"/>
    <n v="60"/>
    <s v="Normal"/>
    <s v="No"/>
    <s v="Standard"/>
    <s v="Afternoon"/>
    <x v="0"/>
    <n v="2"/>
  </r>
  <r>
    <x v="136"/>
    <s v="The euphoria of a surprise birthday celebration."/>
    <s v="Euphoria"/>
    <d v="2018-11-05T21:45:00"/>
    <x v="1"/>
    <s v=" #Euphoria #BirthdaySurprise                   "/>
    <n v="15"/>
    <n v="30"/>
    <s v="UK"/>
    <n v="2018"/>
    <n v="11"/>
    <n v="5"/>
    <n v="21"/>
    <n v="45"/>
    <s v="Normal"/>
    <s v="No"/>
    <s v="Standard"/>
    <s v="Evening"/>
    <x v="1"/>
    <n v="2"/>
  </r>
  <r>
    <x v="137"/>
    <s v="Contentment in the simplicity of a home-cooked meal."/>
    <s v="Contentment"/>
    <d v="2015-09-12T13:20:00"/>
    <x v="2"/>
    <s v=" #Contentment #HomeCooking                     "/>
    <n v="25"/>
    <n v="50"/>
    <s v="India"/>
    <n v="2015"/>
    <n v="9"/>
    <n v="12"/>
    <n v="13"/>
    <n v="75"/>
    <s v="Popular"/>
    <s v="No"/>
    <s v="Wide Reach"/>
    <s v="Afternoon"/>
    <x v="3"/>
    <n v="2"/>
  </r>
  <r>
    <x v="138"/>
    <s v="Serenity found in the melody of a peaceful piano."/>
    <s v="Serenity"/>
    <d v="2016-07-30T18:10:00"/>
    <x v="0"/>
    <s v=" #Serenity #PeacefulMelody                    "/>
    <n v="18"/>
    <n v="35"/>
    <s v="Canada"/>
    <n v="2016"/>
    <n v="7"/>
    <n v="30"/>
    <n v="18"/>
    <n v="53"/>
    <s v="Normal"/>
    <s v="No"/>
    <s v="Standard"/>
    <s v="Evening"/>
    <x v="0"/>
    <n v="1.9444444444444444"/>
  </r>
  <r>
    <x v="139"/>
    <s v="Gratitude for the supportive community around me."/>
    <s v="Gratitude"/>
    <d v="2013-04-20T10:30:00"/>
    <x v="1"/>
    <s v=" #Gratitude #CommunitySupport                   "/>
    <n v="30"/>
    <n v="60"/>
    <s v="USA"/>
    <n v="2013"/>
    <n v="4"/>
    <n v="20"/>
    <n v="10"/>
    <n v="90"/>
    <s v="Popular"/>
    <s v="Yes"/>
    <s v="Wide Reach"/>
    <s v="Morning"/>
    <x v="0"/>
    <n v="2"/>
  </r>
  <r>
    <x v="140"/>
    <s v="Hopeful about the prospects of a new business venture."/>
    <s v="Hope"/>
    <d v="2017-12-08T19:15:00"/>
    <x v="2"/>
    <s v=" #Hope #BusinessVenture                        "/>
    <n v="22"/>
    <n v="45"/>
    <s v="Canada"/>
    <n v="2017"/>
    <n v="12"/>
    <n v="8"/>
    <n v="19"/>
    <n v="67"/>
    <s v="Popular"/>
    <s v="No"/>
    <s v="Wide Reach"/>
    <s v="Evening"/>
    <x v="0"/>
    <n v="2.0454545454545454"/>
  </r>
  <r>
    <x v="141"/>
    <s v="Empowerment through mentoring and guiding others."/>
    <s v="Empowerment"/>
    <d v="2014-06-03T08:20:00"/>
    <x v="0"/>
    <s v=" #Empowerment #Mentorship                      "/>
    <n v="15"/>
    <n v="30"/>
    <s v="UK"/>
    <n v="2014"/>
    <n v="6"/>
    <n v="3"/>
    <n v="8"/>
    <n v="45"/>
    <s v="Normal"/>
    <s v="No"/>
    <s v="Standard"/>
    <s v="Morning"/>
    <x v="1"/>
    <n v="2"/>
  </r>
  <r>
    <x v="142"/>
    <s v="Compassion shown through acts of kindness in the community."/>
    <s v="Compassion"/>
    <d v="2019-01-15T14:50:00"/>
    <x v="1"/>
    <s v=" #Compassion #CommunityKindness               "/>
    <n v="18"/>
    <n v="35"/>
    <s v="Australia"/>
    <n v="2019"/>
    <n v="1"/>
    <n v="15"/>
    <n v="14"/>
    <n v="53"/>
    <s v="Normal"/>
    <s v="No"/>
    <s v="Standard"/>
    <s v="Afternoon"/>
    <x v="2"/>
    <n v="1.9444444444444444"/>
  </r>
  <r>
    <x v="143"/>
    <s v="Tenderness in a heartfelt message to a loved one."/>
    <s v="Tenderness"/>
    <d v="2016-12-25T19:30:00"/>
    <x v="2"/>
    <s v=" #Tenderness #LoveNote                         "/>
    <n v="25"/>
    <n v="50"/>
    <s v="UK"/>
    <n v="2016"/>
    <n v="12"/>
    <n v="25"/>
    <n v="19"/>
    <n v="75"/>
    <s v="Popular"/>
    <s v="No"/>
    <s v="Wide Reach"/>
    <s v="Evening"/>
    <x v="1"/>
    <n v="2"/>
  </r>
  <r>
    <x v="144"/>
    <s v="Arousal of excitement before a much-awaited trip."/>
    <s v="Arousal"/>
    <d v="2018-03-10T09:45:00"/>
    <x v="0"/>
    <s v=" #Arousal #TravelAdventure                     "/>
    <n v="20"/>
    <n v="40"/>
    <s v="India"/>
    <n v="2018"/>
    <n v="3"/>
    <n v="10"/>
    <n v="9"/>
    <n v="60"/>
    <s v="Normal"/>
    <s v="No"/>
    <s v="Standard"/>
    <s v="Morning"/>
    <x v="3"/>
    <n v="2"/>
  </r>
  <r>
    <x v="145"/>
    <s v="Enthusiasm for a new artistic project in the works."/>
    <s v="Enthusiasm"/>
    <d v="2020-09-17T16:30:00"/>
    <x v="1"/>
    <s v=" #Enthusiasm #ArtisticProject                 "/>
    <n v="15"/>
    <n v="30"/>
    <s v="USA"/>
    <n v="2020"/>
    <n v="9"/>
    <n v="17"/>
    <n v="16"/>
    <n v="45"/>
    <s v="Normal"/>
    <s v="No"/>
    <s v="Standard"/>
    <s v="Afternoon"/>
    <x v="0"/>
    <n v="2"/>
  </r>
  <r>
    <x v="146"/>
    <s v="Feeling a sense of fulfillment after helping others."/>
    <s v="Fulfillment"/>
    <d v="2011-08-28T18:45:00"/>
    <x v="2"/>
    <s v=" #Fulfillment #HelpingOthers                  "/>
    <n v="22"/>
    <n v="45"/>
    <s v="Canada"/>
    <n v="2011"/>
    <n v="8"/>
    <n v="28"/>
    <n v="18"/>
    <n v="67"/>
    <s v="Popular"/>
    <s v="No"/>
    <s v="Wide Reach"/>
    <s v="Evening"/>
    <x v="0"/>
    <n v="2.0454545454545454"/>
  </r>
  <r>
    <x v="147"/>
    <s v="Reverence for the historical significance of a landmark."/>
    <s v="Reverence"/>
    <d v="2017-11-01T15:30:00"/>
    <x v="0"/>
    <s v=" #Reverence #HistoricalSite                   "/>
    <n v="18"/>
    <n v="35"/>
    <s v="Australia"/>
    <n v="2017"/>
    <n v="11"/>
    <n v="1"/>
    <n v="15"/>
    <n v="53"/>
    <s v="Normal"/>
    <s v="No"/>
    <s v="Standard"/>
    <s v="Afternoon"/>
    <x v="2"/>
    <n v="1.9444444444444444"/>
  </r>
  <r>
    <x v="148"/>
    <s v="Elation after achieving a fitness milestone."/>
    <s v="Elation"/>
    <d v="2019-06-15T10:00:00"/>
    <x v="1"/>
    <s v=" #Elation #FitnessMilestone                   "/>
    <n v="25"/>
    <n v="50"/>
    <s v="UK"/>
    <n v="2019"/>
    <n v="6"/>
    <n v="15"/>
    <n v="10"/>
    <n v="75"/>
    <s v="Popular"/>
    <s v="No"/>
    <s v="Wide Reach"/>
    <s v="Morning"/>
    <x v="1"/>
    <n v="2"/>
  </r>
  <r>
    <x v="149"/>
    <s v="The euphoria of a successful product launch."/>
    <s v="Euphoria"/>
    <d v="2022-04-03T11:45:00"/>
    <x v="2"/>
    <s v=" #Euphoria #ProductLaunchSuccess              "/>
    <n v="15"/>
    <n v="30"/>
    <s v="USA"/>
    <n v="2022"/>
    <n v="4"/>
    <n v="3"/>
    <n v="11"/>
    <n v="45"/>
    <s v="Normal"/>
    <s v="No"/>
    <s v="Standard"/>
    <s v="Morning"/>
    <x v="0"/>
    <n v="2"/>
  </r>
  <r>
    <x v="150"/>
    <s v="Contentment in the embrace of a loved one."/>
    <s v="Contentment"/>
    <d v="2010-11-12T20:20:00"/>
    <x v="0"/>
    <s v=" #Contentment #Love                             "/>
    <n v="30"/>
    <n v="60"/>
    <s v="India"/>
    <n v="2010"/>
    <n v="11"/>
    <n v="12"/>
    <n v="20"/>
    <n v="90"/>
    <s v="Popular"/>
    <s v="Yes"/>
    <s v="Wide Reach"/>
    <s v="Evening"/>
    <x v="3"/>
    <n v="2"/>
  </r>
  <r>
    <x v="151"/>
    <s v="Serenity found in the beauty of a sunset by the sea."/>
    <s v="Serenity"/>
    <d v="2011-07-22T18:30:00"/>
    <x v="1"/>
    <s v=" #Serenity #SunsetViews                       "/>
    <n v="22"/>
    <n v="45"/>
    <s v="Canada"/>
    <n v="2011"/>
    <n v="7"/>
    <n v="22"/>
    <n v="18"/>
    <n v="67"/>
    <s v="Popular"/>
    <s v="No"/>
    <s v="Wide Reach"/>
    <s v="Evening"/>
    <x v="0"/>
    <n v="2.0454545454545454"/>
  </r>
  <r>
    <x v="152"/>
    <s v="Gratitude for the small joys that each day brings."/>
    <s v="Gratitude"/>
    <d v="2012-03-30T11:20:00"/>
    <x v="2"/>
    <s v=" #Gratitude #SmallJoys                        "/>
    <n v="15"/>
    <n v="30"/>
    <s v="Australia"/>
    <n v="2012"/>
    <n v="3"/>
    <n v="30"/>
    <n v="11"/>
    <n v="45"/>
    <s v="Normal"/>
    <s v="No"/>
    <s v="Standard"/>
    <s v="Morning"/>
    <x v="2"/>
    <n v="2"/>
  </r>
  <r>
    <x v="153"/>
    <s v="Hopeful about the potential for personal growth."/>
    <s v="Hope"/>
    <d v="2013-10-05T16:40:00"/>
    <x v="0"/>
    <s v=" #Hope #PersonalDevelopment                    "/>
    <n v="18"/>
    <n v="35"/>
    <s v="UK"/>
    <n v="2013"/>
    <n v="10"/>
    <n v="5"/>
    <n v="16"/>
    <n v="53"/>
    <s v="Normal"/>
    <s v="No"/>
    <s v="Standard"/>
    <s v="Afternoon"/>
    <x v="1"/>
    <n v="1.9444444444444444"/>
  </r>
  <r>
    <x v="154"/>
    <s v="Empowerment through learning a new skill."/>
    <s v="Empowerment"/>
    <d v="2014-07-10T13:15:00"/>
    <x v="1"/>
    <s v=" #Empowerment #SkillBuilding                   "/>
    <n v="25"/>
    <n v="50"/>
    <s v="India"/>
    <n v="2014"/>
    <n v="7"/>
    <n v="10"/>
    <n v="13"/>
    <n v="75"/>
    <s v="Popular"/>
    <s v="No"/>
    <s v="Wide Reach"/>
    <s v="Afternoon"/>
    <x v="3"/>
    <n v="2"/>
  </r>
  <r>
    <x v="155"/>
    <s v="Compassion in volunteering for a local charity."/>
    <s v="Compassion"/>
    <d v="2015-12-18T14:20:00"/>
    <x v="2"/>
    <s v=" #Compassion #VolunteerWork                   "/>
    <n v="18"/>
    <n v="35"/>
    <s v="USA"/>
    <n v="2015"/>
    <n v="12"/>
    <n v="18"/>
    <n v="14"/>
    <n v="53"/>
    <s v="Normal"/>
    <s v="No"/>
    <s v="Standard"/>
    <s v="Afternoon"/>
    <x v="0"/>
    <n v="1.9444444444444444"/>
  </r>
  <r>
    <x v="156"/>
    <s v="Tenderness in a quiet moment shared with a pet."/>
    <s v="Tenderness"/>
    <d v="2016-02-10T19:45:00"/>
    <x v="0"/>
    <s v=" #Tenderness #PetLove                          "/>
    <n v="25"/>
    <n v="50"/>
    <s v="Canada"/>
    <n v="2016"/>
    <n v="2"/>
    <n v="10"/>
    <n v="19"/>
    <n v="75"/>
    <s v="Popular"/>
    <s v="No"/>
    <s v="Wide Reach"/>
    <s v="Evening"/>
    <x v="0"/>
    <n v="2"/>
  </r>
  <r>
    <x v="157"/>
    <s v="Arousal of excitement for an upcoming festival."/>
    <s v="Arousal"/>
    <d v="2017-09-25T11:30:00"/>
    <x v="1"/>
    <s v=" #Arousal #FestivalExcitement               "/>
    <n v="20"/>
    <n v="40"/>
    <s v="UK"/>
    <n v="2017"/>
    <n v="9"/>
    <n v="25"/>
    <n v="11"/>
    <n v="60"/>
    <s v="Normal"/>
    <s v="No"/>
    <s v="Standard"/>
    <s v="Morning"/>
    <x v="1"/>
    <n v="2"/>
  </r>
  <r>
    <x v="158"/>
    <s v="Enthusiasm for a DIY home improvement project."/>
    <s v="Enthusiasm"/>
    <d v="2018-04-15T16:00:00"/>
    <x v="2"/>
    <s v=" #Enthusiasm #HomeImprovement                 "/>
    <n v="15"/>
    <n v="30"/>
    <s v="Australia"/>
    <n v="2018"/>
    <n v="4"/>
    <n v="15"/>
    <n v="16"/>
    <n v="45"/>
    <s v="Normal"/>
    <s v="No"/>
    <s v="Standard"/>
    <s v="Afternoon"/>
    <x v="2"/>
    <n v="2"/>
  </r>
  <r>
    <x v="159"/>
    <s v="Fulfillment in completing a challenging puzzle."/>
    <s v="Fulfillment"/>
    <d v="2019-11-28T18:20:00"/>
    <x v="0"/>
    <s v=" #Fulfillment #PuzzleChallenge                "/>
    <n v="22"/>
    <n v="45"/>
    <s v="India"/>
    <n v="2019"/>
    <n v="11"/>
    <n v="28"/>
    <n v="18"/>
    <n v="67"/>
    <s v="Popular"/>
    <s v="No"/>
    <s v="Wide Reach"/>
    <s v="Evening"/>
    <x v="3"/>
    <n v="2.0454545454545454"/>
  </r>
  <r>
    <x v="61"/>
    <s v="Reverence for the wonders of nature on a hiking trail."/>
    <s v="Reverence"/>
    <d v="2020-05-11T15:00:00"/>
    <x v="1"/>
    <s v=" #Reverence #NatureExploration                "/>
    <n v="18"/>
    <n v="35"/>
    <s v="USA"/>
    <n v="2020"/>
    <n v="5"/>
    <n v="11"/>
    <n v="15"/>
    <n v="53"/>
    <s v="Normal"/>
    <s v="No"/>
    <s v="Standard"/>
    <s v="Afternoon"/>
    <x v="0"/>
    <n v="1.9444444444444444"/>
  </r>
  <r>
    <x v="160"/>
    <s v="Elation after a surprise reunion with a childhood friend."/>
    <s v="Elation"/>
    <d v="2021-02-05T09:30:00"/>
    <x v="2"/>
    <s v=" #Elation #FriendshipReunion                  "/>
    <n v="25"/>
    <n v="50"/>
    <s v="Canada"/>
    <n v="2021"/>
    <n v="2"/>
    <n v="5"/>
    <n v="9"/>
    <n v="75"/>
    <s v="Popular"/>
    <s v="No"/>
    <s v="Wide Reach"/>
    <s v="Morning"/>
    <x v="0"/>
    <n v="2"/>
  </r>
  <r>
    <x v="161"/>
    <s v="Suffering from despair after another setback."/>
    <s v="Despair"/>
    <d v="2021-03-10T08:30:00"/>
    <x v="0"/>
    <s v=" #Despair #Struggle                              "/>
    <n v="5"/>
    <n v="10"/>
    <s v="USA"/>
    <n v="2021"/>
    <n v="3"/>
    <n v="10"/>
    <n v="8"/>
    <n v="15"/>
    <s v="Normal"/>
    <s v="No"/>
    <s v="Standard"/>
    <s v="Morning"/>
    <x v="0"/>
    <n v="2"/>
  </r>
  <r>
    <x v="162"/>
    <s v="Overwhelmed by grief, missing a loved one dearly."/>
    <s v="Grief"/>
    <d v="2022-07-05T15:45:00"/>
    <x v="1"/>
    <s v=" #Grief #Loss                                   "/>
    <n v="8"/>
    <n v="15"/>
    <s v="Canada"/>
    <n v="2022"/>
    <n v="7"/>
    <n v="5"/>
    <n v="15"/>
    <n v="23"/>
    <s v="Normal"/>
    <s v="No"/>
    <s v="Standard"/>
    <s v="Afternoon"/>
    <x v="0"/>
    <n v="1.875"/>
  </r>
  <r>
    <x v="163"/>
    <s v="Loneliness creeps in as the night grows colder."/>
    <s v="Loneliness"/>
    <d v="2019-11-18T21:20:00"/>
    <x v="2"/>
    <s v=" #Loneliness #Isolation                         "/>
    <n v="10"/>
    <n v="20"/>
    <s v="UK"/>
    <n v="2019"/>
    <n v="11"/>
    <n v="18"/>
    <n v="21"/>
    <n v="30"/>
    <s v="Normal"/>
    <s v="No"/>
    <s v="Standard"/>
    <s v="Evening"/>
    <x v="1"/>
    <n v="2"/>
  </r>
  <r>
    <x v="164"/>
    <s v="Jealousy consumes me as I witness others' success."/>
    <s v="Jealousy"/>
    <d v="2020-08-12T11:30:00"/>
    <x v="0"/>
    <s v=" #Jealousy #Envy                               "/>
    <n v="12"/>
    <n v="25"/>
    <s v="India"/>
    <n v="2020"/>
    <n v="8"/>
    <n v="12"/>
    <n v="11"/>
    <n v="37"/>
    <s v="Normal"/>
    <s v="No"/>
    <s v="Standard"/>
    <s v="Morning"/>
    <x v="3"/>
    <n v="2.0833333333333335"/>
  </r>
  <r>
    <x v="165"/>
    <s v="Resentment building up over past betrayals."/>
    <s v="Resentment"/>
    <d v="2018-05-22T14:45:00"/>
    <x v="1"/>
    <s v=" #Resentment #Bitterness                       "/>
    <n v="7"/>
    <n v="15"/>
    <s v="Australia"/>
    <n v="2018"/>
    <n v="5"/>
    <n v="22"/>
    <n v="14"/>
    <n v="22"/>
    <s v="Normal"/>
    <s v="No"/>
    <s v="Standard"/>
    <s v="Afternoon"/>
    <x v="2"/>
    <n v="2.1428571428571428"/>
  </r>
  <r>
    <x v="166"/>
    <s v="Frustration mounts as obstacles block my path."/>
    <s v="Frustration"/>
    <d v="2017-01-30T16:10:00"/>
    <x v="2"/>
    <s v=" #Frustration #Obstacles                       "/>
    <n v="10"/>
    <n v="20"/>
    <s v="USA"/>
    <n v="2017"/>
    <n v="1"/>
    <n v="30"/>
    <n v="16"/>
    <n v="30"/>
    <s v="Normal"/>
    <s v="No"/>
    <s v="Standard"/>
    <s v="Afternoon"/>
    <x v="0"/>
    <n v="2"/>
  </r>
  <r>
    <x v="167"/>
    <s v="Boredom sets in, the day feels endlessly dull."/>
    <s v="Boredom"/>
    <d v="2016-09-28T19:45:00"/>
    <x v="0"/>
    <s v=" #Boredom #LackOfInterest                     "/>
    <n v="8"/>
    <n v="15"/>
    <s v="Canada"/>
    <n v="2016"/>
    <n v="9"/>
    <n v="28"/>
    <n v="19"/>
    <n v="23"/>
    <s v="Normal"/>
    <s v="No"/>
    <s v="Standard"/>
    <s v="Evening"/>
    <x v="0"/>
    <n v="1.875"/>
  </r>
  <r>
    <x v="168"/>
    <s v="Anxiety grips my heart, worry clouds my thoughts."/>
    <s v="Anxiety"/>
    <d v="2019-04-15T09:00:00"/>
    <x v="1"/>
    <s v=" #Anxiety #Worry                               "/>
    <n v="12"/>
    <n v="25"/>
    <s v="UK"/>
    <n v="2019"/>
    <n v="4"/>
    <n v="15"/>
    <n v="9"/>
    <n v="37"/>
    <s v="Normal"/>
    <s v="No"/>
    <s v="Standard"/>
    <s v="Morning"/>
    <x v="1"/>
    <n v="2.0833333333333335"/>
  </r>
  <r>
    <x v="169"/>
    <s v="Intimidation by the unknown future ahead."/>
    <s v="Intimidation"/>
    <d v="2021-12-03T18:30:00"/>
    <x v="2"/>
    <s v=" #Intimidation #Fear                           "/>
    <n v="15"/>
    <n v="30"/>
    <s v="India"/>
    <n v="2021"/>
    <n v="12"/>
    <n v="3"/>
    <n v="18"/>
    <n v="45"/>
    <s v="Normal"/>
    <s v="No"/>
    <s v="Standard"/>
    <s v="Evening"/>
    <x v="3"/>
    <n v="2"/>
  </r>
  <r>
    <x v="170"/>
    <s v="Helplessness sinks in as challenges pile up."/>
    <s v="Helplessness"/>
    <d v="2020-06-20T14:20:00"/>
    <x v="0"/>
    <s v=" #Helplessness #Overwhelmed                    "/>
    <n v="8"/>
    <n v="15"/>
    <s v="Australia"/>
    <n v="2020"/>
    <n v="6"/>
    <n v="20"/>
    <n v="14"/>
    <n v="23"/>
    <s v="Normal"/>
    <s v="No"/>
    <s v="Standard"/>
    <s v="Afternoon"/>
    <x v="2"/>
    <n v="1.875"/>
  </r>
  <r>
    <x v="171"/>
    <s v="Envy eats away at me as I see others' prosperity."/>
    <s v="Envy"/>
    <d v="2018-11-07T11:30:00"/>
    <x v="1"/>
    <s v=" #Envy #Desire                                "/>
    <n v="10"/>
    <n v="20"/>
    <s v="Canada"/>
    <n v="2018"/>
    <n v="11"/>
    <n v="7"/>
    <n v="11"/>
    <n v="30"/>
    <s v="Normal"/>
    <s v="No"/>
    <s v="Standard"/>
    <s v="Morning"/>
    <x v="0"/>
    <n v="2"/>
  </r>
  <r>
    <x v="172"/>
    <s v="Regret over missed opportunities haunts my thoughts."/>
    <s v="Regret"/>
    <d v="2017-08-25T16:00:00"/>
    <x v="2"/>
    <s v=" #Regret #MissedChances                       "/>
    <n v="12"/>
    <n v="25"/>
    <s v="UK"/>
    <n v="2017"/>
    <n v="8"/>
    <n v="25"/>
    <n v="16"/>
    <n v="37"/>
    <s v="Normal"/>
    <s v="No"/>
    <s v="Standard"/>
    <s v="Afternoon"/>
    <x v="1"/>
    <n v="2.0833333333333335"/>
  </r>
  <r>
    <x v="173"/>
    <s v="Disgust at the sight of injustice and cruelty."/>
    <s v="Disgust"/>
    <d v="2019-02-11T09:45:00"/>
    <x v="0"/>
    <s v=" #Disgust #Injustice                          "/>
    <n v="7"/>
    <n v="15"/>
    <s v="India"/>
    <n v="2019"/>
    <n v="2"/>
    <n v="11"/>
    <n v="9"/>
    <n v="22"/>
    <s v="Normal"/>
    <s v="No"/>
    <s v="Standard"/>
    <s v="Morning"/>
    <x v="3"/>
    <n v="2.1428571428571428"/>
  </r>
  <r>
    <x v="174"/>
    <s v="Drowning in despair, hope slipping through my fingers."/>
    <s v="Despair"/>
    <d v="2016-04-02T20:20:00"/>
    <x v="1"/>
    <s v=" #Despair #Hopeless                           "/>
    <n v="10"/>
    <n v="20"/>
    <s v="USA"/>
    <n v="2016"/>
    <n v="4"/>
    <n v="2"/>
    <n v="20"/>
    <n v="30"/>
    <s v="Normal"/>
    <s v="No"/>
    <s v="Standard"/>
    <s v="Evening"/>
    <x v="0"/>
    <n v="2"/>
  </r>
  <r>
    <x v="175"/>
    <s v="Grief weighs heavy, tears a constant companion."/>
    <s v="Grief"/>
    <d v="2015-10-18T15:30:00"/>
    <x v="2"/>
    <s v=" #Grief #Tears                                "/>
    <n v="12"/>
    <n v="25"/>
    <s v="Canada"/>
    <n v="2015"/>
    <n v="10"/>
    <n v="18"/>
    <n v="15"/>
    <n v="37"/>
    <s v="Normal"/>
    <s v="No"/>
    <s v="Standard"/>
    <s v="Afternoon"/>
    <x v="0"/>
    <n v="2.0833333333333335"/>
  </r>
  <r>
    <x v="176"/>
    <s v="Loneliness in a crowded room, a silent cry for connection."/>
    <s v="Loneliness"/>
    <d v="2019-07-12T18:10:00"/>
    <x v="0"/>
    <s v=" #Loneliness #SeekingConnection              "/>
    <n v="15"/>
    <n v="30"/>
    <s v="UK"/>
    <n v="2019"/>
    <n v="7"/>
    <n v="12"/>
    <n v="18"/>
    <n v="45"/>
    <s v="Normal"/>
    <s v="No"/>
    <s v="Standard"/>
    <s v="Evening"/>
    <x v="1"/>
    <n v="2"/>
  </r>
  <r>
    <x v="177"/>
    <s v="Jealousy gnaws at my confidence, a toxic emotion."/>
    <s v="Jealousy"/>
    <d v="2018-06-03T16:30:00"/>
    <x v="1"/>
    <s v=" #Jealousy #Insecurity                       "/>
    <n v="8"/>
    <n v="15"/>
    <s v="India"/>
    <n v="2018"/>
    <n v="6"/>
    <n v="3"/>
    <n v="16"/>
    <n v="23"/>
    <s v="Normal"/>
    <s v="No"/>
    <s v="Standard"/>
    <s v="Afternoon"/>
    <x v="3"/>
    <n v="1.875"/>
  </r>
  <r>
    <x v="178"/>
    <s v="Resentment festers, poisoning relationships."/>
    <s v="Resentment"/>
    <d v="2022-01-15T12:00:00"/>
    <x v="2"/>
    <s v=" #Resentment #BrokenTrust                     "/>
    <n v="10"/>
    <n v="20"/>
    <s v="Australia"/>
    <n v="2022"/>
    <n v="1"/>
    <n v="15"/>
    <n v="12"/>
    <n v="30"/>
    <s v="Normal"/>
    <s v="No"/>
    <s v="Standard"/>
    <s v="Afternoon"/>
    <x v="2"/>
    <n v="2"/>
  </r>
  <r>
    <x v="179"/>
    <s v="Frustration boils over, a volcanic eruption of emotions."/>
    <s v="Frustration"/>
    <d v="2017-04-10T14:45:00"/>
    <x v="0"/>
    <s v=" #Frustration #EmotionalOutburst             "/>
    <n v="12"/>
    <n v="25"/>
    <s v="USA"/>
    <n v="2017"/>
    <n v="4"/>
    <n v="10"/>
    <n v="14"/>
    <n v="37"/>
    <s v="Normal"/>
    <s v="No"/>
    <s v="Standard"/>
    <s v="Afternoon"/>
    <x v="0"/>
    <n v="2.0833333333333335"/>
  </r>
  <r>
    <x v="180"/>
    <s v="Boredom settles like dust, life feels mundane."/>
    <s v="Boredom"/>
    <d v="2016-11-28T19:00:00"/>
    <x v="1"/>
    <s v=" #Boredom #Monotony                          "/>
    <n v="7"/>
    <n v="15"/>
    <s v="Canada"/>
    <n v="2016"/>
    <n v="11"/>
    <n v="28"/>
    <n v="19"/>
    <n v="22"/>
    <s v="Normal"/>
    <s v="No"/>
    <s v="Standard"/>
    <s v="Evening"/>
    <x v="0"/>
    <n v="2.1428571428571428"/>
  </r>
  <r>
    <x v="181"/>
    <s v="Anxiety grips my chest, a relentless grip on my thoughts."/>
    <s v="Anxiety"/>
    <d v="2018-09-05T09:30:00"/>
    <x v="2"/>
    <s v=" #Anxiety #Restlessness                      "/>
    <n v="10"/>
    <n v="20"/>
    <s v="UK"/>
    <n v="2018"/>
    <n v="9"/>
    <n v="5"/>
    <n v="9"/>
    <n v="30"/>
    <s v="Normal"/>
    <s v="No"/>
    <s v="Standard"/>
    <s v="Morning"/>
    <x v="1"/>
    <n v="2"/>
  </r>
  <r>
    <x v="182"/>
    <s v="Intimidation by the challenges ahead, fear takes hold."/>
    <s v="Intimidation"/>
    <d v="2021-10-22T18:30:00"/>
    <x v="0"/>
    <s v=" #Intimidation #FacingFear                   "/>
    <n v="15"/>
    <n v="30"/>
    <s v="India"/>
    <n v="2021"/>
    <n v="10"/>
    <n v="22"/>
    <n v="18"/>
    <n v="45"/>
    <s v="Normal"/>
    <s v="No"/>
    <s v="Standard"/>
    <s v="Evening"/>
    <x v="3"/>
    <n v="2"/>
  </r>
  <r>
    <x v="183"/>
    <s v="Helplessness engulfs me, drowning in a sea of problems."/>
    <s v="Helplessness"/>
    <d v="2019-05-08T14:20:00"/>
    <x v="1"/>
    <s v=" #Helplessness #Struggling                   "/>
    <n v="8"/>
    <n v="15"/>
    <s v="Australia"/>
    <n v="2019"/>
    <n v="5"/>
    <n v="8"/>
    <n v="14"/>
    <n v="23"/>
    <s v="Normal"/>
    <s v="No"/>
    <s v="Standard"/>
    <s v="Afternoon"/>
    <x v="2"/>
    <n v="1.875"/>
  </r>
  <r>
    <x v="184"/>
    <s v="Envy poisons my thoughts, coveting others' success."/>
    <s v="Envy"/>
    <d v="2017-03-20T11:30:00"/>
    <x v="2"/>
    <s v=" #Envy #Success                              "/>
    <n v="10"/>
    <n v="20"/>
    <s v="Canada"/>
    <n v="2017"/>
    <n v="3"/>
    <n v="20"/>
    <n v="11"/>
    <n v="30"/>
    <s v="Normal"/>
    <s v="No"/>
    <s v="Standard"/>
    <s v="Morning"/>
    <x v="0"/>
    <n v="2"/>
  </r>
  <r>
    <x v="185"/>
    <s v="Regret for decisions that led to a painful present."/>
    <s v="Regret"/>
    <d v="2018-12-15T16:00:00"/>
    <x v="0"/>
    <s v=" #Regret #PastChoices                        "/>
    <n v="12"/>
    <n v="25"/>
    <s v="USA"/>
    <n v="2018"/>
    <n v="12"/>
    <n v="15"/>
    <n v="16"/>
    <n v="37"/>
    <s v="Normal"/>
    <s v="No"/>
    <s v="Standard"/>
    <s v="Afternoon"/>
    <x v="0"/>
    <n v="2.0833333333333335"/>
  </r>
  <r>
    <x v="186"/>
    <s v="Disgust at the corruption that stains society."/>
    <s v="Disgust"/>
    <d v="2016-07-01T09:45:00"/>
    <x v="1"/>
    <s v=" #Disgust #Corruption                        "/>
    <n v="7"/>
    <n v="15"/>
    <s v="UK"/>
    <n v="2016"/>
    <n v="7"/>
    <n v="1"/>
    <n v="9"/>
    <n v="22"/>
    <s v="Normal"/>
    <s v="No"/>
    <s v="Standard"/>
    <s v="Morning"/>
    <x v="1"/>
    <n v="2.1428571428571428"/>
  </r>
  <r>
    <x v="187"/>
    <s v="Sinking in despair, each day darker than the last."/>
    <s v="Despair"/>
    <d v="2020-08-20T20:20:00"/>
    <x v="2"/>
    <s v=" #Despair #DarkDays                          "/>
    <n v="10"/>
    <n v="20"/>
    <s v="India"/>
    <n v="2020"/>
    <n v="8"/>
    <n v="20"/>
    <n v="20"/>
    <n v="30"/>
    <s v="Normal"/>
    <s v="No"/>
    <s v="Standard"/>
    <s v="Evening"/>
    <x v="3"/>
    <n v="2"/>
  </r>
  <r>
    <x v="188"/>
    <s v="Grief overwhelms, a storm of emotions within."/>
    <s v="Grief"/>
    <d v="2021-02-25T15:30:00"/>
    <x v="0"/>
    <s v=" #Grief #EmotionalStorm                      "/>
    <n v="12"/>
    <n v="25"/>
    <s v="Canada"/>
    <n v="2021"/>
    <n v="2"/>
    <n v="25"/>
    <n v="15"/>
    <n v="37"/>
    <s v="Normal"/>
    <s v="No"/>
    <s v="Standard"/>
    <s v="Afternoon"/>
    <x v="0"/>
    <n v="2.0833333333333335"/>
  </r>
  <r>
    <x v="189"/>
    <s v="Loneliness echoes in empty spaces, yearning for connection."/>
    <s v="Loneliness"/>
    <d v="2019-09-12T18:10:00"/>
    <x v="1"/>
    <s v=" #Loneliness #YearningForConnection         "/>
    <n v="15"/>
    <n v="30"/>
    <s v="Australia"/>
    <n v="2019"/>
    <n v="9"/>
    <n v="12"/>
    <n v="18"/>
    <n v="45"/>
    <s v="Normal"/>
    <s v="No"/>
    <s v="Standard"/>
    <s v="Evening"/>
    <x v="2"/>
    <n v="2"/>
  </r>
  <r>
    <x v="190"/>
    <s v="Jealousy poisons my thoughts, resentment brewing within."/>
    <s v="Jealousy"/>
    <d v="2018-08-05T16:30:00"/>
    <x v="2"/>
    <s v=" #Jealousy #Resentment                       "/>
    <n v="8"/>
    <n v="15"/>
    <s v="USA"/>
    <n v="2018"/>
    <n v="8"/>
    <n v="5"/>
    <n v="16"/>
    <n v="23"/>
    <s v="Normal"/>
    <s v="No"/>
    <s v="Standard"/>
    <s v="Afternoon"/>
    <x v="0"/>
    <n v="1.875"/>
  </r>
  <r>
    <x v="191"/>
    <s v="Resentment festers, a wound that refuses to heal."/>
    <s v="Resentment"/>
    <d v="2017-01-12T12:00:00"/>
    <x v="0"/>
    <s v=" #Resentment #Unforgiving                    "/>
    <n v="10"/>
    <n v="20"/>
    <s v="India"/>
    <n v="2017"/>
    <n v="1"/>
    <n v="12"/>
    <n v="12"/>
    <n v="30"/>
    <s v="Normal"/>
    <s v="No"/>
    <s v="Standard"/>
    <s v="Afternoon"/>
    <x v="3"/>
    <n v="2"/>
  </r>
  <r>
    <x v="192"/>
    <s v="Frustration escalates, a thunderstorm of emotions."/>
    <s v="Frustration"/>
    <d v="2022-04-05T14:45:00"/>
    <x v="1"/>
    <s v=" #Frustration #EmotionalOutburst            "/>
    <n v="12"/>
    <n v="25"/>
    <s v="UK"/>
    <n v="2022"/>
    <n v="4"/>
    <n v="5"/>
    <n v="14"/>
    <n v="37"/>
    <s v="Normal"/>
    <s v="No"/>
    <s v="Standard"/>
    <s v="Afternoon"/>
    <x v="1"/>
    <n v="2.0833333333333335"/>
  </r>
  <r>
    <x v="193"/>
    <s v="Boredom lingers, a stagnant pool of indifference."/>
    <s v="Boredom"/>
    <d v="2021-10-02T19:00:00"/>
    <x v="2"/>
    <s v=" #Boredom #Stagnation                        "/>
    <n v="7"/>
    <n v="15"/>
    <s v="Canada"/>
    <n v="2021"/>
    <n v="10"/>
    <n v="2"/>
    <n v="19"/>
    <n v="22"/>
    <s v="Normal"/>
    <s v="No"/>
    <s v="Standard"/>
    <s v="Evening"/>
    <x v="0"/>
    <n v="2.1428571428571428"/>
  </r>
  <r>
    <x v="194"/>
    <s v="Embarking on a journey of discovery, fueled by curiosity and a thirst for knowledge."/>
    <s v="Curiosity"/>
    <d v="2023-04-15T10:15:00"/>
    <x v="0"/>
    <s v=" #Curiosity #Learning                        "/>
    <n v="15"/>
    <n v="30"/>
    <s v="USA"/>
    <n v="2023"/>
    <n v="4"/>
    <n v="15"/>
    <n v="10"/>
    <n v="45"/>
    <s v="Normal"/>
    <s v="No"/>
    <s v="Standard"/>
    <s v="Morning"/>
    <x v="0"/>
    <n v="2"/>
  </r>
  <r>
    <x v="195"/>
    <s v="Lost in the vast sea of information, an indifferent wave in the digital ocean."/>
    <s v="Indifference"/>
    <d v="2022-11-28T17:30:00"/>
    <x v="1"/>
    <s v=" #Indifference #DigitalOverload              "/>
    <n v="7"/>
    <n v="15"/>
    <s v="Canada"/>
    <n v="2022"/>
    <n v="11"/>
    <n v="28"/>
    <n v="17"/>
    <n v="22"/>
    <s v="Normal"/>
    <s v="No"/>
    <s v="Standard"/>
    <s v="Afternoon"/>
    <x v="0"/>
    <n v="2.1428571428571428"/>
  </r>
  <r>
    <x v="196"/>
    <s v="The complex puzzle of life leaves me in a state of perpetual confusion, seeking answers in the chaos."/>
    <s v="Confusion"/>
    <d v="2020-04-02T09:45:00"/>
    <x v="2"/>
    <s v=" #Confusion #LifePuzzle                     "/>
    <n v="10"/>
    <n v="20"/>
    <s v="UK"/>
    <n v="2020"/>
    <n v="4"/>
    <n v="2"/>
    <n v="9"/>
    <n v="30"/>
    <s v="Normal"/>
    <s v="No"/>
    <s v="Standard"/>
    <s v="Morning"/>
    <x v="1"/>
    <n v="2"/>
  </r>
  <r>
    <x v="197"/>
    <s v="A numbness settles over me, a shield against the overwhelming emotions life throws my way."/>
    <s v="Numbness"/>
    <d v="2021-08-10T14:00:00"/>
    <x v="0"/>
    <s v=" #Numbness #EmotionalShield                 "/>
    <n v="8"/>
    <n v="15"/>
    <s v="India"/>
    <n v="2021"/>
    <n v="8"/>
    <n v="10"/>
    <n v="14"/>
    <n v="23"/>
    <s v="Normal"/>
    <s v="No"/>
    <s v="Standard"/>
    <s v="Afternoon"/>
    <x v="3"/>
    <n v="1.875"/>
  </r>
  <r>
    <x v="198"/>
    <s v="Gazing at the sunset, a melancholic longing for moments that slip through the fingers of time."/>
    <s v="Melancholy"/>
    <d v="2019-06-18T20:45:00"/>
    <x v="1"/>
    <s v=" #Melancholy #SunsetMoments                 "/>
    <n v="12"/>
    <n v="25"/>
    <s v="Australia"/>
    <n v="2019"/>
    <n v="6"/>
    <n v="18"/>
    <n v="20"/>
    <n v="37"/>
    <s v="Normal"/>
    <s v="No"/>
    <s v="Standard"/>
    <s v="Evening"/>
    <x v="2"/>
    <n v="2.0833333333333335"/>
  </r>
  <r>
    <x v="199"/>
    <s v="Revisiting old photographs, caught in the embrace of nostalgia's bittersweet symphony."/>
    <s v="Nostalgia"/>
    <d v="2018-02-05T15:15:00"/>
    <x v="2"/>
    <s v=" #Nostalgia #MemoryLane                     "/>
    <n v="10"/>
    <n v="20"/>
    <s v="USA"/>
    <n v="2018"/>
    <n v="2"/>
    <n v="5"/>
    <n v="15"/>
    <n v="30"/>
    <s v="Normal"/>
    <s v="No"/>
    <s v="Standard"/>
    <s v="Afternoon"/>
    <x v="0"/>
    <n v="2"/>
  </r>
  <r>
    <x v="200"/>
    <s v="Torn between conflicting emotions, an ambivalence that paints my decisions in shades of uncertainty."/>
    <s v="Ambivalence"/>
    <d v="2022-05-30T11:30:00"/>
    <x v="0"/>
    <s v=" #Ambivalence #UncertainChoices             "/>
    <n v="12"/>
    <n v="25"/>
    <s v="Canada"/>
    <n v="2022"/>
    <n v="5"/>
    <n v="30"/>
    <n v="11"/>
    <n v="37"/>
    <s v="Normal"/>
    <s v="No"/>
    <s v="Standard"/>
    <s v="Morning"/>
    <x v="0"/>
    <n v="2.0833333333333335"/>
  </r>
  <r>
    <x v="201"/>
    <s v="Embracing the ebb and flow of life, finding acceptance in the dance of existence."/>
    <s v="Acceptance"/>
    <d v="2023-01-10T16:20:00"/>
    <x v="1"/>
    <s v=" #Acceptance #LifeJourney                   "/>
    <n v="15"/>
    <n v="30"/>
    <s v="UK"/>
    <n v="2023"/>
    <n v="1"/>
    <n v="10"/>
    <n v="16"/>
    <n v="45"/>
    <s v="Normal"/>
    <s v="No"/>
    <s v="Standard"/>
    <s v="Afternoon"/>
    <x v="1"/>
    <n v="2"/>
  </r>
  <r>
    <x v="202"/>
    <s v="Facing challenges head-on, a determination that fuels the fire within to achieve the impossible."/>
    <s v="Determination"/>
    <d v="2020-09-18T13:45:00"/>
    <x v="2"/>
    <s v=" #Determination #AchieveTheImpossible       "/>
    <n v="10"/>
    <n v="20"/>
    <s v="India"/>
    <n v="2020"/>
    <n v="9"/>
    <n v="18"/>
    <n v="13"/>
    <n v="30"/>
    <s v="Normal"/>
    <s v="No"/>
    <s v="Standard"/>
    <s v="Afternoon"/>
    <x v="3"/>
    <n v="2"/>
  </r>
  <r>
    <x v="203"/>
    <s v="Serenity found in the stillness of nature, a tranquil retreat from the chaos of the modern world."/>
    <s v="Serenity"/>
    <d v="2021-07-03T19:00:00"/>
    <x v="0"/>
    <s v=" #Serenity #NatureRetreat                   "/>
    <n v="12"/>
    <n v="25"/>
    <s v="Australia"/>
    <n v="2021"/>
    <n v="7"/>
    <n v="3"/>
    <n v="19"/>
    <n v="37"/>
    <s v="Normal"/>
    <s v="No"/>
    <s v="Standard"/>
    <s v="Evening"/>
    <x v="2"/>
    <n v="2.0833333333333335"/>
  </r>
  <r>
    <x v="204"/>
    <s v="Curiosity leading me down the rabbit hole of knowledge, a perpetual student in life's classroom."/>
    <s v="Curiosity"/>
    <d v="2022-10-08T08:15:00"/>
    <x v="1"/>
    <s v=" #Curiosity #KnowledgeQuest                "/>
    <n v="20"/>
    <n v="40"/>
    <s v="USA"/>
    <n v="2022"/>
    <n v="10"/>
    <n v="8"/>
    <n v="8"/>
    <n v="60"/>
    <s v="Normal"/>
    <s v="No"/>
    <s v="Standard"/>
    <s v="Morning"/>
    <x v="0"/>
    <n v="2"/>
  </r>
  <r>
    <x v="205"/>
    <s v="Floating through the day with an air of indifference, detached from the mundane happenings around."/>
    <s v="Indifference"/>
    <d v="2023-03-22T16:30:00"/>
    <x v="2"/>
    <s v=" #Indifference #FloatingThroughLife        "/>
    <n v="10"/>
    <n v="20"/>
    <s v="Canada"/>
    <n v="2023"/>
    <n v="3"/>
    <n v="22"/>
    <n v="16"/>
    <n v="30"/>
    <s v="Normal"/>
    <s v="No"/>
    <s v="Standard"/>
    <s v="Afternoon"/>
    <x v="0"/>
    <n v="2"/>
  </r>
  <r>
    <x v="206"/>
    <s v="Entangled in the web of thoughts, confusion reigning as I navigate the labyrinth of ideas."/>
    <s v="Confusion"/>
    <d v="2021-05-15T11:45:00"/>
    <x v="0"/>
    <s v=" #Confusion #ThoughtLabyrinth              "/>
    <n v="15"/>
    <n v="30"/>
    <s v="UK"/>
    <n v="2021"/>
    <n v="5"/>
    <n v="15"/>
    <n v="11"/>
    <n v="45"/>
    <s v="Normal"/>
    <s v="No"/>
    <s v="Standard"/>
    <s v="Morning"/>
    <x v="1"/>
    <n v="2"/>
  </r>
  <r>
    <x v="207"/>
    <s v="Numb to the chaos, emotions locked away, a stoic facade concealing the inner turmoil."/>
    <s v="Numbness"/>
    <d v="2019-12-28T14:30:00"/>
    <x v="1"/>
    <s v=" #Numbness #StoicFacade                    "/>
    <n v="8"/>
    <n v="15"/>
    <s v="Australia"/>
    <n v="2019"/>
    <n v="12"/>
    <n v="28"/>
    <n v="14"/>
    <n v="23"/>
    <s v="Normal"/>
    <s v="No"/>
    <s v="Standard"/>
    <s v="Afternoon"/>
    <x v="2"/>
    <n v="1.875"/>
  </r>
  <r>
    <x v="208"/>
    <s v="Melancholy whispers in the breeze, a silent conversation with the echoes of forgotten dreams."/>
    <s v="Melancholy"/>
    <d v="2020-03-01T19:00:00"/>
    <x v="2"/>
    <s v=" #Melancholy #WhispersInTheBreeze         "/>
    <n v="12"/>
    <n v="25"/>
    <s v="India"/>
    <n v="2020"/>
    <n v="3"/>
    <n v="1"/>
    <n v="19"/>
    <n v="37"/>
    <s v="Normal"/>
    <s v="No"/>
    <s v="Standard"/>
    <s v="Evening"/>
    <x v="3"/>
    <n v="2.0833333333333335"/>
  </r>
  <r>
    <x v="209"/>
    <s v="Stumbling upon an old journal, nostalgia flooding in waves, carrying me to moments long gone."/>
    <s v="Nostalgia"/>
    <d v="2018-07-10T15:45:00"/>
    <x v="0"/>
    <s v=" #Nostalgia #JournalMoments               "/>
    <n v="10"/>
    <n v="20"/>
    <s v="Canada"/>
    <n v="2018"/>
    <n v="7"/>
    <n v="10"/>
    <n v="15"/>
    <n v="30"/>
    <s v="Normal"/>
    <s v="No"/>
    <s v="Standard"/>
    <s v="Afternoon"/>
    <x v="0"/>
    <n v="2"/>
  </r>
  <r>
    <x v="210"/>
    <s v="A tapestry of conflicting feelings, weaving through uncertainty, caught in the threads of ambivalence."/>
    <s v="Ambivalence"/>
    <d v="2022-01-05T10:30:00"/>
    <x v="1"/>
    <s v=" #Ambivalence #ConflictingFeelings        "/>
    <n v="12"/>
    <n v="25"/>
    <s v="UK"/>
    <n v="2022"/>
    <n v="1"/>
    <n v="5"/>
    <n v="10"/>
    <n v="37"/>
    <s v="Normal"/>
    <s v="No"/>
    <s v="Standard"/>
    <s v="Morning"/>
    <x v="1"/>
    <n v="2.0833333333333335"/>
  </r>
  <r>
    <x v="211"/>
    <s v="Embracing the flaws, finding acceptance in imperfection, a journey towards self-love."/>
    <s v="Acceptance"/>
    <d v="2021-08-20T16:20:00"/>
    <x v="2"/>
    <s v=" #Acceptance #SelfLoveJourney              "/>
    <n v="15"/>
    <n v="30"/>
    <s v="Australia"/>
    <n v="2021"/>
    <n v="8"/>
    <n v="20"/>
    <n v="16"/>
    <n v="45"/>
    <s v="Normal"/>
    <s v="No"/>
    <s v="Standard"/>
    <s v="Afternoon"/>
    <x v="2"/>
    <n v="2"/>
  </r>
  <r>
    <x v="212"/>
    <s v="Determination burning like a wildfire, overcoming obstacles, turning dreams into reality."/>
    <s v="Determination"/>
    <d v="2019-11-03T13:45:00"/>
    <x v="0"/>
    <s v=" #Determination #DreamsIntoReality        "/>
    <n v="18"/>
    <n v="35"/>
    <s v="USA"/>
    <n v="2019"/>
    <n v="11"/>
    <n v="3"/>
    <n v="13"/>
    <n v="53"/>
    <s v="Normal"/>
    <s v="No"/>
    <s v="Standard"/>
    <s v="Afternoon"/>
    <x v="0"/>
    <n v="1.9444444444444444"/>
  </r>
  <r>
    <x v="213"/>
    <s v="Tranquil moments by the ocean, serenity washing over, a peaceful retreat within the waves' embrace."/>
    <s v="Serenity"/>
    <d v="2020-04-12T19:30:00"/>
    <x v="1"/>
    <s v=" #Serenity #OceanRetreat                   "/>
    <n v="25"/>
    <n v="50"/>
    <s v="Canada"/>
    <n v="2020"/>
    <n v="4"/>
    <n v="12"/>
    <n v="19"/>
    <n v="75"/>
    <s v="Popular"/>
    <s v="No"/>
    <s v="Wide Reach"/>
    <s v="Evening"/>
    <x v="0"/>
    <n v="2"/>
  </r>
  <r>
    <x v="214"/>
    <s v="Exploring new horizons with the spark of curiosity, an adventurer in the vast landscape of knowledge."/>
    <s v="Curiosity"/>
    <d v="2022-04-15T08:45:00"/>
    <x v="2"/>
    <s v=" #Curiosity #NewHorizons                  "/>
    <n v="22"/>
    <n v="45"/>
    <s v="India"/>
    <n v="2022"/>
    <n v="4"/>
    <n v="15"/>
    <n v="8"/>
    <n v="67"/>
    <s v="Popular"/>
    <s v="No"/>
    <s v="Wide Reach"/>
    <s v="Morning"/>
    <x v="3"/>
    <n v="2.0454545454545454"/>
  </r>
  <r>
    <x v="215"/>
    <s v="Drifting through the day with a nonchalant demeanor, embracing the art of indifference."/>
    <s v="Indifference"/>
    <d v="2023-02-10T17:00:00"/>
    <x v="0"/>
    <s v=" #Indifference #DriftingThroughLife       "/>
    <n v="9"/>
    <n v="18"/>
    <s v="UK"/>
    <n v="2023"/>
    <n v="2"/>
    <n v="10"/>
    <n v="17"/>
    <n v="27"/>
    <s v="Normal"/>
    <s v="No"/>
    <s v="Standard"/>
    <s v="Afternoon"/>
    <x v="1"/>
    <n v="2"/>
  </r>
  <r>
    <x v="216"/>
    <s v="Wrestling with thoughts, a perplexed mind lost in the labyrinth of life's complexities."/>
    <s v="Confusion"/>
    <d v="2020-08-05T12:15:00"/>
    <x v="1"/>
    <s v=" #Confusion #PerplexedMind                "/>
    <n v="14"/>
    <n v="28"/>
    <s v="Australia"/>
    <n v="2020"/>
    <n v="8"/>
    <n v="5"/>
    <n v="12"/>
    <n v="42"/>
    <s v="Normal"/>
    <s v="No"/>
    <s v="Standard"/>
    <s v="Afternoon"/>
    <x v="2"/>
    <n v="2"/>
  </r>
  <r>
    <x v="217"/>
    <s v="Immersed in a state of emotional numbness, a shield against the storm of daily struggles."/>
    <s v="Numbness"/>
    <d v="2021-12-01T15:30:00"/>
    <x v="2"/>
    <s v=" #Numbness #EmotionalShield               "/>
    <n v="10"/>
    <n v="20"/>
    <s v="USA"/>
    <n v="2021"/>
    <n v="12"/>
    <n v="1"/>
    <n v="15"/>
    <n v="30"/>
    <s v="Normal"/>
    <s v="No"/>
    <s v="Standard"/>
    <s v="Afternoon"/>
    <x v="0"/>
    <n v="2"/>
  </r>
  <r>
    <x v="218"/>
    <s v="A melancholic symphony playing in the background, the soundtrack of a wistful heart."/>
    <s v="Melancholy"/>
    <d v="2019-03-25T21:00:00"/>
    <x v="0"/>
    <s v=" #Melancholy #WistfulHeart                "/>
    <n v="13"/>
    <n v="26"/>
    <s v="Canada"/>
    <n v="2019"/>
    <n v="3"/>
    <n v="25"/>
    <n v="21"/>
    <n v="39"/>
    <s v="Normal"/>
    <s v="No"/>
    <s v="Standard"/>
    <s v="Evening"/>
    <x v="0"/>
    <n v="2"/>
  </r>
  <r>
    <x v="219"/>
    <s v="Flipping through the pages of an old yearbook, nostalgia painting smiles and tears on my face."/>
    <s v="Nostalgia"/>
    <d v="2017-06-18T14:45:00"/>
    <x v="1"/>
    <s v=" #Nostalgia #YearbookMemories            "/>
    <n v="12"/>
    <n v="25"/>
    <s v="India"/>
    <n v="2017"/>
    <n v="6"/>
    <n v="18"/>
    <n v="14"/>
    <n v="37"/>
    <s v="Normal"/>
    <s v="No"/>
    <s v="Standard"/>
    <s v="Afternoon"/>
    <x v="3"/>
    <n v="2.0833333333333335"/>
  </r>
  <r>
    <x v="220"/>
    <s v="Torn between opposing emotions, an ambivalence that colors my decisions with shades of uncertainty."/>
    <s v="Ambivalence"/>
    <d v="2022-07-08T11:30:00"/>
    <x v="2"/>
    <s v=" #Ambivalence #ShadesOfUncertainty       "/>
    <n v="15"/>
    <n v="30"/>
    <s v="Australia"/>
    <n v="2022"/>
    <n v="7"/>
    <n v="8"/>
    <n v="11"/>
    <n v="45"/>
    <s v="Normal"/>
    <s v="No"/>
    <s v="Standard"/>
    <s v="Morning"/>
    <x v="2"/>
    <n v="2"/>
  </r>
  <r>
    <x v="221"/>
    <s v="Embracing life's imperfections, finding acceptance in the journey, scars and all."/>
    <s v="Acceptance"/>
    <d v="2023-05-15T16:20:00"/>
    <x v="0"/>
    <s v=" #Acceptance #ImperfectJourney            "/>
    <n v="18"/>
    <n v="36"/>
    <s v="Canada"/>
    <n v="2023"/>
    <n v="5"/>
    <n v="15"/>
    <n v="16"/>
    <n v="54"/>
    <s v="Normal"/>
    <s v="No"/>
    <s v="Standard"/>
    <s v="Afternoon"/>
    <x v="0"/>
    <n v="2"/>
  </r>
  <r>
    <x v="222"/>
    <s v="A fiery determination burning within, fueled by the vision of reaching unparalleled heights."/>
    <s v="Determination"/>
    <d v="2021-09-10T14:45:00"/>
    <x v="1"/>
    <s v=" #Determination #UnparalleledHeights      "/>
    <n v="20"/>
    <n v="40"/>
    <s v="UK"/>
    <n v="2021"/>
    <n v="9"/>
    <n v="10"/>
    <n v="14"/>
    <n v="60"/>
    <s v="Normal"/>
    <s v="No"/>
    <s v="Standard"/>
    <s v="Afternoon"/>
    <x v="1"/>
    <n v="2"/>
  </r>
  <r>
    <x v="223"/>
    <s v="Basking in the serenity of a quiet forest, where the whispers of nature bring peace to the soul."/>
    <s v="Serenity"/>
    <d v="2020-02-28T18:30:00"/>
    <x v="2"/>
    <s v=" #Serenity #NatureWhispers                "/>
    <n v="25"/>
    <n v="50"/>
    <s v="USA"/>
    <n v="2020"/>
    <n v="2"/>
    <n v="28"/>
    <n v="18"/>
    <n v="75"/>
    <s v="Popular"/>
    <s v="No"/>
    <s v="Wide Reach"/>
    <s v="Evening"/>
    <x v="0"/>
    <n v="2"/>
  </r>
  <r>
    <x v="224"/>
    <s v="Indifferent to the noise of the world, a silent observer in the midst of life's cacophony."/>
    <s v="Indifference"/>
    <d v="2023-03-10T16:30:00"/>
    <x v="1"/>
    <s v=" #Indifference #SilentObserver            "/>
    <n v="9"/>
    <n v="18"/>
    <s v="India"/>
    <n v="2023"/>
    <n v="3"/>
    <n v="10"/>
    <n v="16"/>
    <n v="27"/>
    <s v="Normal"/>
    <s v="No"/>
    <s v="Standard"/>
    <s v="Afternoon"/>
    <x v="3"/>
    <n v="2"/>
  </r>
  <r>
    <x v="225"/>
    <s v="Navigating through the labyrinth of thoughts, confusion a constant companion in the maze of ideas."/>
    <s v="Confusion"/>
    <d v="2021-05-02T11:45:00"/>
    <x v="2"/>
    <s v=" #Confusion #ThoughtLabyrinth              "/>
    <n v="14"/>
    <n v="28"/>
    <s v="Australia"/>
    <n v="2021"/>
    <n v="5"/>
    <n v="2"/>
    <n v="11"/>
    <n v="42"/>
    <s v="Normal"/>
    <s v="No"/>
    <s v="Standard"/>
    <s v="Morning"/>
    <x v="2"/>
    <n v="2"/>
  </r>
  <r>
    <x v="226"/>
    <s v="An impenetrable numbness shields me from the emotional storms, a fortress of stoic resilience."/>
    <s v="Numbness"/>
    <d v="2019-10-18T14:30:00"/>
    <x v="0"/>
    <s v=" #Numbness #StoicResilience               "/>
    <n v="11"/>
    <n v="22"/>
    <s v="UK"/>
    <n v="2019"/>
    <n v="10"/>
    <n v="18"/>
    <n v="14"/>
    <n v="33"/>
    <s v="Normal"/>
    <s v="No"/>
    <s v="Standard"/>
    <s v="Afternoon"/>
    <x v="1"/>
    <n v="2"/>
  </r>
  <r>
    <x v="227"/>
    <s v="Melancholy painting the world in hues of nostalgia, a canvas of bittersweet memories."/>
    <s v="Melancholy"/>
    <d v="2020-01-05T20:00:00"/>
    <x v="1"/>
    <s v=" #Melancholy #BittersweetMemories         "/>
    <n v="13"/>
    <n v="26"/>
    <s v="USA"/>
    <n v="2020"/>
    <n v="1"/>
    <n v="5"/>
    <n v="20"/>
    <n v="39"/>
    <s v="Normal"/>
    <s v="No"/>
    <s v="Standard"/>
    <s v="Evening"/>
    <x v="0"/>
    <n v="2"/>
  </r>
  <r>
    <x v="228"/>
    <s v="A journey into the past, flipping through the pages of an old diary, nostalgia taking the lead."/>
    <s v="Nostalgia"/>
    <d v="2018-08-10T15:45:00"/>
    <x v="2"/>
    <s v=" #Nostalgia #DiaryJourney                 "/>
    <n v="12"/>
    <n v="25"/>
    <s v="Canada"/>
    <n v="2018"/>
    <n v="8"/>
    <n v="10"/>
    <n v="15"/>
    <n v="37"/>
    <s v="Normal"/>
    <s v="No"/>
    <s v="Standard"/>
    <s v="Afternoon"/>
    <x v="0"/>
    <n v="2.0833333333333335"/>
  </r>
  <r>
    <x v="229"/>
    <s v="Ambivalence clouding decisions, caught in the crossroads of conflicting emotions."/>
    <s v="Ambivalence"/>
    <d v="2022-01-15T10:30:00"/>
    <x v="0"/>
    <s v=" #Ambivalence #ConflictingEmotions        "/>
    <n v="15"/>
    <n v="30"/>
    <s v="India"/>
    <n v="2022"/>
    <n v="1"/>
    <n v="15"/>
    <n v="10"/>
    <n v="45"/>
    <s v="Normal"/>
    <s v="No"/>
    <s v="Standard"/>
    <s v="Morning"/>
    <x v="3"/>
    <n v="2"/>
  </r>
  <r>
    <x v="230"/>
    <s v="Embracing imperfections, finding acceptance in the mosaic of life's beautiful chaos."/>
    <s v="Acceptance"/>
    <d v="2021-07-20T16:20:00"/>
    <x v="1"/>
    <s v=" #Acceptance #BeautifulChaos              "/>
    <n v="18"/>
    <n v="36"/>
    <s v="Australia"/>
    <n v="2021"/>
    <n v="7"/>
    <n v="20"/>
    <n v="16"/>
    <n v="54"/>
    <s v="Normal"/>
    <s v="No"/>
    <s v="Standard"/>
    <s v="Afternoon"/>
    <x v="2"/>
    <n v="2"/>
  </r>
  <r>
    <x v="231"/>
    <s v="Determination as the driving force, propelling me forward on the path to extraordinary achievements."/>
    <s v="Determination"/>
    <d v="2019-12-03T13:45:00"/>
    <x v="2"/>
    <s v=" #Determination #ExtraordinaryPath        "/>
    <n v="20"/>
    <n v="40"/>
    <s v="USA"/>
    <n v="2019"/>
    <n v="12"/>
    <n v="3"/>
    <n v="13"/>
    <n v="60"/>
    <s v="Normal"/>
    <s v="No"/>
    <s v="Standard"/>
    <s v="Afternoon"/>
    <x v="0"/>
    <n v="2"/>
  </r>
  <r>
    <x v="232"/>
    <s v="Seeking serenity in the melody of raindrops, a tranquil escape from the noise of everyday life."/>
    <s v="Serenity"/>
    <d v="2020-04-12T19:30:00"/>
    <x v="0"/>
    <s v=" #Serenity #RaindropMelody                "/>
    <n v="25"/>
    <n v="50"/>
    <s v="Canada"/>
    <n v="2020"/>
    <n v="4"/>
    <n v="12"/>
    <n v="19"/>
    <n v="75"/>
    <s v="Popular"/>
    <s v="No"/>
    <s v="Wide Reach"/>
    <s v="Evening"/>
    <x v="0"/>
    <n v="2"/>
  </r>
  <r>
    <x v="233"/>
    <s v="Curiosity driving the exploration of the unknown, a seeker of knowledge in uncharted territories."/>
    <s v="Curiosity"/>
    <d v="2022-05-08T08:45:00"/>
    <x v="1"/>
    <s v=" #Curiosity #SeekerOfKnowledge            "/>
    <n v="22"/>
    <n v="45"/>
    <s v="UK"/>
    <n v="2022"/>
    <n v="5"/>
    <n v="8"/>
    <n v="8"/>
    <n v="67"/>
    <s v="Popular"/>
    <s v="No"/>
    <s v="Wide Reach"/>
    <s v="Morning"/>
    <x v="1"/>
    <n v="2.0454545454545454"/>
  </r>
  <r>
    <x v="234"/>
    <s v="Drifting through the day with an air of nonchalance, indifferent to the trivialities of life."/>
    <s v="Indifference"/>
    <d v="2023-02-22T17:00:00"/>
    <x v="2"/>
    <s v=" #Indifference #DriftingThroughLife       "/>
    <n v="9"/>
    <n v="18"/>
    <s v="India"/>
    <n v="2023"/>
    <n v="2"/>
    <n v="22"/>
    <n v="17"/>
    <n v="27"/>
    <s v="Normal"/>
    <s v="No"/>
    <s v="Standard"/>
    <s v="Afternoon"/>
    <x v="3"/>
    <n v="2"/>
  </r>
  <r>
    <x v="235"/>
    <s v="Lost in the labyrinth of thoughts, confusion casting shadows on the quest for clarity."/>
    <s v="Confusion"/>
    <d v="2020-06-05T12:15:00"/>
    <x v="0"/>
    <s v=" #Confusion #LabyrinthOfThoughts          "/>
    <n v="14"/>
    <n v="28"/>
    <s v="Australia"/>
    <n v="2020"/>
    <n v="6"/>
    <n v="5"/>
    <n v="12"/>
    <n v="42"/>
    <s v="Normal"/>
    <s v="No"/>
    <s v="Standard"/>
    <s v="Afternoon"/>
    <x v="2"/>
    <n v="2"/>
  </r>
  <r>
    <x v="236"/>
    <s v="Wrapped in the cloak of emotional numbness, a shield against the storms of life's turbulence."/>
    <s v="Numbness"/>
    <d v="2021-11-30T15:30:00"/>
    <x v="1"/>
    <s v=" #Numbness #EmotionalStorms               "/>
    <n v="10"/>
    <n v="20"/>
    <s v="Canada"/>
    <n v="2021"/>
    <n v="11"/>
    <n v="30"/>
    <n v="15"/>
    <n v="30"/>
    <s v="Normal"/>
    <s v="No"/>
    <s v="Standard"/>
    <s v="Afternoon"/>
    <x v="0"/>
    <n v="2"/>
  </r>
  <r>
    <x v="237"/>
    <s v="Melancholy as a companion, painting the canvas of life with the brushstrokes of wistful yearning."/>
    <s v="Melancholy"/>
    <d v="2019-02-25T21:00:00"/>
    <x v="2"/>
    <s v=" #Melancholy #WistfulYearning             "/>
    <n v="13"/>
    <n v="26"/>
    <s v="UK"/>
    <n v="2019"/>
    <n v="2"/>
    <n v="25"/>
    <n v="21"/>
    <n v="39"/>
    <s v="Normal"/>
    <s v="No"/>
    <s v="Standard"/>
    <s v="Evening"/>
    <x v="1"/>
    <n v="2"/>
  </r>
  <r>
    <x v="238"/>
    <s v="Leafing through the pages of an old photo album, nostalgia weaving tales of laughter and tears."/>
    <s v="Nostalgia"/>
    <d v="2017-05-18T14:45:00"/>
    <x v="0"/>
    <s v=" #Nostalgia #PhotoAlbumStories            "/>
    <n v="12"/>
    <n v="25"/>
    <s v="USA"/>
    <n v="2017"/>
    <n v="5"/>
    <n v="18"/>
    <n v="14"/>
    <n v="37"/>
    <s v="Normal"/>
    <s v="No"/>
    <s v="Standard"/>
    <s v="Afternoon"/>
    <x v="0"/>
    <n v="2.0833333333333335"/>
  </r>
  <r>
    <x v="239"/>
    <s v="Ambivalence in the air, caught between the crossroads of conflicting emotions and decisions."/>
    <s v="Ambivalence"/>
    <d v="2022-08-05T11:30:00"/>
    <x v="1"/>
    <s v=" #Ambivalence #CrossroadsConfusion        "/>
    <n v="15"/>
    <n v="30"/>
    <s v="Canada"/>
    <n v="2022"/>
    <n v="8"/>
    <n v="5"/>
    <n v="11"/>
    <n v="45"/>
    <s v="Normal"/>
    <s v="No"/>
    <s v="Standard"/>
    <s v="Morning"/>
    <x v="0"/>
    <n v="2"/>
  </r>
  <r>
    <x v="240"/>
    <s v="Embracing the beauty in imperfections, finding acceptance in the mosaic of life's unpredictable art."/>
    <s v="Acceptance"/>
    <d v="2023-06-15T16:20:00"/>
    <x v="2"/>
    <s v=" #Acceptance #UnpredictableArt            "/>
    <n v="18"/>
    <n v="36"/>
    <s v="Australia"/>
    <n v="2023"/>
    <n v="6"/>
    <n v="15"/>
    <n v="16"/>
    <n v="54"/>
    <s v="Normal"/>
    <s v="No"/>
    <s v="Standard"/>
    <s v="Afternoon"/>
    <x v="2"/>
    <n v="2"/>
  </r>
  <r>
    <x v="241"/>
    <s v="Determination ablaze, forging a path through challenges, sculpting dreams into tangible realities."/>
    <s v="Determination"/>
    <d v="2021-10-10T14:45:00"/>
    <x v="0"/>
    <s v=" #Determination #SculptingDreams          "/>
    <n v="20"/>
    <n v="40"/>
    <s v="UK"/>
    <n v="2021"/>
    <n v="10"/>
    <n v="10"/>
    <n v="14"/>
    <n v="60"/>
    <s v="Normal"/>
    <s v="No"/>
    <s v="Standard"/>
    <s v="Afternoon"/>
    <x v="1"/>
    <n v="2"/>
  </r>
  <r>
    <x v="242"/>
    <s v="Immerse in the serenity of a moonlit night, where the quiet whispers of nature bring peace to the soul."/>
    <s v="Serenity"/>
    <d v="2020-05-12T19:30:00"/>
    <x v="1"/>
    <s v=" #Serenity #MoonlitPeace                  "/>
    <n v="25"/>
    <n v="50"/>
    <s v="USA"/>
    <n v="2020"/>
    <n v="5"/>
    <n v="12"/>
    <n v="19"/>
    <n v="75"/>
    <s v="Popular"/>
    <s v="No"/>
    <s v="Wide Reach"/>
    <s v="Evening"/>
    <x v="0"/>
    <n v="2"/>
  </r>
  <r>
    <x v="243"/>
    <s v="Fueled by curiosity, venturing into uncharted realms, a fearless explorer of the mysteries of the world."/>
    <s v="Curiosity"/>
    <d v="2022-12-01T09:15:00"/>
    <x v="2"/>
    <s v=" #Curiosity #FearlessExplorer              "/>
    <n v="22"/>
    <n v="44"/>
    <s v="India"/>
    <n v="2022"/>
    <n v="12"/>
    <n v="1"/>
    <n v="9"/>
    <n v="66"/>
    <s v="Popular"/>
    <s v="No"/>
    <s v="Wide Reach"/>
    <s v="Morning"/>
    <x v="3"/>
    <n v="2"/>
  </r>
  <r>
    <x v="236"/>
    <s v="Wrapped in the cloak of emotional numbness, a shield against the storms of life's turbulence."/>
    <s v="Numbness"/>
    <d v="2021-11-30T15:30:00"/>
    <x v="1"/>
    <s v=" #Numbness #EmotionalStorms "/>
    <n v="10"/>
    <n v="20"/>
    <s v="Canada"/>
    <n v="2021"/>
    <n v="11"/>
    <n v="30"/>
    <n v="15"/>
    <n v="30"/>
    <s v="Normal"/>
    <s v="No"/>
    <s v="Standard"/>
    <s v="Afternoon"/>
    <x v="0"/>
    <n v="2"/>
  </r>
  <r>
    <x v="244"/>
    <s v="Dancing through life with the exuberance of a carefree spirit, embracing joy and zest at every turn."/>
    <s v="Zest"/>
    <d v="2018-07-12T17:45:00"/>
    <x v="0"/>
    <s v=" #Zest #CarefreeSpirit "/>
    <n v="15"/>
    <n v="30"/>
    <s v="USA"/>
    <n v="2018"/>
    <n v="7"/>
    <n v="12"/>
    <n v="17"/>
    <n v="45"/>
    <s v="Normal"/>
    <s v="No"/>
    <s v="Standard"/>
    <s v="Afternoon"/>
    <x v="0"/>
    <n v="2"/>
  </r>
  <r>
    <x v="245"/>
    <s v="Basking in the golden glow of contentment, a serene river flowing through the landscape of the heart."/>
    <s v="Contentment"/>
    <d v="2020-09-05T20:10:00"/>
    <x v="2"/>
    <s v=" #Contentment #GoldenGlow "/>
    <n v="18"/>
    <n v="36"/>
    <s v="Australia"/>
    <n v="2020"/>
    <n v="9"/>
    <n v="5"/>
    <n v="20"/>
    <n v="54"/>
    <s v="Normal"/>
    <s v="No"/>
    <s v="Standard"/>
    <s v="Evening"/>
    <x v="2"/>
    <n v="2"/>
  </r>
  <r>
    <x v="246"/>
    <s v="Gazing towards the horizon with hopeful eyes, painting a canvas of dreams illuminated by the sun of optimism."/>
    <s v="Hopeful"/>
    <d v="2022-04-18T08:00:00"/>
    <x v="1"/>
    <s v=" #Hopeful #CanvasOfDreams "/>
    <n v="12"/>
    <n v="24"/>
    <s v="India"/>
    <n v="2022"/>
    <n v="4"/>
    <n v="18"/>
    <n v="8"/>
    <n v="36"/>
    <s v="Normal"/>
    <s v="No"/>
    <s v="Standard"/>
    <s v="Morning"/>
    <x v="3"/>
    <n v="2"/>
  </r>
  <r>
    <x v="247"/>
    <s v="Standing tall, proud as an oak, the branches of achievement reaching towards the sky of accomplishment."/>
    <s v="Proud"/>
    <d v="2019-12-10T12:20:00"/>
    <x v="0"/>
    <s v=" #Proud #BranchesOfAchievement "/>
    <n v="25"/>
    <n v="50"/>
    <s v="Canada"/>
    <n v="2019"/>
    <n v="12"/>
    <n v="10"/>
    <n v="12"/>
    <n v="75"/>
    <s v="Popular"/>
    <s v="No"/>
    <s v="Wide Reach"/>
    <s v="Afternoon"/>
    <x v="0"/>
    <n v="2"/>
  </r>
  <r>
    <x v="248"/>
    <s v="A heart overflowing with gratitude, a garden where appreciation blooms in the soil of kindness and connection."/>
    <s v="Grateful"/>
    <d v="2023-02-28T09:45:00"/>
    <x v="2"/>
    <s v=" #Grateful #BlossomingConnection "/>
    <n v="20"/>
    <n v="40"/>
    <s v="USA"/>
    <n v="2023"/>
    <n v="2"/>
    <n v="28"/>
    <n v="9"/>
    <n v="60"/>
    <s v="Normal"/>
    <s v="No"/>
    <s v="Standard"/>
    <s v="Morning"/>
    <x v="0"/>
    <n v="2"/>
  </r>
  <r>
    <x v="210"/>
    <s v="Extending a hand, empathetic threads weaving a tapestry of understanding, embracing the joys and sorrows of others."/>
    <s v="Empathetic"/>
    <d v="2018-04-03T14:15:00"/>
    <x v="1"/>
    <s v=" #Empathetic #TapestryOfUnderstanding "/>
    <n v="15"/>
    <n v="30"/>
    <s v="UK"/>
    <n v="2018"/>
    <n v="4"/>
    <n v="3"/>
    <n v="14"/>
    <n v="45"/>
    <s v="Normal"/>
    <s v="No"/>
    <s v="Standard"/>
    <s v="Afternoon"/>
    <x v="1"/>
    <n v="2"/>
  </r>
  <r>
    <x v="249"/>
    <s v="Compassionate clouds, heavy with care, showering empathy on the parched grounds of human suffering."/>
    <s v="Compassionate"/>
    <d v="2022-06-20T10:30:00"/>
    <x v="0"/>
    <s v=" #Compassionate #ShowerOfEmpathy "/>
    <n v="18"/>
    <n v="36"/>
    <s v="Australia"/>
    <n v="2022"/>
    <n v="6"/>
    <n v="20"/>
    <n v="10"/>
    <n v="54"/>
    <s v="Normal"/>
    <s v="No"/>
    <s v="Standard"/>
    <s v="Morning"/>
    <x v="2"/>
    <n v="2"/>
  </r>
  <r>
    <x v="250"/>
    <s v="Playfully dancing in the rain of laughter, a whimsical spirit twirling in the puddles of joy and lightheartedness."/>
    <s v="Playful"/>
    <d v="2020-07-08T18:00:00"/>
    <x v="2"/>
    <s v=" #Playful #DanceInTheRain "/>
    <n v="22"/>
    <n v="44"/>
    <s v="Canada"/>
    <n v="2020"/>
    <n v="7"/>
    <n v="8"/>
    <n v="18"/>
    <n v="66"/>
    <s v="Popular"/>
    <s v="No"/>
    <s v="Wide Reach"/>
    <s v="Evening"/>
    <x v="0"/>
    <n v="2"/>
  </r>
  <r>
    <x v="251"/>
    <s v="Soaring on the wings of a free spirit, unburdened by the chains of conformity, painting the sky with independence."/>
    <s v="Free-spirited"/>
    <d v="2021-08-15T11:10:00"/>
    <x v="1"/>
    <s v=" #FreeSpirit #PaintingTheSky "/>
    <n v="20"/>
    <n v="40"/>
    <s v="India"/>
    <n v="2021"/>
    <n v="8"/>
    <n v="15"/>
    <n v="11"/>
    <n v="60"/>
    <s v="Normal"/>
    <s v="No"/>
    <s v="Standard"/>
    <s v="Morning"/>
    <x v="3"/>
    <n v="2"/>
  </r>
  <r>
    <x v="252"/>
    <s v="Bathed in the glow of inspiration, a creative phoenix rising from the ashes of ordinary thoughts to explore new realms."/>
    <s v="Inspired"/>
    <d v="2019-10-25T16:50:00"/>
    <x v="0"/>
    <s v=" #Inspired #CreativePhoenix "/>
    <n v="15"/>
    <n v="30"/>
    <s v="UK"/>
    <n v="2019"/>
    <n v="10"/>
    <n v="25"/>
    <n v="16"/>
    <n v="45"/>
    <s v="Normal"/>
    <s v="No"/>
    <s v="Standard"/>
    <s v="Afternoon"/>
    <x v="1"/>
    <n v="2"/>
  </r>
  <r>
    <x v="253"/>
    <s v="Navigating the sea of hope, sailing towards the sunrise of possibilities, confident in the ship of positive anticipation."/>
    <s v="Hopeful"/>
    <d v="2023-10-05T07:30:00"/>
    <x v="2"/>
    <s v=" #Hopeful #SunriseOfPossibilities "/>
    <n v="12"/>
    <n v="24"/>
    <s v="USA"/>
    <n v="2023"/>
    <n v="10"/>
    <n v="5"/>
    <n v="7"/>
    <n v="36"/>
    <s v="Normal"/>
    <s v="No"/>
    <s v="Standard"/>
    <s v="Morning"/>
    <x v="0"/>
    <n v="2"/>
  </r>
  <r>
    <x v="254"/>
    <s v="Striding with confidence, footprints of self-assuredness imprinted on the sands of challenges conquered and victories claimed."/>
    <s v="Confident"/>
    <d v="2022-02-15T13:15:00"/>
    <x v="1"/>
    <s v=" #Confident #FootprintsOfAssuredness "/>
    <n v="25"/>
    <n v="50"/>
    <s v="Australia"/>
    <n v="2022"/>
    <n v="2"/>
    <n v="15"/>
    <n v="13"/>
    <n v="75"/>
    <s v="Popular"/>
    <s v="No"/>
    <s v="Wide Reach"/>
    <s v="Afternoon"/>
    <x v="2"/>
    <n v="2"/>
  </r>
  <r>
    <x v="255"/>
    <s v="Lost in the symphony of the night, a moonlit serenade that whispers tales of wanderlust and moonlit dreams."/>
    <s v="Serenity"/>
    <d v="2021-05-08T22:00:00"/>
    <x v="0"/>
    <s v=" #Serenity #MoonlitSerenade "/>
    <n v="13"/>
    <n v="26"/>
    <s v="Canada"/>
    <n v="2021"/>
    <n v="5"/>
    <n v="8"/>
    <n v="22"/>
    <n v="39"/>
    <s v="Normal"/>
    <s v="No"/>
    <s v="Standard"/>
    <s v="Evening"/>
    <x v="0"/>
    <n v="2"/>
  </r>
  <r>
    <x v="256"/>
    <s v="Unveiling the layers of curiosity, a labyrinth of questions leading to the treasure troves of undiscovered knowledge."/>
    <s v="Curiosity"/>
    <d v="2020-11-29T14:45:00"/>
    <x v="1"/>
    <s v=" #Curiosity #LabyrinthOfQuestions "/>
    <n v="17"/>
    <n v="34"/>
    <s v="USA"/>
    <n v="2020"/>
    <n v="11"/>
    <n v="29"/>
    <n v="14"/>
    <n v="51"/>
    <s v="Normal"/>
    <s v="No"/>
    <s v="Standard"/>
    <s v="Afternoon"/>
    <x v="0"/>
    <n v="2"/>
  </r>
  <r>
    <x v="257"/>
    <s v="In the embrace of the autumn breeze, leaves of ambivalence dancing in a waltz between choices and uncertainties."/>
    <s v="Ambivalence"/>
    <d v="2019-09-14T10:20:00"/>
    <x v="2"/>
    <s v=" #Ambivalence #AutumnWaltz "/>
    <n v="14"/>
    <n v="28"/>
    <s v="UK"/>
    <n v="2019"/>
    <n v="9"/>
    <n v="14"/>
    <n v="10"/>
    <n v="42"/>
    <s v="Normal"/>
    <s v="No"/>
    <s v="Standard"/>
    <s v="Morning"/>
    <x v="1"/>
    <n v="2"/>
  </r>
  <r>
    <x v="258"/>
    <s v="Gratitude as a guiding star, navigating the constellation of blessings in the vast universe of life's precious moments."/>
    <s v="Grateful"/>
    <d v="2022-03-12T19:55:00"/>
    <x v="0"/>
    <s v=" #Grateful #GuidingStar "/>
    <n v="19"/>
    <n v="38"/>
    <s v="Australia"/>
    <n v="2022"/>
    <n v="3"/>
    <n v="12"/>
    <n v="19"/>
    <n v="57"/>
    <s v="Normal"/>
    <s v="No"/>
    <s v="Standard"/>
    <s v="Evening"/>
    <x v="2"/>
    <n v="2"/>
  </r>
  <r>
    <x v="259"/>
    <s v="With a zestful heart, sprinting through fields of enthusiasm, chasing sunbeams and laughter in the meadows of joy."/>
    <s v="Zest"/>
    <d v="2023-03-30T16:30:00"/>
    <x v="1"/>
    <s v=" #Zest #FieldsOfEnthusiasm "/>
    <n v="16"/>
    <n v="32"/>
    <s v="India"/>
    <n v="2023"/>
    <n v="3"/>
    <n v="30"/>
    <n v="16"/>
    <n v="48"/>
    <s v="Normal"/>
    <s v="No"/>
    <s v="Standard"/>
    <s v="Afternoon"/>
    <x v="3"/>
    <n v="2"/>
  </r>
  <r>
    <x v="260"/>
    <s v="A compassionate rain, tears of empathy falling gently, nurturing the seeds of kindness in the garden of human connections."/>
    <s v="Compassionate"/>
    <d v="2021-07-01T12:10:00"/>
    <x v="2"/>
    <s v=" #Compassionate #TearsOfEmpathy "/>
    <n v="21"/>
    <n v="42"/>
    <s v="Canada"/>
    <n v="2021"/>
    <n v="7"/>
    <n v="1"/>
    <n v="12"/>
    <n v="63"/>
    <s v="Popular"/>
    <s v="No"/>
    <s v="Wide Reach"/>
    <s v="Afternoon"/>
    <x v="0"/>
    <n v="2"/>
  </r>
  <r>
    <x v="261"/>
    <s v="Proudly scaling the peaks of achievement, a mountaineer conquering challenges and planting the flag of success."/>
    <s v="Proud"/>
    <d v="2020-01-05T08:45:00"/>
    <x v="0"/>
    <s v=" #Proud #ScalingPeaks "/>
    <n v="23"/>
    <n v="46"/>
    <s v="USA"/>
    <n v="2020"/>
    <n v="1"/>
    <n v="5"/>
    <n v="8"/>
    <n v="69"/>
    <s v="Popular"/>
    <s v="No"/>
    <s v="Wide Reach"/>
    <s v="Morning"/>
    <x v="0"/>
    <n v="2"/>
  </r>
  <r>
    <x v="262"/>
    <s v="Embraced by the hopeful dawn, a gardener sowing seeds of optimism, tending to the blooms of a brighter tomorrow."/>
    <s v="Hopeful"/>
    <d v="2022-07-17T06:15:00"/>
    <x v="1"/>
    <s v=" #Hopeful #SeedsOfOptimism "/>
    <n v="14"/>
    <n v="28"/>
    <s v="UK"/>
    <n v="2022"/>
    <n v="7"/>
    <n v="17"/>
    <n v="6"/>
    <n v="42"/>
    <s v="Normal"/>
    <s v="No"/>
    <s v="Standard"/>
    <s v="Morning"/>
    <x v="1"/>
    <n v="2"/>
  </r>
  <r>
    <x v="263"/>
    <s v="A playful escapade in the carnival of life, carousel laughter and cotton candy dreams swirling in the joyous atmosphere."/>
    <s v="Playful"/>
    <d v="2018-08-22T17:20:00"/>
    <x v="2"/>
    <s v=" #Playful #CarnivalEscapade "/>
    <n v="24"/>
    <n v="48"/>
    <s v="Australia"/>
    <n v="2018"/>
    <n v="8"/>
    <n v="22"/>
    <n v="17"/>
    <n v="72"/>
    <s v="Popular"/>
    <s v="No"/>
    <s v="Wide Reach"/>
    <s v="Afternoon"/>
    <x v="2"/>
    <n v="2"/>
  </r>
  <r>
    <x v="264"/>
    <s v="Floating on clouds of inspiration, an artist painting the sky with strokes of creativity, creating a masterpiece of dreams."/>
    <s v="Inspired"/>
    <d v="2021-12-08T14:30:00"/>
    <x v="0"/>
    <s v=" #Inspired #CloudsOfCreativity "/>
    <n v="18"/>
    <n v="36"/>
    <s v="India"/>
    <n v="2021"/>
    <n v="12"/>
    <n v="8"/>
    <n v="14"/>
    <n v="54"/>
    <s v="Normal"/>
    <s v="No"/>
    <s v="Standard"/>
    <s v="Afternoon"/>
    <x v="3"/>
    <n v="2"/>
  </r>
  <r>
    <x v="265"/>
    <s v="Navigating the river of contentment, a serene boat cruise through the tranquil waters of inner peace and acceptance."/>
    <s v="Contentment"/>
    <d v="2019-04-27T09:50:00"/>
    <x v="1"/>
    <s v=" #Contentment #TranquilWaters "/>
    <n v="20"/>
    <n v="40"/>
    <s v="Canada"/>
    <n v="2019"/>
    <n v="4"/>
    <n v="27"/>
    <n v="9"/>
    <n v="60"/>
    <s v="Normal"/>
    <s v="No"/>
    <s v="Standard"/>
    <s v="Morning"/>
    <x v="0"/>
    <n v="2"/>
  </r>
  <r>
    <x v="266"/>
    <s v="With empathy as a lantern, wandering through the dark alleys of sorrow, illuminating the path with compassion and care."/>
    <s v="Empathetic"/>
    <d v="2023-09-03T21:40:00"/>
    <x v="2"/>
    <s v=" #Empathetic #LanternOfCompassion "/>
    <n v="16"/>
    <n v="32"/>
    <s v="USA"/>
    <n v="2023"/>
    <n v="9"/>
    <n v="3"/>
    <n v="21"/>
    <n v="48"/>
    <s v="Normal"/>
    <s v="No"/>
    <s v="Standard"/>
    <s v="Evening"/>
    <x v="0"/>
    <n v="2"/>
  </r>
  <r>
    <x v="267"/>
    <s v="A free spirit soaring on the wings of dreams, leaving trails of independence in the azure sky of boundless possibilities."/>
    <s v="Free-spirited"/>
    <d v="2020-06-10T10:05:00"/>
    <x v="0"/>
    <s v=" #FreeSpirit #WingsOfDreams "/>
    <n v="22"/>
    <n v="44"/>
    <s v="UK"/>
    <n v="2020"/>
    <n v="6"/>
    <n v="10"/>
    <n v="10"/>
    <n v="66"/>
    <s v="Popular"/>
    <s v="No"/>
    <s v="Wide Reach"/>
    <s v="Morning"/>
    <x v="1"/>
    <n v="2"/>
  </r>
  <r>
    <x v="268"/>
    <s v="Bathed in the golden hues of gratefulness, a sunset of appreciation casting its warm glow on the landscapes of the heart."/>
    <s v="Grateful"/>
    <d v="2022-04-01T18:30:00"/>
    <x v="1"/>
    <s v=" #Grateful #GoldenHues "/>
    <n v="19"/>
    <n v="38"/>
    <s v="Australia"/>
    <n v="2022"/>
    <n v="4"/>
    <n v="1"/>
    <n v="18"/>
    <n v="57"/>
    <s v="Normal"/>
    <s v="No"/>
    <s v="Standard"/>
    <s v="Evening"/>
    <x v="2"/>
    <n v="2"/>
  </r>
  <r>
    <x v="269"/>
    <s v="Confident strides in the dance of life, a ballroom where self-assuredness leads, twirling through challenges with grace."/>
    <s v="Confident"/>
    <d v="2021-01-15T13:00:00"/>
    <x v="2"/>
    <s v=" #Confident #DanceOfLife "/>
    <n v="23"/>
    <n v="46"/>
    <s v="Canada"/>
    <n v="2021"/>
    <n v="1"/>
    <n v="15"/>
    <n v="13"/>
    <n v="69"/>
    <s v="Popular"/>
    <s v="No"/>
    <s v="Wide Reach"/>
    <s v="Afternoon"/>
    <x v="0"/>
    <n v="2"/>
  </r>
  <r>
    <x v="270"/>
    <s v="Hopeful whispers of wind, carrying the promises of a brighter tomorrow, a symphony of optimism in the air of possibilities."/>
    <s v="Hopeful"/>
    <d v="2023-05-06T07:20:00"/>
    <x v="0"/>
    <s v=" #Hopeful #BrighterTomorrows "/>
    <n v="15"/>
    <n v="30"/>
    <s v="India"/>
    <n v="2023"/>
    <n v="5"/>
    <n v="6"/>
    <n v="7"/>
    <n v="45"/>
    <s v="Normal"/>
    <s v="No"/>
    <s v="Standard"/>
    <s v="Morning"/>
    <x v="3"/>
    <n v="2"/>
  </r>
  <r>
    <x v="271"/>
    <s v="Playfully juggling responsibilities, a circus performer balancing the acts of work and joy, tossing laughter into the air."/>
    <s v="Playful"/>
    <d v="2019-11-18T15:15:00"/>
    <x v="1"/>
    <s v=" #Playful #JugglingResponsibilities "/>
    <n v="25"/>
    <n v="50"/>
    <s v="USA"/>
    <n v="2019"/>
    <n v="11"/>
    <n v="18"/>
    <n v="15"/>
    <n v="75"/>
    <s v="Popular"/>
    <s v="No"/>
    <s v="Wide Reach"/>
    <s v="Afternoon"/>
    <x v="0"/>
    <n v="2"/>
  </r>
  <r>
    <x v="272"/>
    <s v="Whispering tales of inspiration to the stars, a storyteller crafting constellations from the threads of imagination."/>
    <s v="Inspired"/>
    <d v="2020-08-29T20:45:00"/>
    <x v="2"/>
    <s v=" #Inspired #TalesToTheStars "/>
    <n v="14"/>
    <n v="28"/>
    <s v="UK"/>
    <n v="2020"/>
    <n v="8"/>
    <n v="29"/>
    <n v="20"/>
    <n v="42"/>
    <s v="Normal"/>
    <s v="No"/>
    <s v="Standard"/>
    <s v="Evening"/>
    <x v="1"/>
    <n v="2"/>
  </r>
  <r>
    <x v="273"/>
    <s v="Charting a course through the waves of hopeful anticipation, a sailor steering towards the shores of dreams yet unexplored."/>
    <s v="Hopeful"/>
    <d v="2022-10-30T11:40:00"/>
    <x v="0"/>
    <s v=" #Hopeful #SailorOfDreams "/>
    <n v="17"/>
    <n v="34"/>
    <s v="Australia"/>
    <n v="2022"/>
    <n v="10"/>
    <n v="30"/>
    <n v="11"/>
    <n v="51"/>
    <s v="Normal"/>
    <s v="No"/>
    <s v="Standard"/>
    <s v="Morning"/>
    <x v="2"/>
    <n v="2"/>
  </r>
  <r>
    <x v="260"/>
    <s v="A compassionate rain, tears of empathy falling gently, nurturing the seeds of kindness in the garden of human connections."/>
    <s v="Compassionate"/>
    <d v="2021-07-01T12:10:00"/>
    <x v="1"/>
    <s v=" #Compassionate #TearsOfEmpathy "/>
    <n v="21"/>
    <n v="42"/>
    <s v="Canada"/>
    <n v="2021"/>
    <n v="7"/>
    <n v="1"/>
    <n v="12"/>
    <n v="63"/>
    <s v="Popular"/>
    <s v="No"/>
    <s v="Wide Reach"/>
    <s v="Afternoon"/>
    <x v="0"/>
    <n v="2"/>
  </r>
  <r>
    <x v="261"/>
    <s v="Proudly scaling the peaks of achievement, a mountaineer conquering challenges and planting the flag of success."/>
    <s v="Proud"/>
    <d v="2020-01-05T08:45:00"/>
    <x v="0"/>
    <s v=" #Proud #ScalingPeaks "/>
    <n v="23"/>
    <n v="46"/>
    <s v="USA"/>
    <n v="2020"/>
    <n v="1"/>
    <n v="5"/>
    <n v="8"/>
    <n v="69"/>
    <s v="Popular"/>
    <s v="No"/>
    <s v="Wide Reach"/>
    <s v="Morning"/>
    <x v="0"/>
    <n v="2"/>
  </r>
  <r>
    <x v="262"/>
    <s v="Embraced by the hopeful dawn, a gardener sowing seeds of optimism, tending to the blooms of a brighter tomorrow."/>
    <s v="Hopeful"/>
    <d v="2022-07-17T06:15:00"/>
    <x v="1"/>
    <s v=" #Hopeful #SeedsOfOptimism "/>
    <n v="14"/>
    <n v="28"/>
    <s v="UK"/>
    <n v="2022"/>
    <n v="7"/>
    <n v="17"/>
    <n v="6"/>
    <n v="42"/>
    <s v="Normal"/>
    <s v="No"/>
    <s v="Standard"/>
    <s v="Morning"/>
    <x v="1"/>
    <n v="2"/>
  </r>
  <r>
    <x v="263"/>
    <s v="A playful escapade in the carnival of life, carousel laughter and cotton candy dreams swirling in the joyous atmosphere."/>
    <s v="Playful"/>
    <d v="2018-08-22T17:20:00"/>
    <x v="2"/>
    <s v=" #Playful #CarnivalEscapade "/>
    <n v="24"/>
    <n v="48"/>
    <s v="Australia"/>
    <n v="2018"/>
    <n v="8"/>
    <n v="22"/>
    <n v="17"/>
    <n v="72"/>
    <s v="Popular"/>
    <s v="No"/>
    <s v="Wide Reach"/>
    <s v="Afternoon"/>
    <x v="2"/>
    <n v="2"/>
  </r>
  <r>
    <x v="264"/>
    <s v="Floating on clouds of inspiration, an artist painting the sky with strokes of creativity, creating a masterpiece of dreams."/>
    <s v="Inspired"/>
    <d v="2021-12-08T14:30:00"/>
    <x v="0"/>
    <s v=" #Inspired #CloudsOfCreativity "/>
    <n v="18"/>
    <n v="36"/>
    <s v="India"/>
    <n v="2021"/>
    <n v="12"/>
    <n v="8"/>
    <n v="14"/>
    <n v="54"/>
    <s v="Normal"/>
    <s v="No"/>
    <s v="Standard"/>
    <s v="Afternoon"/>
    <x v="3"/>
    <n v="2"/>
  </r>
  <r>
    <x v="265"/>
    <s v="Navigating the river of contentment, a serene boat cruise through the tranquil waters of inner peace and acceptance."/>
    <s v="Contentment"/>
    <d v="2019-04-27T09:50:00"/>
    <x v="1"/>
    <s v=" #Contentment #TranquilWaters "/>
    <n v="20"/>
    <n v="40"/>
    <s v="Canada"/>
    <n v="2019"/>
    <n v="4"/>
    <n v="27"/>
    <n v="9"/>
    <n v="60"/>
    <s v="Normal"/>
    <s v="No"/>
    <s v="Standard"/>
    <s v="Morning"/>
    <x v="0"/>
    <n v="2"/>
  </r>
  <r>
    <x v="266"/>
    <s v="With empathy as a lantern, wandering through the dark alleys of sorrow, illuminating the path with compassion and care."/>
    <s v="Empathetic"/>
    <d v="2023-09-03T21:40:00"/>
    <x v="2"/>
    <s v=" #Empathetic #LanternOfCompassion "/>
    <n v="16"/>
    <n v="32"/>
    <s v="USA"/>
    <n v="2023"/>
    <n v="9"/>
    <n v="3"/>
    <n v="21"/>
    <n v="48"/>
    <s v="Normal"/>
    <s v="No"/>
    <s v="Standard"/>
    <s v="Evening"/>
    <x v="0"/>
    <n v="2"/>
  </r>
  <r>
    <x v="267"/>
    <s v="A free spirit soaring on the wings of dreams, leaving trails of independence in the azure sky of boundless possibilities."/>
    <s v="Free-spirited"/>
    <d v="2020-06-10T10:05:00"/>
    <x v="0"/>
    <s v=" #FreeSpirit #WingsOfDreams "/>
    <n v="22"/>
    <n v="44"/>
    <s v="UK"/>
    <n v="2020"/>
    <n v="6"/>
    <n v="10"/>
    <n v="10"/>
    <n v="66"/>
    <s v="Popular"/>
    <s v="No"/>
    <s v="Wide Reach"/>
    <s v="Morning"/>
    <x v="1"/>
    <n v="2"/>
  </r>
  <r>
    <x v="268"/>
    <s v="Bathed in the golden hues of gratefulness, a sunset of appreciation casting its warm glow on the landscapes of the heart."/>
    <s v="Grateful"/>
    <d v="2022-04-01T18:30:00"/>
    <x v="1"/>
    <s v=" #Grateful #GoldenHues "/>
    <n v="19"/>
    <n v="38"/>
    <s v="Australia"/>
    <n v="2022"/>
    <n v="4"/>
    <n v="1"/>
    <n v="18"/>
    <n v="57"/>
    <s v="Normal"/>
    <s v="No"/>
    <s v="Standard"/>
    <s v="Evening"/>
    <x v="2"/>
    <n v="2"/>
  </r>
  <r>
    <x v="269"/>
    <s v="Confident strides in the dance of life, a ballroom where self-assuredness leads, twirling through challenges with grace."/>
    <s v="Confident"/>
    <d v="2021-01-15T13:00:00"/>
    <x v="2"/>
    <s v=" #Confident #DanceOfLife "/>
    <n v="23"/>
    <n v="46"/>
    <s v="Canada"/>
    <n v="2021"/>
    <n v="1"/>
    <n v="15"/>
    <n v="13"/>
    <n v="69"/>
    <s v="Popular"/>
    <s v="No"/>
    <s v="Wide Reach"/>
    <s v="Afternoon"/>
    <x v="0"/>
    <n v="2"/>
  </r>
  <r>
    <x v="270"/>
    <s v="Hopeful whispers of wind, carrying the promises of a brighter tomorrow, a symphony of optimism in the air of possibilities."/>
    <s v="Hopeful"/>
    <d v="2023-05-06T07:20:00"/>
    <x v="0"/>
    <s v=" #Hopeful #BrighterTomorrows "/>
    <n v="15"/>
    <n v="30"/>
    <s v="India"/>
    <n v="2023"/>
    <n v="5"/>
    <n v="6"/>
    <n v="7"/>
    <n v="45"/>
    <s v="Normal"/>
    <s v="No"/>
    <s v="Standard"/>
    <s v="Morning"/>
    <x v="3"/>
    <n v="2"/>
  </r>
  <r>
    <x v="271"/>
    <s v="Playfully juggling responsibilities, a circus performer balancing the acts of work and joy, tossing laughter into the air."/>
    <s v="Playful"/>
    <d v="2019-11-18T15:15:00"/>
    <x v="1"/>
    <s v=" #Playful #JugglingResponsibilities "/>
    <n v="25"/>
    <n v="50"/>
    <s v="USA"/>
    <n v="2019"/>
    <n v="11"/>
    <n v="18"/>
    <n v="15"/>
    <n v="75"/>
    <s v="Popular"/>
    <s v="No"/>
    <s v="Wide Reach"/>
    <s v="Afternoon"/>
    <x v="0"/>
    <n v="2"/>
  </r>
  <r>
    <x v="272"/>
    <s v="Whispering tales of inspiration to the stars, a storyteller crafting constellations from the threads of imagination."/>
    <s v="Inspired"/>
    <d v="2020-08-29T20:45:00"/>
    <x v="2"/>
    <s v=" #Inspired #TalesToTheStars "/>
    <n v="14"/>
    <n v="28"/>
    <s v="UK"/>
    <n v="2020"/>
    <n v="8"/>
    <n v="29"/>
    <n v="20"/>
    <n v="42"/>
    <s v="Normal"/>
    <s v="No"/>
    <s v="Standard"/>
    <s v="Evening"/>
    <x v="1"/>
    <n v="2"/>
  </r>
  <r>
    <x v="273"/>
    <s v="Charting a course through the waves of hopeful anticipation, a sailor steering towards the shores of dreams yet unexplored."/>
    <s v="Hopeful"/>
    <d v="2022-10-30T11:40:00"/>
    <x v="0"/>
    <s v=" #Hopeful #SailorOfDreams "/>
    <n v="17"/>
    <n v="34"/>
    <s v="Australia"/>
    <n v="2022"/>
    <n v="10"/>
    <n v="30"/>
    <n v="11"/>
    <n v="51"/>
    <s v="Normal"/>
    <s v="No"/>
    <s v="Standard"/>
    <s v="Morning"/>
    <x v="2"/>
    <n v="2"/>
  </r>
  <r>
    <x v="260"/>
    <s v="A compassionate rain, tears of empathy falling gently, nurturing the seeds of kindness in the garden of human connections."/>
    <s v="Compassionate"/>
    <d v="2021-07-01T12:10:00"/>
    <x v="1"/>
    <s v=" #Compassionate #TearsOfEmpathy "/>
    <n v="21"/>
    <n v="42"/>
    <s v="Canada"/>
    <n v="2021"/>
    <n v="7"/>
    <n v="1"/>
    <n v="12"/>
    <n v="63"/>
    <s v="Popular"/>
    <s v="No"/>
    <s v="Wide Reach"/>
    <s v="Afternoon"/>
    <x v="0"/>
    <n v="2"/>
  </r>
  <r>
    <x v="261"/>
    <s v="Proudly scaling the peaks of achievement, a mountaineer conquering challenges and planting the flag of success."/>
    <s v="Proud"/>
    <d v="2020-01-05T08:45:00"/>
    <x v="0"/>
    <s v=" #Proud #ScalingPeaks "/>
    <n v="23"/>
    <n v="46"/>
    <s v="USA"/>
    <n v="2020"/>
    <n v="1"/>
    <n v="5"/>
    <n v="8"/>
    <n v="69"/>
    <s v="Popular"/>
    <s v="No"/>
    <s v="Wide Reach"/>
    <s v="Morning"/>
    <x v="0"/>
    <n v="2"/>
  </r>
  <r>
    <x v="262"/>
    <s v="Embraced by the hopeful dawn, a gardener sowing seeds of optimism, tending to the blooms of a brighter tomorrow."/>
    <s v="Hopeful"/>
    <d v="2022-07-17T06:15:00"/>
    <x v="1"/>
    <s v=" #Hopeful #SeedsOfOptimism "/>
    <n v="14"/>
    <n v="28"/>
    <s v="India"/>
    <n v="2022"/>
    <n v="7"/>
    <n v="17"/>
    <n v="6"/>
    <n v="42"/>
    <s v="Normal"/>
    <s v="No"/>
    <s v="Standard"/>
    <s v="Morning"/>
    <x v="3"/>
    <n v="2"/>
  </r>
  <r>
    <x v="263"/>
    <s v="A playful escapade in the carnival of life, carousel laughter and cotton candy dreams swirling in the joyous atmosphere."/>
    <s v="Playful"/>
    <d v="2018-08-22T17:20:00"/>
    <x v="2"/>
    <s v=" #Playful #CarnivalEscapade "/>
    <n v="24"/>
    <n v="48"/>
    <s v="Australia"/>
    <n v="2018"/>
    <n v="8"/>
    <n v="22"/>
    <n v="17"/>
    <n v="72"/>
    <s v="Popular"/>
    <s v="No"/>
    <s v="Wide Reach"/>
    <s v="Afternoon"/>
    <x v="2"/>
    <n v="2"/>
  </r>
  <r>
    <x v="274"/>
    <s v="Drowning in the abyss of despair, a heart shattered into fragments, lost in the echoing silence of hopelessness."/>
    <s v="Despair"/>
    <d v="2021-09-15T16:00:00"/>
    <x v="1"/>
    <s v=" #Despair #EchoingSilence "/>
    <n v="8"/>
    <n v="16"/>
    <s v="Canada"/>
    <n v="2021"/>
    <n v="9"/>
    <n v="15"/>
    <n v="16"/>
    <n v="24"/>
    <s v="Normal"/>
    <s v="No"/>
    <s v="Standard"/>
    <s v="Afternoon"/>
    <x v="0"/>
    <n v="2"/>
  </r>
  <r>
    <x v="275"/>
    <s v="Bitterness festering like a venomous vine, entwining the soul in a web of resentment, poisoning the garden of peace."/>
    <s v="Bitterness"/>
    <d v="2019-03-08T14:20:00"/>
    <x v="2"/>
    <s v=" #Bitterness #ResentmentWeb "/>
    <n v="12"/>
    <n v="24"/>
    <s v="UK"/>
    <n v="2019"/>
    <n v="3"/>
    <n v="8"/>
    <n v="14"/>
    <n v="36"/>
    <s v="Normal"/>
    <s v="No"/>
    <s v="Standard"/>
    <s v="Afternoon"/>
    <x v="1"/>
    <n v="2"/>
  </r>
  <r>
    <x v="276"/>
    <s v="Wandering through the desert of loneliness, each step a heavy sigh, mirages of connection shimmering but never materializing."/>
    <s v="Loneliness"/>
    <d v="2017-07-20T11:45:00"/>
    <x v="0"/>
    <s v=" #Loneliness #MiragesOfConnection "/>
    <n v="15"/>
    <n v="30"/>
    <s v="USA"/>
    <n v="2017"/>
    <n v="7"/>
    <n v="20"/>
    <n v="11"/>
    <n v="45"/>
    <s v="Normal"/>
    <s v="No"/>
    <s v="Standard"/>
    <s v="Morning"/>
    <x v="0"/>
    <n v="2"/>
  </r>
  <r>
    <x v="277"/>
    <s v="Yearning for a touch that's not there, echoes of a distant warmth haunting the heart in the cold embrace of solitude."/>
    <s v="Yearning"/>
    <d v="2020-11-02T19:30:00"/>
    <x v="1"/>
    <s v=" #Yearning #DistantWarmth "/>
    <n v="10"/>
    <n v="20"/>
    <s v="Australia"/>
    <n v="2020"/>
    <n v="11"/>
    <n v="2"/>
    <n v="19"/>
    <n v="30"/>
    <s v="Normal"/>
    <s v="No"/>
    <s v="Standard"/>
    <s v="Evening"/>
    <x v="2"/>
    <n v="2"/>
  </r>
  <r>
    <x v="278"/>
    <s v="Eyes wide open in the night, fearful shadows dancing on the walls, the mind a prisoner of imagined horrors."/>
    <s v="Fearful"/>
    <d v="2022-05-12T02:00:00"/>
    <x v="2"/>
    <s v=" #Fearful #ImaginedHorrors "/>
    <n v="18"/>
    <n v="36"/>
    <s v="India"/>
    <n v="2022"/>
    <n v="5"/>
    <n v="12"/>
    <n v="2"/>
    <n v="54"/>
    <s v="Normal"/>
    <s v="No"/>
    <s v="Standard"/>
    <s v="Night"/>
    <x v="3"/>
    <n v="2"/>
  </r>
  <r>
    <x v="279"/>
    <s v="Apprehensive steps on the tightrope of uncertainty, a balancing act where the fall seems inevitable, anxiety a constant companion."/>
    <s v="Apprehensive"/>
    <d v="2023-04-08T13:15:00"/>
    <x v="0"/>
    <s v=" #Apprehensive #BalancingAct "/>
    <n v="14"/>
    <n v="28"/>
    <s v="UK"/>
    <n v="2023"/>
    <n v="4"/>
    <n v="8"/>
    <n v="13"/>
    <n v="42"/>
    <s v="Normal"/>
    <s v="No"/>
    <s v="Standard"/>
    <s v="Afternoon"/>
    <x v="1"/>
    <n v="2"/>
  </r>
  <r>
    <x v="280"/>
    <s v="Overwhelmed by the weight of the world, Atlas with trembling shoulders, each responsibility a boulder in the landscape of exhaustion."/>
    <s v="Overwhelmed"/>
    <d v="2021-06-25T17:50:00"/>
    <x v="1"/>
    <s v=" #Overwhelmed #BouldersOfExhaustion "/>
    <n v="22"/>
    <n v="44"/>
    <s v="Canada"/>
    <n v="2021"/>
    <n v="6"/>
    <n v="25"/>
    <n v="17"/>
    <n v="66"/>
    <s v="Popular"/>
    <s v="No"/>
    <s v="Wide Reach"/>
    <s v="Afternoon"/>
    <x v="0"/>
    <n v="2"/>
  </r>
  <r>
    <x v="281"/>
    <s v="Jealousy, a green-eyed monster, lurking in the shadows, casting a dark cloud over the sunshine of others' success."/>
    <s v="Jealous"/>
    <d v="2019-08-30T10:10:00"/>
    <x v="2"/>
    <s v=" #Jealous #GreenEyedMonster "/>
    <n v="16"/>
    <n v="32"/>
    <s v="USA"/>
    <n v="2019"/>
    <n v="8"/>
    <n v="30"/>
    <n v="10"/>
    <n v="48"/>
    <s v="Normal"/>
    <s v="No"/>
    <s v="Standard"/>
    <s v="Morning"/>
    <x v="0"/>
    <n v="2"/>
  </r>
  <r>
    <x v="282"/>
    <s v="Devastated by the storm of betrayal, the wreckage of trust scattered like debris, a heart torn by the winds of broken promises."/>
    <s v="Devastated"/>
    <d v="2022-08-03T15:30:00"/>
    <x v="0"/>
    <s v=" #Devastated #WindsOfBrokenPromises "/>
    <n v="25"/>
    <n v="50"/>
    <s v="Australia"/>
    <n v="2022"/>
    <n v="8"/>
    <n v="3"/>
    <n v="15"/>
    <n v="75"/>
    <s v="Popular"/>
    <s v="No"/>
    <s v="Wide Reach"/>
    <s v="Afternoon"/>
    <x v="2"/>
    <n v="2"/>
  </r>
  <r>
    <x v="283"/>
    <s v="Frustrated fingers tapping on the keyboard, a symphony of annoyance composing an unsolvable puzzle of unmet expectations."/>
    <s v="Frustrated"/>
    <d v="2020-12-17T09:20:00"/>
    <x v="1"/>
    <s v=" #Frustrated #UnsolvablePuzzle "/>
    <n v="12"/>
    <n v="24"/>
    <s v="India"/>
    <n v="2020"/>
    <n v="12"/>
    <n v="17"/>
    <n v="9"/>
    <n v="36"/>
    <s v="Normal"/>
    <s v="No"/>
    <s v="Standard"/>
    <s v="Morning"/>
    <x v="3"/>
    <n v="2"/>
  </r>
  <r>
    <x v="284"/>
    <s v="Envious eyes fixated on the gilded prize, a heartache fueled by the painful desire for possessions that seem forever out of reach."/>
    <s v="Envious"/>
    <d v="2021-02-28T22:45:00"/>
    <x v="2"/>
    <s v=" #Envious #GildedPrize "/>
    <n v="20"/>
    <n v="40"/>
    <s v="USA"/>
    <n v="2021"/>
    <n v="2"/>
    <n v="28"/>
    <n v="22"/>
    <n v="60"/>
    <s v="Normal"/>
    <s v="No"/>
    <s v="Standard"/>
    <s v="Evening"/>
    <x v="0"/>
    <n v="2"/>
  </r>
  <r>
    <x v="285"/>
    <s v="Dismissive glances, a fortress built with indifference, walls impenetrable to the pleas of understanding and recognition."/>
    <s v="Dismissive"/>
    <d v="2018-05-10T14:00:00"/>
    <x v="0"/>
    <s v=" #Dismissive #ImpenetrableWalls "/>
    <n v="14"/>
    <n v="28"/>
    <s v="UK"/>
    <n v="2018"/>
    <n v="5"/>
    <n v="10"/>
    <n v="14"/>
    <n v="42"/>
    <s v="Normal"/>
    <s v="No"/>
    <s v="Standard"/>
    <s v="Afternoon"/>
    <x v="1"/>
    <n v="2"/>
  </r>
  <r>
    <x v="286"/>
    <s v="Shattered dreams lie on the floor like fragments of glass, a mosaic of disappointment crafted by the hands of frustration."/>
    <s v="Frustrated"/>
    <d v="2022-01-07T11:10:00"/>
    <x v="1"/>
    <s v=" #Frustrated #MosaicOfDisappointment "/>
    <n v="15"/>
    <n v="30"/>
    <s v="Canada"/>
    <n v="2022"/>
    <n v="1"/>
    <n v="7"/>
    <n v="11"/>
    <n v="45"/>
    <s v="Normal"/>
    <s v="No"/>
    <s v="Standard"/>
    <s v="Morning"/>
    <x v="0"/>
    <n v="2"/>
  </r>
  <r>
    <x v="287"/>
    <s v="Loneliness, a silent companion in the night, the only echo in the chamber of solitude, a heart's solitary nocturne."/>
    <s v="Loneliness"/>
    <d v="2019-09-19T03:30:00"/>
    <x v="2"/>
    <s v=" #Loneliness #SolitaryNocturne "/>
    <n v="18"/>
    <n v="36"/>
    <s v="Australia"/>
    <n v="2019"/>
    <n v="9"/>
    <n v="19"/>
    <n v="3"/>
    <n v="54"/>
    <s v="Normal"/>
    <s v="No"/>
    <s v="Standard"/>
    <s v="Night"/>
    <x v="2"/>
    <n v="2"/>
  </r>
  <r>
    <x v="288"/>
    <s v="Fearful whispers in the dark, the mind haunted by the specter of the unknown, shadows dancing to the rhythm of anxiety's tune."/>
    <s v="Fearful"/>
    <d v="2023-07-14T23:00:00"/>
    <x v="0"/>
    <s v=" #Fearful #SpecterOfTheUnknown "/>
    <n v="13"/>
    <n v="26"/>
    <s v="UK"/>
    <n v="2023"/>
    <n v="7"/>
    <n v="14"/>
    <n v="23"/>
    <n v="39"/>
    <s v="Normal"/>
    <s v="No"/>
    <s v="Standard"/>
    <s v="Evening"/>
    <x v="1"/>
    <n v="2"/>
  </r>
  <r>
    <x v="289"/>
    <s v="Bitterness, a bitter aftertaste lingering on the tongue, each word a reminder of wounds that refuse to heal with the passing of time."/>
    <s v="Bitterness"/>
    <d v="2020-04-05T16:20:00"/>
    <x v="1"/>
    <s v=" #Bitterness #BitterAftertaste "/>
    <n v="10"/>
    <n v="20"/>
    <s v="India"/>
    <n v="2020"/>
    <n v="4"/>
    <n v="5"/>
    <n v="16"/>
    <n v="30"/>
    <s v="Normal"/>
    <s v="No"/>
    <s v="Standard"/>
    <s v="Afternoon"/>
    <x v="3"/>
    <n v="2"/>
  </r>
  <r>
    <x v="290"/>
    <s v="Overwhelmed by the cacophony of expectations, a drowning soul in the tempest of pressure, struggling to stay afloat."/>
    <s v="Overwhelmed"/>
    <d v="2021-11-29T08:45:00"/>
    <x v="2"/>
    <s v=" #Overwhelmed #DrowningSoul "/>
    <n v="20"/>
    <n v="40"/>
    <s v="USA"/>
    <n v="2021"/>
    <n v="11"/>
    <n v="29"/>
    <n v="8"/>
    <n v="60"/>
    <s v="Normal"/>
    <s v="No"/>
    <s v="Standard"/>
    <s v="Morning"/>
    <x v="0"/>
    <n v="2"/>
  </r>
  <r>
    <x v="291"/>
    <s v="Jealousy, a venom that seeps through the veins, poisoning the heart and turning it into a breeding ground for discontent."/>
    <s v="Jealous"/>
    <d v="2019-12-12T17:00:00"/>
    <x v="0"/>
    <s v=" #Jealous #HeartOfDiscontent "/>
    <n v="16"/>
    <n v="32"/>
    <s v="Australia"/>
    <n v="2019"/>
    <n v="12"/>
    <n v="12"/>
    <n v="17"/>
    <n v="48"/>
    <s v="Normal"/>
    <s v="No"/>
    <s v="Standard"/>
    <s v="Afternoon"/>
    <x v="2"/>
    <n v="2"/>
  </r>
  <r>
    <x v="292"/>
    <s v="Devastated by the revelation of betrayal, the trust shattered like fragile glass, leaving shards of pain in its wake."/>
    <s v="Devastated"/>
    <d v="2022-05-20T14:50:00"/>
    <x v="1"/>
    <s v=" #Devastated #ShatteredTrust "/>
    <n v="25"/>
    <n v="50"/>
    <s v="Canada"/>
    <n v="2022"/>
    <n v="5"/>
    <n v="20"/>
    <n v="14"/>
    <n v="75"/>
    <s v="Popular"/>
    <s v="No"/>
    <s v="Wide Reach"/>
    <s v="Afternoon"/>
    <x v="0"/>
    <n v="2"/>
  </r>
  <r>
    <x v="293"/>
    <s v="Frustrated attempts to mend a broken connection, the threads of understanding slipping through the fingers like grains of sand."/>
    <s v="Frustrated"/>
    <d v="2020-09-03T12:15:00"/>
    <x v="2"/>
    <s v=" #Frustrated #SlippingThreads "/>
    <n v="14"/>
    <n v="28"/>
    <s v="UK"/>
    <n v="2020"/>
    <n v="9"/>
    <n v="3"/>
    <n v="12"/>
    <n v="42"/>
    <s v="Normal"/>
    <s v="No"/>
    <s v="Standard"/>
    <s v="Afternoon"/>
    <x v="1"/>
    <n v="2"/>
  </r>
  <r>
    <x v="294"/>
    <s v="Envious gazes cast upon the podium of success, a bitter pill swallowed, the taste lingering as a constant reminder of unattained heights."/>
    <s v="Envious"/>
    <d v="2021-02-10T19:30:00"/>
    <x v="0"/>
    <s v=" #Envious #BitterPill "/>
    <n v="20"/>
    <n v="40"/>
    <s v="USA"/>
    <n v="2021"/>
    <n v="2"/>
    <n v="10"/>
    <n v="19"/>
    <n v="60"/>
    <s v="Normal"/>
    <s v="No"/>
    <s v="Standard"/>
    <s v="Evening"/>
    <x v="0"/>
    <n v="2"/>
  </r>
  <r>
    <x v="295"/>
    <s v="Dismissive gestures, a curtain drawn to shield the vulnerability, a stage where emotions take a backseat to the performance of indifference."/>
    <s v="Dismissive"/>
    <d v="2018-08-18T14:40:00"/>
    <x v="1"/>
    <s v=" #Dismissive #IndifferencePerformance "/>
    <n v="12"/>
    <n v="24"/>
    <s v="Australia"/>
    <n v="2018"/>
    <n v="8"/>
    <n v="18"/>
    <n v="14"/>
    <n v="36"/>
    <s v="Normal"/>
    <s v="No"/>
    <s v="Standard"/>
    <s v="Afternoon"/>
    <x v="2"/>
    <n v="2"/>
  </r>
  <r>
    <x v="296"/>
    <s v="Despair like a heavy fog, enveloping every thought, blurring the path ahead, a journey in the labyrinth of utter hopelessness."/>
    <s v="Despair"/>
    <d v="2022-02-28T21:00:00"/>
    <x v="2"/>
    <s v=" #Despair #LabyrinthOfHopelessness "/>
    <n v="8"/>
    <n v="16"/>
    <s v="Canada"/>
    <n v="2022"/>
    <n v="2"/>
    <n v="28"/>
    <n v="21"/>
    <n v="24"/>
    <s v="Normal"/>
    <s v="No"/>
    <s v="Standard"/>
    <s v="Evening"/>
    <x v="0"/>
    <n v="2"/>
  </r>
  <r>
    <x v="297"/>
    <s v="Bitterness, a bitter chill in the air, freezing moments into icicles of resentment that dangle precariously over the landscape of memory."/>
    <s v="Bitterness"/>
    <d v="2019-10-15T10:30:00"/>
    <x v="0"/>
    <s v=" #Bitterness #IciclesOfResentment "/>
    <n v="15"/>
    <n v="30"/>
    <s v="UK"/>
    <n v="2019"/>
    <n v="10"/>
    <n v="15"/>
    <n v="10"/>
    <n v="45"/>
    <s v="Normal"/>
    <s v="No"/>
    <s v="Standard"/>
    <s v="Morning"/>
    <x v="1"/>
    <n v="2"/>
  </r>
  <r>
    <x v="298"/>
    <s v="Loneliness, a solitary moon in a starless sky, casting a cold glow on the landscape of isolation, where echoes bounce in empty spaces."/>
    <s v="Loneliness"/>
    <d v="2017-12-01T18:50:00"/>
    <x v="1"/>
    <s v=" #Loneliness #StarlessSky "/>
    <n v="18"/>
    <n v="36"/>
    <s v="USA"/>
    <n v="2017"/>
    <n v="12"/>
    <n v="1"/>
    <n v="18"/>
    <n v="54"/>
    <s v="Normal"/>
    <s v="No"/>
    <s v="Standard"/>
    <s v="Evening"/>
    <x v="0"/>
    <n v="2"/>
  </r>
  <r>
    <x v="299"/>
    <s v="Yearning for the warmth of a vanished sun, a heartache painted in the hues of a sunset that never graced the horizon."/>
    <s v="Yearning"/>
    <d v="2020-04-18T16:15:00"/>
    <x v="2"/>
    <s v=" #Yearning #HuesOfSunset "/>
    <n v="10"/>
    <n v="20"/>
    <s v="Australia"/>
    <n v="2020"/>
    <n v="4"/>
    <n v="18"/>
    <n v="16"/>
    <n v="30"/>
    <s v="Normal"/>
    <s v="No"/>
    <s v="Standard"/>
    <s v="Afternoon"/>
    <x v="2"/>
    <n v="2"/>
  </r>
  <r>
    <x v="278"/>
    <s v="Fearful eyes scanning the shadows, a prisoner of the night, terrorized by the lurking monsters born from the mind's darkest corners."/>
    <s v="Fearful"/>
    <d v="2023-01-07T03:30:00"/>
    <x v="0"/>
    <s v=" #Fearful #LurkingMonsters "/>
    <n v="18"/>
    <n v="36"/>
    <s v="India"/>
    <n v="2023"/>
    <n v="1"/>
    <n v="7"/>
    <n v="3"/>
    <n v="54"/>
    <s v="Normal"/>
    <s v="No"/>
    <s v="Standard"/>
    <s v="Night"/>
    <x v="3"/>
    <n v="2"/>
  </r>
  <r>
    <x v="270"/>
    <s v="Apprehensive whispers in the wind, a forecast of uncertainty, the mind's weather vane spinning wildly in the storm of doubt."/>
    <s v="Apprehensive"/>
    <d v="2021-06-10T10:00:00"/>
    <x v="1"/>
    <s v=" #Apprehensive #StormOfDoubt "/>
    <n v="14"/>
    <n v="28"/>
    <s v="Canada"/>
    <n v="2021"/>
    <n v="6"/>
    <n v="10"/>
    <n v="10"/>
    <n v="42"/>
    <s v="Normal"/>
    <s v="No"/>
    <s v="Standard"/>
    <s v="Morning"/>
    <x v="0"/>
    <n v="2"/>
  </r>
  <r>
    <x v="300"/>
    <s v="Overwhelmed by the maze of expectations, a minotaur of pressure lurking in the labyrinth, waiting to devour the spirit of resilience."/>
    <s v="Overwhelmed"/>
    <d v="2020-02-22T15:20:00"/>
    <x v="2"/>
    <s v=" #Overwhelmed #MinotaurOfPressure "/>
    <n v="22"/>
    <n v="44"/>
    <s v="USA"/>
    <n v="2020"/>
    <n v="2"/>
    <n v="22"/>
    <n v="15"/>
    <n v="66"/>
    <s v="Popular"/>
    <s v="No"/>
    <s v="Wide Reach"/>
    <s v="Afternoon"/>
    <x v="0"/>
    <n v="2"/>
  </r>
  <r>
    <x v="301"/>
    <s v="Jealousy, a festering wound, the pain intensifying with each glance at the garden of others' achievements, blooming beyond the fence."/>
    <s v="Jealous"/>
    <d v="2018-03-17T14:45:00"/>
    <x v="0"/>
    <s v=" #Jealous #BloomingAchievements "/>
    <n v="16"/>
    <n v="32"/>
    <s v="UK"/>
    <n v="2018"/>
    <n v="3"/>
    <n v="17"/>
    <n v="14"/>
    <n v="48"/>
    <s v="Normal"/>
    <s v="No"/>
    <s v="Standard"/>
    <s v="Afternoon"/>
    <x v="1"/>
    <n v="2"/>
  </r>
  <r>
    <x v="302"/>
    <s v="Devastated, a heart in ruins, the echoes of shattered dreams reverberating in the chambers, a requiem for what once was whole."/>
    <s v="Devastated"/>
    <d v="2022-10-28T11:15:00"/>
    <x v="1"/>
    <s v=" #Devastated #EchoesOfShatteredDreams "/>
    <n v="25"/>
    <n v="50"/>
    <s v="Australia"/>
    <n v="2022"/>
    <n v="10"/>
    <n v="28"/>
    <n v="11"/>
    <n v="75"/>
    <s v="Popular"/>
    <s v="No"/>
    <s v="Wide Reach"/>
    <s v="Morning"/>
    <x v="2"/>
    <n v="2"/>
  </r>
  <r>
    <x v="303"/>
    <s v="Frustrated attempts to untangle the knot of confusion, the threads of understanding slipping further into the labyrinth of miscommunication."/>
    <s v="Frustrated"/>
    <d v="2020-11-01T12:30:00"/>
    <x v="2"/>
    <s v=" #Frustrated #LabyrinthOfMiscommunication "/>
    <n v="14"/>
    <n v="28"/>
    <s v="India"/>
    <n v="2020"/>
    <n v="11"/>
    <n v="1"/>
    <n v="12"/>
    <n v="42"/>
    <s v="Normal"/>
    <s v="No"/>
    <s v="Standard"/>
    <s v="Afternoon"/>
    <x v="3"/>
    <n v="2"/>
  </r>
  <r>
    <x v="304"/>
    <s v="Envious eyes locked on the treasure chest of opportunities, a heartache fueled by the desire for keys that seem forever elusive."/>
    <s v="Envious"/>
    <d v="2021-01-15T22:10:00"/>
    <x v="0"/>
    <s v=" #Envious #DesireForKeys "/>
    <n v="20"/>
    <n v="40"/>
    <s v="USA"/>
    <n v="2021"/>
    <n v="1"/>
    <n v="15"/>
    <n v="22"/>
    <n v="60"/>
    <s v="Normal"/>
    <s v="No"/>
    <s v="Standard"/>
    <s v="Evening"/>
    <x v="0"/>
    <n v="2"/>
  </r>
  <r>
    <x v="285"/>
    <s v="Dismissive gestures, a curtain drawn to shield the vulnerability, a stage where emotions take a backseat to the performance of indifference."/>
    <s v="Dismissive"/>
    <d v="2018-08-18T14:00:00"/>
    <x v="1"/>
    <s v=" #Dismissive #IndifferencePerformance "/>
    <n v="12"/>
    <n v="24"/>
    <s v="Australia"/>
    <n v="2018"/>
    <n v="8"/>
    <n v="18"/>
    <n v="14"/>
    <n v="36"/>
    <s v="Normal"/>
    <s v="No"/>
    <s v="Standard"/>
    <s v="Afternoon"/>
    <x v="2"/>
    <n v="2"/>
  </r>
  <r>
    <x v="286"/>
    <s v="Shattered dreams lie on the floor like fragments of glass, a mosaic of disappointment crafted by the hands of frustration."/>
    <s v="Frustrated"/>
    <d v="2022-01-07T11:10:00"/>
    <x v="0"/>
    <s v=" #Frustrated #MosaicOfDisappointment "/>
    <n v="15"/>
    <n v="30"/>
    <s v="Canada"/>
    <n v="2022"/>
    <n v="1"/>
    <n v="7"/>
    <n v="11"/>
    <n v="45"/>
    <s v="Normal"/>
    <s v="No"/>
    <s v="Standard"/>
    <s v="Morning"/>
    <x v="0"/>
    <n v="2"/>
  </r>
  <r>
    <x v="287"/>
    <s v="Loneliness, a silent companion in the night, the only echo in the chamber of solitude, a heart's solitary nocturne."/>
    <s v="Loneliness"/>
    <d v="2019-09-19T03:30:00"/>
    <x v="2"/>
    <s v=" #Loneliness #SolitaryNocturne "/>
    <n v="18"/>
    <n v="36"/>
    <s v="Australia"/>
    <n v="2019"/>
    <n v="9"/>
    <n v="19"/>
    <n v="3"/>
    <n v="54"/>
    <s v="Normal"/>
    <s v="No"/>
    <s v="Standard"/>
    <s v="Night"/>
    <x v="2"/>
    <n v="2"/>
  </r>
  <r>
    <x v="61"/>
    <s v="Awe-struck by the breathtaking sunrise over the mountains."/>
    <s v="Awe"/>
    <d v="2022-04-03T06:15:00"/>
    <x v="1"/>
    <s v=" #Awe #BreathtakingSunrise                   "/>
    <n v="28"/>
    <n v="55"/>
    <s v="USA"/>
    <n v="2022"/>
    <n v="4"/>
    <n v="3"/>
    <n v="6"/>
    <n v="83"/>
    <s v="Popular"/>
    <s v="Yes"/>
    <s v="Wide Reach"/>
    <s v="Morning"/>
    <x v="0"/>
    <n v="1.9642857142857142"/>
  </r>
  <r>
    <x v="305"/>
    <s v="Navigating through the challenges with determination."/>
    <s v="Determination"/>
    <d v="2023-10-12T10:30:00"/>
    <x v="0"/>
    <s v=" #Determination #Challenges                  "/>
    <n v="15"/>
    <n v="30"/>
    <s v="Canada"/>
    <n v="2023"/>
    <n v="10"/>
    <n v="12"/>
    <n v="10"/>
    <n v="45"/>
    <s v="Normal"/>
    <s v="No"/>
    <s v="Standard"/>
    <s v="Morning"/>
    <x v="0"/>
    <n v="2"/>
  </r>
  <r>
    <x v="306"/>
    <s v="Nostalgia hits while flipping through an old photo album."/>
    <s v="Nostalgia"/>
    <d v="2019-06-28T19:00:00"/>
    <x v="2"/>
    <s v=" #Nostalgia #OldMemories                     "/>
    <n v="22"/>
    <n v="45"/>
    <s v="UK"/>
    <n v="2019"/>
    <n v="6"/>
    <n v="28"/>
    <n v="19"/>
    <n v="67"/>
    <s v="Popular"/>
    <s v="No"/>
    <s v="Wide Reach"/>
    <s v="Evening"/>
    <x v="1"/>
    <n v="2.0454545454545454"/>
  </r>
  <r>
    <x v="307"/>
    <s v="Thrilled to witness the grandeur of a cultural festival."/>
    <s v="Thrill"/>
    <d v="2020-09-15T14:45:00"/>
    <x v="1"/>
    <s v=" #Thrill #CulturalCelebration              "/>
    <n v="40"/>
    <n v="80"/>
    <s v="India"/>
    <n v="2020"/>
    <n v="9"/>
    <n v="15"/>
    <n v="14"/>
    <n v="120"/>
    <s v="Popular"/>
    <s v="Yes"/>
    <s v="Wide Reach"/>
    <s v="Afternoon"/>
    <x v="3"/>
    <n v="2"/>
  </r>
  <r>
    <x v="308"/>
    <s v="Calmness found in the rhythm of raindrops on the windowpane."/>
    <s v="Calmness"/>
    <d v="2017-11-08T21:20:00"/>
    <x v="0"/>
    <s v=" #Calmness #RainyDays                        "/>
    <n v="18"/>
    <n v="35"/>
    <s v="Australia"/>
    <n v="2017"/>
    <n v="11"/>
    <n v="8"/>
    <n v="21"/>
    <n v="53"/>
    <s v="Normal"/>
    <s v="No"/>
    <s v="Standard"/>
    <s v="Evening"/>
    <x v="2"/>
    <n v="1.9444444444444444"/>
  </r>
  <r>
    <x v="309"/>
    <s v="Overwhelmed by the support received during a personal challenge."/>
    <s v="Overwhelmed"/>
    <d v="2021-05-20T17:30:00"/>
    <x v="2"/>
    <s v=" #Overwhelmed #SupportiveCommunity          "/>
    <n v="25"/>
    <n v="50"/>
    <s v="USA"/>
    <n v="2021"/>
    <n v="5"/>
    <n v="20"/>
    <n v="17"/>
    <n v="75"/>
    <s v="Popular"/>
    <s v="No"/>
    <s v="Wide Reach"/>
    <s v="Afternoon"/>
    <x v="0"/>
    <n v="2"/>
  </r>
  <r>
    <x v="72"/>
    <s v="Excitement builds as the countdown to a long-awaited vacation begins."/>
    <s v="Excitement"/>
    <d v="2023-01-10T12:00:00"/>
    <x v="1"/>
    <s v=" #Excitement #VacationCountdown        "/>
    <n v="30"/>
    <n v="60"/>
    <s v="France"/>
    <n v="2023"/>
    <n v="1"/>
    <n v="10"/>
    <n v="12"/>
    <n v="90"/>
    <s v="Popular"/>
    <s v="Yes"/>
    <s v="Wide Reach"/>
    <s v="Afternoon"/>
    <x v="1"/>
    <n v="2"/>
  </r>
  <r>
    <x v="310"/>
    <s v="Reflecting on life's journey, grateful for the lessons learned."/>
    <s v="Gratitude"/>
    <d v="2018-12-05T08:45:00"/>
    <x v="0"/>
    <s v=" #Gratitude #LifeLessons                    "/>
    <n v="35"/>
    <n v="70"/>
    <s v="Brazil"/>
    <n v="2018"/>
    <n v="12"/>
    <n v="5"/>
    <n v="8"/>
    <n v="105"/>
    <s v="Popular"/>
    <s v="Yes"/>
    <s v="Wide Reach"/>
    <s v="Morning"/>
    <x v="4"/>
    <n v="2"/>
  </r>
  <r>
    <x v="311"/>
    <s v="Bittersweet emotions arise while bidding farewell to a dear friend."/>
    <s v="Bittersweet"/>
    <d v="2020-03-15T18:30:00"/>
    <x v="1"/>
    <s v=" #Bittersweet #Farewell                     "/>
    <n v="20"/>
    <n v="40"/>
    <s v="Japan"/>
    <n v="2020"/>
    <n v="3"/>
    <n v="15"/>
    <n v="18"/>
    <n v="60"/>
    <s v="Normal"/>
    <s v="No"/>
    <s v="Standard"/>
    <s v="Evening"/>
    <x v="3"/>
    <n v="2"/>
  </r>
  <r>
    <x v="312"/>
    <s v="Curiosity sparked by exploring a mysterious ancient ruin."/>
    <s v="Curiosity"/>
    <d v="2016-08-22T15:10:00"/>
    <x v="2"/>
    <s v=" #Curiosity #AncientDiscovery          "/>
    <n v="18"/>
    <n v="35"/>
    <s v="Greece"/>
    <n v="2016"/>
    <n v="8"/>
    <n v="22"/>
    <n v="15"/>
    <n v="53"/>
    <s v="Normal"/>
    <s v="No"/>
    <s v="Standard"/>
    <s v="Afternoon"/>
    <x v="1"/>
    <n v="1.9444444444444444"/>
  </r>
  <r>
    <x v="313"/>
    <s v="Admiration for the intricate details of a handcrafted masterpiece."/>
    <s v="Admiration"/>
    <d v="2019-08-20T16:00:00"/>
    <x v="1"/>
    <s v=" #Admiration #HandcraftedArt               "/>
    <n v="25"/>
    <n v="50"/>
    <s v="USA"/>
    <n v="2019"/>
    <n v="8"/>
    <n v="20"/>
    <n v="16"/>
    <n v="75"/>
    <s v="Popular"/>
    <s v="No"/>
    <s v="Wide Reach"/>
    <s v="Afternoon"/>
    <x v="0"/>
    <n v="2"/>
  </r>
  <r>
    <x v="314"/>
    <s v="Overjoyed by the warmth of a cozy fireplace on a winter evening."/>
    <s v="Overjoyed"/>
    <d v="2021-12-08T19:30:00"/>
    <x v="0"/>
    <s v=" #Overjoyed #WinterWarmth                  "/>
    <n v="18"/>
    <n v="35"/>
    <s v="Canada"/>
    <n v="2021"/>
    <n v="12"/>
    <n v="8"/>
    <n v="19"/>
    <n v="53"/>
    <s v="Normal"/>
    <s v="No"/>
    <s v="Standard"/>
    <s v="Evening"/>
    <x v="0"/>
    <n v="1.9444444444444444"/>
  </r>
  <r>
    <x v="31"/>
    <s v="Inspiration strikes while observing the colors of a vibrant sunset."/>
    <s v="Inspiration"/>
    <d v="2020-06-10T20:45:00"/>
    <x v="1"/>
    <s v=" #Inspiration #ColorfulSunset             "/>
    <n v="30"/>
    <n v="60"/>
    <s v="UK"/>
    <n v="2020"/>
    <n v="6"/>
    <n v="10"/>
    <n v="20"/>
    <n v="90"/>
    <s v="Popular"/>
    <s v="Yes"/>
    <s v="Wide Reach"/>
    <s v="Evening"/>
    <x v="1"/>
    <n v="2"/>
  </r>
  <r>
    <x v="315"/>
    <s v="Motivated to achieve fitness goals after an invigorating workout."/>
    <s v="Motivation"/>
    <d v="2022-02-28T07:15:00"/>
    <x v="2"/>
    <s v=" #Motivation #FitnessGoals                 "/>
    <n v="40"/>
    <n v="80"/>
    <s v="Australia"/>
    <n v="2022"/>
    <n v="2"/>
    <n v="28"/>
    <n v="7"/>
    <n v="120"/>
    <s v="Popular"/>
    <s v="Yes"/>
    <s v="Wide Reach"/>
    <s v="Morning"/>
    <x v="2"/>
    <n v="2"/>
  </r>
  <r>
    <x v="316"/>
    <s v="Gratitude for the simple joys found in a cup of morning coffee."/>
    <s v="Gratitude"/>
    <d v="2017-04-15T08:00:00"/>
    <x v="0"/>
    <s v=" #Gratitude #MorningCoffee                 "/>
    <n v="22"/>
    <n v="45"/>
    <s v="India"/>
    <n v="2017"/>
    <n v="4"/>
    <n v="15"/>
    <n v="8"/>
    <n v="67"/>
    <s v="Popular"/>
    <s v="No"/>
    <s v="Wide Reach"/>
    <s v="Morning"/>
    <x v="3"/>
    <n v="2.0454545454545454"/>
  </r>
  <r>
    <x v="317"/>
    <s v="Feeling empowered after conquering a challenging hiking trail."/>
    <s v="Empowerment"/>
    <d v="2018-09-05T14:20:00"/>
    <x v="1"/>
    <s v=" #Empowerment #HikingAdventure             "/>
    <n v="35"/>
    <n v="70"/>
    <s v="USA"/>
    <n v="2018"/>
    <n v="9"/>
    <n v="5"/>
    <n v="14"/>
    <n v="105"/>
    <s v="Popular"/>
    <s v="Yes"/>
    <s v="Wide Reach"/>
    <s v="Afternoon"/>
    <x v="0"/>
    <n v="2"/>
  </r>
  <r>
    <x v="318"/>
    <s v="Amused by the antics of playful kittens during playtime."/>
    <s v="Amusement"/>
    <d v="2022-10-22T12:45:00"/>
    <x v="2"/>
    <s v=" #Amusement #PlayfulKittens               "/>
    <n v="15"/>
    <n v="30"/>
    <s v="Canada"/>
    <n v="2022"/>
    <n v="10"/>
    <n v="22"/>
    <n v="12"/>
    <n v="45"/>
    <s v="Normal"/>
    <s v="No"/>
    <s v="Standard"/>
    <s v="Afternoon"/>
    <x v="0"/>
    <n v="2"/>
  </r>
  <r>
    <x v="87"/>
    <s v="Contemplating life's mysteries under the starry night sky."/>
    <s v="Contemplation"/>
    <d v="2016-07-02T23:30:00"/>
    <x v="0"/>
    <s v=" #Contemplation #StarryNight               "/>
    <n v="28"/>
    <n v="55"/>
    <s v="UK"/>
    <n v="2016"/>
    <n v="7"/>
    <n v="2"/>
    <n v="23"/>
    <n v="83"/>
    <s v="Popular"/>
    <s v="Yes"/>
    <s v="Wide Reach"/>
    <s v="Evening"/>
    <x v="1"/>
    <n v="1.9642857142857142"/>
  </r>
  <r>
    <x v="319"/>
    <s v="Joyful reunion with long-lost friends after years of separation."/>
    <s v="JoyfulReunion"/>
    <d v="2020-11-18T17:10:00"/>
    <x v="1"/>
    <s v=" #JoyfulReunion #Friendship               "/>
    <n v="20"/>
    <n v="40"/>
    <s v="India"/>
    <n v="2020"/>
    <n v="11"/>
    <n v="18"/>
    <n v="17"/>
    <n v="60"/>
    <s v="Normal"/>
    <s v="No"/>
    <s v="Standard"/>
    <s v="Afternoon"/>
    <x v="3"/>
    <n v="2"/>
  </r>
  <r>
    <x v="320"/>
    <s v="Excitement builds while preparing for a surprise celebration."/>
    <s v="Excitement"/>
    <d v="2023-03-05T15:00:00"/>
    <x v="2"/>
    <s v=" #Excitement #SurpriseCelebration         "/>
    <n v="30"/>
    <n v="60"/>
    <s v="Australia"/>
    <n v="2023"/>
    <n v="3"/>
    <n v="5"/>
    <n v="15"/>
    <n v="90"/>
    <s v="Popular"/>
    <s v="Yes"/>
    <s v="Wide Reach"/>
    <s v="Afternoon"/>
    <x v="2"/>
    <n v="2"/>
  </r>
  <r>
    <x v="158"/>
    <s v="Satisfaction derived from successfully completing a DIY project."/>
    <s v="Satisfaction"/>
    <d v="2015-12-01T11:30:00"/>
    <x v="0"/>
    <s v=" #Satisfaction #DIYProject                 "/>
    <n v="25"/>
    <n v="50"/>
    <s v="USA"/>
    <n v="2015"/>
    <n v="12"/>
    <n v="1"/>
    <n v="11"/>
    <n v="75"/>
    <s v="Popular"/>
    <s v="No"/>
    <s v="Wide Reach"/>
    <s v="Morning"/>
    <x v="0"/>
    <n v="2"/>
  </r>
  <r>
    <x v="321"/>
    <s v="Feeling blessed for the supportive community in times of need."/>
    <s v="Blessed"/>
    <d v="2021-09-10T09:45:00"/>
    <x v="1"/>
    <s v=" #Blessed #SupportiveCommunity            "/>
    <n v="18"/>
    <n v="35"/>
    <s v="UK"/>
    <n v="2021"/>
    <n v="9"/>
    <n v="10"/>
    <n v="9"/>
    <n v="53"/>
    <s v="Normal"/>
    <s v="No"/>
    <s v="Standard"/>
    <s v="Morning"/>
    <x v="1"/>
    <n v="1.9444444444444444"/>
  </r>
  <r>
    <x v="322"/>
    <s v="Captivated by the serenity of a tranquil garden in full bloom."/>
    <s v="Serenity"/>
    <d v="2018-05-12T14:20:00"/>
    <x v="2"/>
    <s v=" #Serenity #TranquilGarden                "/>
    <n v="22"/>
    <n v="45"/>
    <s v="Canada"/>
    <n v="2018"/>
    <n v="5"/>
    <n v="12"/>
    <n v="14"/>
    <n v="67"/>
    <s v="Popular"/>
    <s v="No"/>
    <s v="Wide Reach"/>
    <s v="Afternoon"/>
    <x v="0"/>
    <n v="2.0454545454545454"/>
  </r>
  <r>
    <x v="323"/>
    <s v="Anticipation for an upcoming adventure in an exotic destination."/>
    <s v="Anticipation"/>
    <d v="2022-07-25T10:00:00"/>
    <x v="0"/>
    <s v=" #Anticipation #AdventureAwaits           "/>
    <n v="40"/>
    <n v="80"/>
    <s v="India"/>
    <n v="2022"/>
    <n v="7"/>
    <n v="25"/>
    <n v="10"/>
    <n v="120"/>
    <s v="Popular"/>
    <s v="Yes"/>
    <s v="Wide Reach"/>
    <s v="Morning"/>
    <x v="3"/>
    <n v="2"/>
  </r>
  <r>
    <x v="128"/>
    <s v="Reflecting on personal growth achieved through life experiences."/>
    <s v="Reflection"/>
    <d v="2019-03-08T18:30:00"/>
    <x v="1"/>
    <s v=" #Reflection #PersonalGrowth              "/>
    <n v="35"/>
    <n v="70"/>
    <s v="USA"/>
    <n v="2019"/>
    <n v="3"/>
    <n v="8"/>
    <n v="18"/>
    <n v="105"/>
    <s v="Popular"/>
    <s v="Yes"/>
    <s v="Wide Reach"/>
    <s v="Evening"/>
    <x v="0"/>
    <n v="2"/>
  </r>
  <r>
    <x v="324"/>
    <s v="Nostalgic memories flood in while revisiting childhood favorites."/>
    <s v="Nostalgia"/>
    <d v="2017-01-28T21:15:00"/>
    <x v="2"/>
    <s v=" #Nostalgia #ChildhoodFavorites           "/>
    <n v="20"/>
    <n v="40"/>
    <s v="Australia"/>
    <n v="2017"/>
    <n v="1"/>
    <n v="28"/>
    <n v="21"/>
    <n v="60"/>
    <s v="Normal"/>
    <s v="No"/>
    <s v="Standard"/>
    <s v="Evening"/>
    <x v="2"/>
    <n v="2"/>
  </r>
  <r>
    <x v="325"/>
    <s v="Appreciation for the vibrant culture experienced during travel."/>
    <s v="Appreciation"/>
    <d v="2016-11-14T13:45:00"/>
    <x v="0"/>
    <s v=" #Appreciation #CulturalExperience        "/>
    <n v="28"/>
    <n v="55"/>
    <s v="UK"/>
    <n v="2016"/>
    <n v="11"/>
    <n v="14"/>
    <n v="13"/>
    <n v="83"/>
    <s v="Popular"/>
    <s v="Yes"/>
    <s v="Wide Reach"/>
    <s v="Afternoon"/>
    <x v="1"/>
    <n v="1.9642857142857142"/>
  </r>
  <r>
    <x v="326"/>
    <s v="Confidence soars after overcoming public speaking anxiety."/>
    <s v="Confidence"/>
    <d v="2020-04-02T17:30:00"/>
    <x v="1"/>
    <s v=" #Confidence #OvercomingAnxiety          "/>
    <n v="15"/>
    <n v="30"/>
    <s v="USA"/>
    <n v="2020"/>
    <n v="4"/>
    <n v="2"/>
    <n v="17"/>
    <n v="45"/>
    <s v="Normal"/>
    <s v="No"/>
    <s v="Standard"/>
    <s v="Afternoon"/>
    <x v="0"/>
    <n v="2"/>
  </r>
  <r>
    <x v="327"/>
    <s v="Contentment in the midst of a family gathering filled with laughter."/>
    <s v="Contentment"/>
    <d v="2023-01-15T19:00:00"/>
    <x v="2"/>
    <s v=" #Contentment #FamilyLaughter             "/>
    <n v="25"/>
    <n v="50"/>
    <s v="Canada"/>
    <n v="2023"/>
    <n v="1"/>
    <n v="15"/>
    <n v="19"/>
    <n v="75"/>
    <s v="Popular"/>
    <s v="No"/>
    <s v="Wide Reach"/>
    <s v="Evening"/>
    <x v="0"/>
    <n v="2"/>
  </r>
  <r>
    <x v="328"/>
    <s v="Enthusiasm for learning new skills and expanding knowledge."/>
    <s v="Enthusiasm"/>
    <d v="2018-08-07T12:15:00"/>
    <x v="0"/>
    <s v=" #Enthusiasm #SkillBuilding               "/>
    <n v="30"/>
    <n v="60"/>
    <s v="India"/>
    <n v="2018"/>
    <n v="8"/>
    <n v="7"/>
    <n v="12"/>
    <n v="90"/>
    <s v="Popular"/>
    <s v="Yes"/>
    <s v="Wide Reach"/>
    <s v="Afternoon"/>
    <x v="3"/>
    <n v="2"/>
  </r>
  <r>
    <x v="329"/>
    <s v="Surprise and delight at discovering a hidden gem in the city."/>
    <s v="Surprise"/>
    <d v="2019-10-18T16:45:00"/>
    <x v="1"/>
    <s v=" #Surprise #HiddenGem                      "/>
    <n v="18"/>
    <n v="35"/>
    <s v="UK"/>
    <n v="2019"/>
    <n v="10"/>
    <n v="18"/>
    <n v="16"/>
    <n v="53"/>
    <s v="Normal"/>
    <s v="No"/>
    <s v="Standard"/>
    <s v="Afternoon"/>
    <x v="1"/>
    <n v="1.9444444444444444"/>
  </r>
  <r>
    <x v="132"/>
    <s v="A sense of accomplishment after completing a challenging workout."/>
    <s v="Accomplishment"/>
    <d v="2022-06-30T07:00:00"/>
    <x v="2"/>
    <s v=" #Accomplishment #FitnessSuccess         "/>
    <n v="22"/>
    <n v="45"/>
    <s v="Australia"/>
    <n v="2022"/>
    <n v="6"/>
    <n v="30"/>
    <n v="7"/>
    <n v="67"/>
    <s v="Popular"/>
    <s v="No"/>
    <s v="Wide Reach"/>
    <s v="Morning"/>
    <x v="2"/>
    <n v="2.0454545454545454"/>
  </r>
  <r>
    <x v="330"/>
    <s v="Wonderment at the beauty of a double rainbow after the rain."/>
    <s v="Wonderment"/>
    <d v="2017-06-12T18:20:00"/>
    <x v="0"/>
    <s v=" #Wonderment #DoubleRainbow               "/>
    <n v="35"/>
    <n v="70"/>
    <s v="USA"/>
    <n v="2017"/>
    <n v="6"/>
    <n v="12"/>
    <n v="18"/>
    <n v="105"/>
    <s v="Popular"/>
    <s v="Yes"/>
    <s v="Wide Reach"/>
    <s v="Evening"/>
    <x v="0"/>
    <n v="2"/>
  </r>
  <r>
    <x v="331"/>
    <s v="Optimism for a bright future amidst challenging times."/>
    <s v="Optimism"/>
    <d v="2021-07-05T09:30:00"/>
    <x v="1"/>
    <s v=" #Optimism #BrightFuture                  "/>
    <n v="20"/>
    <n v="40"/>
    <s v="Canada"/>
    <n v="2021"/>
    <n v="7"/>
    <n v="5"/>
    <n v="9"/>
    <n v="60"/>
    <s v="Normal"/>
    <s v="No"/>
    <s v="Standard"/>
    <s v="Morning"/>
    <x v="0"/>
    <n v="2"/>
  </r>
  <r>
    <x v="332"/>
    <s v="Pride in achieving a personal milestone in career progression."/>
    <s v="Pride"/>
    <d v="2016-04-15T14:50:00"/>
    <x v="2"/>
    <s v=" #Pride #CareerMilestone                  "/>
    <n v="28"/>
    <n v="55"/>
    <s v="UK"/>
    <n v="2016"/>
    <n v="4"/>
    <n v="15"/>
    <n v="14"/>
    <n v="83"/>
    <s v="Popular"/>
    <s v="Yes"/>
    <s v="Wide Reach"/>
    <s v="Afternoon"/>
    <x v="1"/>
    <n v="1.9642857142857142"/>
  </r>
  <r>
    <x v="333"/>
    <s v="Happiness blooms like flowers in a garden on a sunny day."/>
    <s v="Happiness"/>
    <d v="2020-02-10T11:15:00"/>
    <x v="0"/>
    <s v=" #Happiness #SunnyDay                      "/>
    <n v="15"/>
    <n v="30"/>
    <s v="India"/>
    <n v="2020"/>
    <n v="2"/>
    <n v="10"/>
    <n v="11"/>
    <n v="45"/>
    <s v="Normal"/>
    <s v="No"/>
    <s v="Standard"/>
    <s v="Morning"/>
    <x v="3"/>
    <n v="2"/>
  </r>
  <r>
    <x v="20"/>
    <s v="Elation over discovering a rare book in a quaint bookstore."/>
    <s v="Elation"/>
    <d v="2018-09-22T16:30:00"/>
    <x v="1"/>
    <s v=" #Elation #RareBookDiscovery              "/>
    <n v="40"/>
    <n v="80"/>
    <s v="USA"/>
    <n v="2018"/>
    <n v="9"/>
    <n v="22"/>
    <n v="16"/>
    <n v="120"/>
    <s v="Popular"/>
    <s v="Yes"/>
    <s v="Wide Reach"/>
    <s v="Afternoon"/>
    <x v="0"/>
    <n v="2"/>
  </r>
  <r>
    <x v="334"/>
    <s v="Curiosity piqued by the mysteries of an ancient archaeological site."/>
    <s v="Curiosity"/>
    <d v="2015-11-08T10:00:00"/>
    <x v="2"/>
    <s v=" #Curiosity #AncientMysteries            "/>
    <n v="18"/>
    <n v="35"/>
    <s v="Australia"/>
    <n v="2015"/>
    <n v="11"/>
    <n v="8"/>
    <n v="10"/>
    <n v="53"/>
    <s v="Normal"/>
    <s v="No"/>
    <s v="Standard"/>
    <s v="Morning"/>
    <x v="2"/>
    <n v="1.9444444444444444"/>
  </r>
  <r>
    <x v="335"/>
    <s v="Mesmerized by the cosmic dance of fireflies on a moonlit night."/>
    <s v="Enchantment"/>
    <d v="2022-08-10T22:00:00"/>
    <x v="1"/>
    <s v=" #Enchantment #CosmicFireflies             "/>
    <n v="25"/>
    <n v="50"/>
    <s v="Brazil"/>
    <n v="2022"/>
    <n v="8"/>
    <n v="10"/>
    <n v="22"/>
    <n v="75"/>
    <s v="Popular"/>
    <s v="No"/>
    <s v="Wide Reach"/>
    <s v="Evening"/>
    <x v="4"/>
    <n v="2"/>
  </r>
  <r>
    <x v="336"/>
    <s v="Intrigued by the symphony of colors in an abstract art exhibition."/>
    <s v="Intrigue"/>
    <d v="2019-04-05T17:30:00"/>
    <x v="0"/>
    <s v=" #Intrigue #AbstractArt                   "/>
    <n v="18"/>
    <n v="35"/>
    <s v="France"/>
    <n v="2019"/>
    <n v="4"/>
    <n v="5"/>
    <n v="17"/>
    <n v="53"/>
    <s v="Normal"/>
    <s v="No"/>
    <s v="Standard"/>
    <s v="Afternoon"/>
    <x v="1"/>
    <n v="1.9444444444444444"/>
  </r>
  <r>
    <x v="337"/>
    <s v="Giggles and joy echo in the air during a children's playdate."/>
    <s v="PlayfulJoy"/>
    <d v="2020-12-15T15:45:00"/>
    <x v="2"/>
    <s v=" #PlayfulJoy #ChildrensPlaydate           "/>
    <n v="22"/>
    <n v="45"/>
    <s v="Japan"/>
    <n v="2020"/>
    <n v="12"/>
    <n v="15"/>
    <n v="15"/>
    <n v="67"/>
    <s v="Popular"/>
    <s v="No"/>
    <s v="Wide Reach"/>
    <s v="Afternoon"/>
    <x v="3"/>
    <n v="2.0454545454545454"/>
  </r>
  <r>
    <x v="338"/>
    <s v="Enveloped in serenity while practicing mindfulness by the lake."/>
    <s v="Mindfulness"/>
    <d v="2017-10-20T08:15:00"/>
    <x v="1"/>
    <s v=" #Mindfulness #LakeTranquility            "/>
    <n v="35"/>
    <n v="70"/>
    <s v="Canada"/>
    <n v="2017"/>
    <n v="10"/>
    <n v="20"/>
    <n v="8"/>
    <n v="105"/>
    <s v="Popular"/>
    <s v="Yes"/>
    <s v="Wide Reach"/>
    <s v="Morning"/>
    <x v="0"/>
    <n v="2"/>
  </r>
  <r>
    <x v="339"/>
    <s v="Chasing dreams like a kite soaring high in the vast open sky."/>
    <s v="DreamChaser"/>
    <d v="2021-02-28T13:00:00"/>
    <x v="0"/>
    <s v=" #DreamChaser #SkyHighDreams              "/>
    <n v="30"/>
    <n v="60"/>
    <s v="Australia"/>
    <n v="2021"/>
    <n v="2"/>
    <n v="28"/>
    <n v="13"/>
    <n v="90"/>
    <s v="Popular"/>
    <s v="Yes"/>
    <s v="Wide Reach"/>
    <s v="Afternoon"/>
    <x v="2"/>
    <n v="2"/>
  </r>
  <r>
    <x v="340"/>
    <s v="Spellbound by the elegance of a ballroom dance under crystal chandeliers."/>
    <s v="Elegance"/>
    <d v="2018-06-12T20:30:00"/>
    <x v="2"/>
    <s v=" #Elegance #BallroomDance                "/>
    <n v="28"/>
    <n v="55"/>
    <s v="UK"/>
    <n v="2018"/>
    <n v="6"/>
    <n v="12"/>
    <n v="20"/>
    <n v="83"/>
    <s v="Popular"/>
    <s v="Yes"/>
    <s v="Wide Reach"/>
    <s v="Evening"/>
    <x v="1"/>
    <n v="1.9642857142857142"/>
  </r>
  <r>
    <x v="341"/>
    <s v="Whimsical delight in a world of fairy tales and magical creatures."/>
    <s v="Whimsy"/>
    <d v="2016-03-08T14:20:00"/>
    <x v="1"/>
    <s v=" #Whimsy #MagicalWorld                    "/>
    <n v="20"/>
    <n v="40"/>
    <s v="USA"/>
    <n v="2016"/>
    <n v="3"/>
    <n v="8"/>
    <n v="14"/>
    <n v="60"/>
    <s v="Normal"/>
    <s v="No"/>
    <s v="Standard"/>
    <s v="Afternoon"/>
    <x v="0"/>
    <n v="2"/>
  </r>
  <r>
    <x v="342"/>
    <s v="Pensive contemplation amid the ancient ruins of a forgotten civilization."/>
    <s v="Pensive"/>
    <d v="2023-04-18T17:10:00"/>
    <x v="0"/>
    <s v=" #Pensive #AncientCivilization           "/>
    <n v="18"/>
    <n v="35"/>
    <s v="Greece"/>
    <n v="2023"/>
    <n v="4"/>
    <n v="18"/>
    <n v="17"/>
    <n v="53"/>
    <s v="Normal"/>
    <s v="No"/>
    <s v="Standard"/>
    <s v="Afternoon"/>
    <x v="1"/>
    <n v="1.9444444444444444"/>
  </r>
  <r>
    <x v="343"/>
    <s v="Embracing the thrill of speed on a rollercoaster's exhilarating twists."/>
    <s v="Thrill"/>
    <d v="2020-07-25T12:45:00"/>
    <x v="2"/>
    <s v=" #Thrill #RollercoasterAdventure        "/>
    <n v="22"/>
    <n v="45"/>
    <s v="Germany"/>
    <n v="2020"/>
    <n v="7"/>
    <n v="25"/>
    <n v="12"/>
    <n v="67"/>
    <s v="Popular"/>
    <s v="No"/>
    <s v="Wide Reach"/>
    <s v="Afternoon"/>
    <x v="1"/>
    <n v="2.0454545454545454"/>
  </r>
  <r>
    <x v="344"/>
    <s v="Harmony resonates as musicians play a melody of unity and togetherness."/>
    <s v="Harmony"/>
    <d v="2019-11-30T19:30:00"/>
    <x v="1"/>
    <s v=" #Harmony #MusicalUnity                   "/>
    <n v="35"/>
    <n v="70"/>
    <s v="Sweden"/>
    <n v="2019"/>
    <n v="11"/>
    <n v="30"/>
    <n v="19"/>
    <n v="105"/>
    <s v="Popular"/>
    <s v="Yes"/>
    <s v="Wide Reach"/>
    <s v="Evening"/>
    <x v="1"/>
    <n v="2"/>
  </r>
  <r>
    <x v="345"/>
    <s v="A burst of creativity in the quiet solitude of an artist's studio."/>
    <s v="Creativity"/>
    <d v="2015-09-01T16:00:00"/>
    <x v="0"/>
    <s v=" #Creativity #ArtistsHaven               "/>
    <n v="15"/>
    <n v="30"/>
    <s v="Italy"/>
    <n v="2015"/>
    <n v="9"/>
    <n v="1"/>
    <n v="16"/>
    <n v="45"/>
    <s v="Normal"/>
    <s v="No"/>
    <s v="Standard"/>
    <s v="Afternoon"/>
    <x v="1"/>
    <n v="2"/>
  </r>
  <r>
    <x v="346"/>
    <s v="Radiant joy akin to blooming flowers on a sun-kissed spring morning."/>
    <s v="Radiance"/>
    <d v="2022-05-05T10:15:00"/>
    <x v="2"/>
    <s v=" #Radiance #SpringBlooms                 "/>
    <n v="25"/>
    <n v="50"/>
    <s v="Netherlands"/>
    <n v="2022"/>
    <n v="5"/>
    <n v="5"/>
    <n v="10"/>
    <n v="75"/>
    <s v="Popular"/>
    <s v="No"/>
    <s v="Wide Reach"/>
    <s v="Morning"/>
    <x v="1"/>
    <n v="2"/>
  </r>
  <r>
    <x v="347"/>
    <s v="A sense of wonder at the vastness of the cosmos on a stargazing night."/>
    <s v="Wonder"/>
    <d v="2018-07-08T23:00:00"/>
    <x v="1"/>
    <s v=" #Wonder #StargazingAdventure            "/>
    <n v="40"/>
    <n v="80"/>
    <s v="South Africa"/>
    <n v="2018"/>
    <n v="7"/>
    <n v="8"/>
    <n v="23"/>
    <n v="120"/>
    <s v="Popular"/>
    <s v="Yes"/>
    <s v="Wide Reach"/>
    <s v="Evening"/>
    <x v="5"/>
    <n v="2"/>
  </r>
  <r>
    <x v="348"/>
    <s v="Rejuvenated by the salty breeze and the sound of waves at the seaside."/>
    <s v="Rejuvenation"/>
    <d v="2021-09-20T14:30:00"/>
    <x v="0"/>
    <s v=" #Rejuvenation #SeasideEscape            "/>
    <n v="18"/>
    <n v="35"/>
    <s v="Spain"/>
    <n v="2021"/>
    <n v="9"/>
    <n v="20"/>
    <n v="14"/>
    <n v="53"/>
    <s v="Normal"/>
    <s v="No"/>
    <s v="Standard"/>
    <s v="Afternoon"/>
    <x v="1"/>
    <n v="1.9444444444444444"/>
  </r>
  <r>
    <x v="223"/>
    <s v="Whispers of inspiration from the rustling leaves in a serene forest."/>
    <s v="Inspiration"/>
    <d v="2016-11-15T11:45:00"/>
    <x v="2"/>
    <s v=" #Inspiration #ForestWhispers            "/>
    <n v="28"/>
    <n v="55"/>
    <s v="Portugal"/>
    <n v="2016"/>
    <n v="11"/>
    <n v="15"/>
    <n v="11"/>
    <n v="83"/>
    <s v="Popular"/>
    <s v="Yes"/>
    <s v="Wide Reach"/>
    <s v="Morning"/>
    <x v="1"/>
    <n v="1.9642857142857142"/>
  </r>
  <r>
    <x v="130"/>
    <s v="Savoring the warmth of a cup of cocoa on a chilly winter evening."/>
    <s v="Coziness"/>
    <d v="2020-01-12T18:00:00"/>
    <x v="1"/>
    <s v=" #Coziness #WarmWinterEvening           "/>
    <n v="30"/>
    <n v="60"/>
    <s v="Switzerland"/>
    <n v="2020"/>
    <n v="1"/>
    <n v="12"/>
    <n v="18"/>
    <n v="90"/>
    <s v="Popular"/>
    <s v="Yes"/>
    <s v="Wide Reach"/>
    <s v="Evening"/>
    <x v="1"/>
    <n v="2"/>
  </r>
  <r>
    <x v="349"/>
    <s v="Heartfelt gratitude for the laughter shared during a family reunion."/>
    <s v="Gratitude"/>
    <d v="2017-12-28T19:15:00"/>
    <x v="2"/>
    <s v=" #Gratitude #FamilyLaughter              "/>
    <n v="22"/>
    <n v="45"/>
    <s v="Austria"/>
    <n v="2017"/>
    <n v="12"/>
    <n v="28"/>
    <n v="19"/>
    <n v="67"/>
    <s v="Popular"/>
    <s v="No"/>
    <s v="Wide Reach"/>
    <s v="Evening"/>
    <x v="1"/>
    <n v="2.0454545454545454"/>
  </r>
  <r>
    <x v="350"/>
    <s v="Embarking on a culinary adventure, savoring exotic flavors around the world."/>
    <s v="Adventure"/>
    <d v="2019-03-02T20:20:00"/>
    <x v="0"/>
    <s v=" #Adventure #CulinaryJourney             "/>
    <n v="35"/>
    <n v="70"/>
    <s v="Belgium"/>
    <n v="2019"/>
    <n v="3"/>
    <n v="2"/>
    <n v="20"/>
    <n v="105"/>
    <s v="Popular"/>
    <s v="Yes"/>
    <s v="Wide Reach"/>
    <s v="Evening"/>
    <x v="1"/>
    <n v="2"/>
  </r>
  <r>
    <x v="351"/>
    <s v="Euphoria floods in as the final puzzle piece clicks into place."/>
    <s v="Euphoria"/>
    <d v="2022-06-08T15:30:00"/>
    <x v="1"/>
    <s v=" #Euphoria #PuzzleCompletion            "/>
    <n v="20"/>
    <n v="40"/>
    <s v="Denmark"/>
    <n v="2022"/>
    <n v="6"/>
    <n v="8"/>
    <n v="15"/>
    <n v="60"/>
    <s v="Normal"/>
    <s v="No"/>
    <s v="Standard"/>
    <s v="Afternoon"/>
    <x v="1"/>
    <n v="2"/>
  </r>
  <r>
    <x v="352"/>
    <s v="Awe-inspired by the grandeur of an ancient cathedral's intricate architecture."/>
    <s v="Awe"/>
    <d v="2018-08-18T14:45:00"/>
    <x v="2"/>
    <s v=" #Awe #ArchitecturalGrandeur            "/>
    <n v="18"/>
    <n v="35"/>
    <s v="Czech Republic"/>
    <n v="2018"/>
    <n v="8"/>
    <n v="18"/>
    <n v="14"/>
    <n v="53"/>
    <s v="Normal"/>
    <s v="No"/>
    <s v="Standard"/>
    <s v="Afternoon"/>
    <x v="1"/>
    <n v="1.9444444444444444"/>
  </r>
  <r>
    <x v="335"/>
    <s v="Captivated by the ethereal beauty of a field filled with fireflies."/>
    <s v="Enchantment"/>
    <d v="2022-08-10T22:00:00"/>
    <x v="1"/>
    <s v=" #Enchantment #FireflyField              "/>
    <n v="25"/>
    <n v="50"/>
    <s v="Brazil"/>
    <n v="2022"/>
    <n v="8"/>
    <n v="10"/>
    <n v="22"/>
    <n v="75"/>
    <s v="Popular"/>
    <s v="No"/>
    <s v="Wide Reach"/>
    <s v="Evening"/>
    <x v="4"/>
    <n v="2"/>
  </r>
  <r>
    <x v="36"/>
    <s v="Immersed in the enchanting melodies of a street musician's violin."/>
    <s v="Melodic"/>
    <d v="2019-04-05T17:30:00"/>
    <x v="0"/>
    <s v=" #Melodic #StreetMusic                   "/>
    <n v="18"/>
    <n v="35"/>
    <s v="France"/>
    <n v="2019"/>
    <n v="4"/>
    <n v="5"/>
    <n v="17"/>
    <n v="53"/>
    <s v="Normal"/>
    <s v="No"/>
    <s v="Standard"/>
    <s v="Afternoon"/>
    <x v="1"/>
    <n v="1.9444444444444444"/>
  </r>
  <r>
    <x v="353"/>
    <s v="Joyful laughter resonates through a lively summer carnival."/>
    <s v="FestiveJoy"/>
    <d v="2020-12-15T15:45:00"/>
    <x v="2"/>
    <s v=" #FestiveJoy #SummerCarnival             "/>
    <n v="22"/>
    <n v="45"/>
    <s v="Japan"/>
    <n v="2020"/>
    <n v="12"/>
    <n v="15"/>
    <n v="15"/>
    <n v="67"/>
    <s v="Popular"/>
    <s v="No"/>
    <s v="Wide Reach"/>
    <s v="Afternoon"/>
    <x v="3"/>
    <n v="2.0454545454545454"/>
  </r>
  <r>
    <x v="354"/>
    <s v="Exploring the universe within during a mindful meditation session."/>
    <s v="InnerJourney"/>
    <d v="2017-10-20T08:15:00"/>
    <x v="1"/>
    <s v=" #InnerJourney #MeditationBliss          "/>
    <n v="35"/>
    <n v="70"/>
    <s v="Canada"/>
    <n v="2017"/>
    <n v="10"/>
    <n v="20"/>
    <n v="8"/>
    <n v="105"/>
    <s v="Popular"/>
    <s v="Yes"/>
    <s v="Wide Reach"/>
    <s v="Morning"/>
    <x v="0"/>
    <n v="2"/>
  </r>
  <r>
    <x v="355"/>
    <s v="Soaring like a free spirit on the winds of a coastal cliff."/>
    <s v="Freedom"/>
    <d v="2021-02-28T13:00:00"/>
    <x v="0"/>
    <s v=" #Freedom #CoastalAdventure              "/>
    <n v="30"/>
    <n v="60"/>
    <s v="Australia"/>
    <n v="2021"/>
    <n v="2"/>
    <n v="28"/>
    <n v="13"/>
    <n v="90"/>
    <s v="Popular"/>
    <s v="Yes"/>
    <s v="Wide Reach"/>
    <s v="Afternoon"/>
    <x v="2"/>
    <n v="2"/>
  </r>
  <r>
    <x v="356"/>
    <s v="Dazzled by the elegance of a masquerade ball's dazzling costumes."/>
    <s v="Dazzle"/>
    <d v="2018-06-12T20:30:00"/>
    <x v="2"/>
    <s v=" #Dazzle #MasqueradeElegance            "/>
    <n v="28"/>
    <n v="55"/>
    <s v="UK"/>
    <n v="2018"/>
    <n v="6"/>
    <n v="12"/>
    <n v="20"/>
    <n v="83"/>
    <s v="Popular"/>
    <s v="Yes"/>
    <s v="Wide Reach"/>
    <s v="Evening"/>
    <x v="1"/>
    <n v="1.9642857142857142"/>
  </r>
  <r>
    <x v="357"/>
    <s v="Whimsical delight in a world of whimsical fairy tales."/>
    <s v="Whimsy"/>
    <d v="2016-03-08T14:20:00"/>
    <x v="1"/>
    <s v=" #Whimsy #FairyTaleMagic                 "/>
    <n v="20"/>
    <n v="40"/>
    <s v="USA"/>
    <n v="2016"/>
    <n v="3"/>
    <n v="8"/>
    <n v="14"/>
    <n v="60"/>
    <s v="Normal"/>
    <s v="No"/>
    <s v="Standard"/>
    <s v="Afternoon"/>
    <x v="0"/>
    <n v="2"/>
  </r>
  <r>
    <x v="342"/>
    <s v="Reflective contemplation amid the ruins of a forgotten era."/>
    <s v="Reflection"/>
    <d v="2023-04-18T17:10:00"/>
    <x v="0"/>
    <s v=" #Reflection #ForgottenEra               "/>
    <n v="18"/>
    <n v="35"/>
    <s v="Greece"/>
    <n v="2023"/>
    <n v="4"/>
    <n v="18"/>
    <n v="17"/>
    <n v="53"/>
    <s v="Normal"/>
    <s v="No"/>
    <s v="Standard"/>
    <s v="Afternoon"/>
    <x v="1"/>
    <n v="1.9444444444444444"/>
  </r>
  <r>
    <x v="358"/>
    <s v="Riding the adrenaline rush on a rollercoaster's wild twists."/>
    <s v="Adrenaline"/>
    <d v="2020-07-25T12:45:00"/>
    <x v="2"/>
    <s v=" #Adrenaline #RollercoasterThrills      "/>
    <n v="22"/>
    <n v="45"/>
    <s v="Germany"/>
    <n v="2020"/>
    <n v="7"/>
    <n v="25"/>
    <n v="12"/>
    <n v="67"/>
    <s v="Popular"/>
    <s v="No"/>
    <s v="Wide Reach"/>
    <s v="Afternoon"/>
    <x v="1"/>
    <n v="2.0454545454545454"/>
  </r>
  <r>
    <x v="344"/>
    <s v="Harmony resonates as musicians play a symphony of unity."/>
    <s v="Harmony"/>
    <d v="2019-11-30T19:30:00"/>
    <x v="1"/>
    <s v=" #Harmony #MusicalUnity                   "/>
    <n v="35"/>
    <n v="70"/>
    <s v="Sweden"/>
    <n v="2019"/>
    <n v="11"/>
    <n v="30"/>
    <n v="19"/>
    <n v="105"/>
    <s v="Popular"/>
    <s v="Yes"/>
    <s v="Wide Reach"/>
    <s v="Evening"/>
    <x v="1"/>
    <n v="2"/>
  </r>
  <r>
    <x v="345"/>
    <s v="A burst of artistic creativity in the quietude of an artist's studio."/>
    <s v="ArtisticBurst"/>
    <d v="2015-09-01T16:00:00"/>
    <x v="0"/>
    <s v=" #ArtisticBurst #StudioCreativity       "/>
    <n v="15"/>
    <n v="30"/>
    <s v="Italy"/>
    <n v="2015"/>
    <n v="9"/>
    <n v="1"/>
    <n v="16"/>
    <n v="45"/>
    <s v="Normal"/>
    <s v="No"/>
    <s v="Standard"/>
    <s v="Afternoon"/>
    <x v="1"/>
    <n v="2"/>
  </r>
  <r>
    <x v="346"/>
    <s v="Radiant joy akin to blossoming flowers on a sunlit spring morning."/>
    <s v="Radiance"/>
    <d v="2022-05-05T10:15:00"/>
    <x v="2"/>
    <s v=" #Radiance #SpringBlooms                 "/>
    <n v="25"/>
    <n v="50"/>
    <s v="Netherlands"/>
    <n v="2022"/>
    <n v="5"/>
    <n v="5"/>
    <n v="10"/>
    <n v="75"/>
    <s v="Popular"/>
    <s v="No"/>
    <s v="Wide Reach"/>
    <s v="Morning"/>
    <x v="1"/>
    <n v="2"/>
  </r>
  <r>
    <x v="347"/>
    <s v="Awe-inspired by the vastness of the cosmos on a stargazing night."/>
    <s v="Wonder"/>
    <d v="2018-07-08T23:00:00"/>
    <x v="1"/>
    <s v=" #Wonder #StargazingAdventure            "/>
    <n v="40"/>
    <n v="80"/>
    <s v="South Africa"/>
    <n v="2018"/>
    <n v="7"/>
    <n v="8"/>
    <n v="23"/>
    <n v="120"/>
    <s v="Popular"/>
    <s v="Yes"/>
    <s v="Wide Reach"/>
    <s v="Evening"/>
    <x v="5"/>
    <n v="2"/>
  </r>
  <r>
    <x v="348"/>
    <s v="Rejuvenated by the salty breeze and the sound of waves at the seaside."/>
    <s v="Rejuvenation"/>
    <d v="2021-09-20T14:30:00"/>
    <x v="0"/>
    <s v=" #Rejuvenation #SeasideEscape            "/>
    <n v="18"/>
    <n v="35"/>
    <s v="Spain"/>
    <n v="2021"/>
    <n v="9"/>
    <n v="20"/>
    <n v="14"/>
    <n v="53"/>
    <s v="Normal"/>
    <s v="No"/>
    <s v="Standard"/>
    <s v="Afternoon"/>
    <x v="1"/>
    <n v="1.9444444444444444"/>
  </r>
  <r>
    <x v="223"/>
    <s v="Whispers of inspiration from the rustling leaves in a serene forest."/>
    <s v="Inspiration"/>
    <d v="2016-11-15T11:45:00"/>
    <x v="2"/>
    <s v=" #Inspiration #ForestWhispers            "/>
    <n v="28"/>
    <n v="55"/>
    <s v="Portugal"/>
    <n v="2016"/>
    <n v="11"/>
    <n v="15"/>
    <n v="11"/>
    <n v="83"/>
    <s v="Popular"/>
    <s v="Yes"/>
    <s v="Wide Reach"/>
    <s v="Morning"/>
    <x v="1"/>
    <n v="1.9642857142857142"/>
  </r>
  <r>
    <x v="130"/>
    <s v="Savoring the warmth of a cup of cocoa on a chilly winter evening."/>
    <s v="Coziness"/>
    <d v="2020-01-12T18:00:00"/>
    <x v="1"/>
    <s v=" #Coziness #WarmWinterEvening           "/>
    <n v="30"/>
    <n v="60"/>
    <s v="Switzerland"/>
    <n v="2020"/>
    <n v="1"/>
    <n v="12"/>
    <n v="18"/>
    <n v="90"/>
    <s v="Popular"/>
    <s v="Yes"/>
    <s v="Wide Reach"/>
    <s v="Evening"/>
    <x v="1"/>
    <n v="2"/>
  </r>
  <r>
    <x v="349"/>
    <s v="Heartfelt gratitude for the laughter shared during a family reunion."/>
    <s v="Gratitude"/>
    <d v="2017-12-28T19:15:00"/>
    <x v="2"/>
    <s v=" #Gratitude #FamilyLaughter              "/>
    <n v="22"/>
    <n v="45"/>
    <s v="Austria"/>
    <n v="2017"/>
    <n v="12"/>
    <n v="28"/>
    <n v="19"/>
    <n v="67"/>
    <s v="Popular"/>
    <s v="No"/>
    <s v="Wide Reach"/>
    <s v="Evening"/>
    <x v="1"/>
    <n v="2.0454545454545454"/>
  </r>
  <r>
    <x v="350"/>
    <s v="Embarking on a culinary odyssey, savoring flavors around the world."/>
    <s v="CulinaryOdyssey"/>
    <d v="2019-03-02T20:20:00"/>
    <x v="0"/>
    <s v=" #CulinaryOdyssey #FlavorsAroundTheWorld "/>
    <n v="35"/>
    <n v="70"/>
    <s v="Belgium"/>
    <n v="2019"/>
    <n v="3"/>
    <n v="2"/>
    <n v="20"/>
    <n v="105"/>
    <s v="Popular"/>
    <s v="Yes"/>
    <s v="Wide Reach"/>
    <s v="Evening"/>
    <x v="1"/>
    <n v="2"/>
  </r>
  <r>
    <x v="351"/>
    <s v="Euphoria floods in as the final puzzle piece fits perfectly."/>
    <s v="Euphoria"/>
    <d v="2022-06-08T15:30:00"/>
    <x v="1"/>
    <s v=" #Euphoria #PerfectPuzzle               "/>
    <n v="20"/>
    <n v="40"/>
    <s v="Denmark"/>
    <n v="2022"/>
    <n v="6"/>
    <n v="8"/>
    <n v="15"/>
    <n v="60"/>
    <s v="Normal"/>
    <s v="No"/>
    <s v="Standard"/>
    <s v="Afternoon"/>
    <x v="1"/>
    <n v="2"/>
  </r>
  <r>
    <x v="352"/>
    <s v="Awe-struck by the grandeur of an ancient cathedral's intricate architecture."/>
    <s v="Awe"/>
    <d v="2018-08-18T14:45:00"/>
    <x v="2"/>
    <s v=" #Awe #ArchitecturalGrandeur            "/>
    <n v="18"/>
    <n v="35"/>
    <s v="Czech Republic"/>
    <n v="2018"/>
    <n v="8"/>
    <n v="18"/>
    <n v="14"/>
    <n v="53"/>
    <s v="Normal"/>
    <s v="No"/>
    <s v="Standard"/>
    <s v="Afternoon"/>
    <x v="1"/>
    <n v="1.9444444444444444"/>
  </r>
  <r>
    <x v="334"/>
    <s v="Curiosity awakened by the mysteries of an ancient archaeological site."/>
    <s v="Curiosity"/>
    <d v="2015-11-08T10:00:00"/>
    <x v="1"/>
    <s v=" #Curiosity #AncientMysteries          "/>
    <n v="18"/>
    <n v="35"/>
    <s v="Australia"/>
    <n v="2015"/>
    <n v="11"/>
    <n v="8"/>
    <n v="10"/>
    <n v="53"/>
    <s v="Normal"/>
    <s v="No"/>
    <s v="Standard"/>
    <s v="Morning"/>
    <x v="2"/>
    <n v="1.9444444444444444"/>
  </r>
  <r>
    <x v="359"/>
    <s v="Giddy with excitement as the first snowflakes dance from the sky."/>
    <s v="Excitement"/>
    <d v="2020-12-02T17:30:00"/>
    <x v="0"/>
    <s v=" #Excitement #SnowfallMagic             "/>
    <n v="22"/>
    <n v="45"/>
    <s v="Canada"/>
    <n v="2020"/>
    <n v="12"/>
    <n v="2"/>
    <n v="17"/>
    <n v="67"/>
    <s v="Popular"/>
    <s v="No"/>
    <s v="Wide Reach"/>
    <s v="Afternoon"/>
    <x v="0"/>
    <n v="2.0454545454545454"/>
  </r>
  <r>
    <x v="360"/>
    <s v="Contentment envelops as the aroma of freshly baked bread fills the air."/>
    <s v="Contentment"/>
    <d v="2017-06-10T12:15:00"/>
    <x v="1"/>
    <s v=" #Contentment #FreshBreadAroma          "/>
    <n v="28"/>
    <n v="55"/>
    <s v="France"/>
    <n v="2017"/>
    <n v="6"/>
    <n v="10"/>
    <n v="12"/>
    <n v="83"/>
    <s v="Popular"/>
    <s v="Yes"/>
    <s v="Wide Reach"/>
    <s v="Afternoon"/>
    <x v="1"/>
    <n v="1.9642857142857142"/>
  </r>
  <r>
    <x v="361"/>
    <s v="Inspired by the resilience of a lone tree standing tall in a storm."/>
    <s v="Resilience"/>
    <d v="2021-04-15T14:20:00"/>
    <x v="2"/>
    <s v=" #Resilience #StandingTall              "/>
    <n v="35"/>
    <n v="70"/>
    <s v="USA"/>
    <n v="2021"/>
    <n v="4"/>
    <n v="15"/>
    <n v="14"/>
    <n v="105"/>
    <s v="Popular"/>
    <s v="Yes"/>
    <s v="Wide Reach"/>
    <s v="Afternoon"/>
    <x v="0"/>
    <n v="2"/>
  </r>
  <r>
    <x v="20"/>
    <s v="Lost in the pages of a captivating novel, transported to another world."/>
    <s v="Immersion"/>
    <d v="2019-09-28T19:45:00"/>
    <x v="0"/>
    <s v=" #Immersion #CaptivatingNovel           "/>
    <n v="20"/>
    <n v="40"/>
    <s v="UK"/>
    <n v="2019"/>
    <n v="9"/>
    <n v="28"/>
    <n v="19"/>
    <n v="60"/>
    <s v="Normal"/>
    <s v="No"/>
    <s v="Standard"/>
    <s v="Evening"/>
    <x v="1"/>
    <n v="2"/>
  </r>
  <r>
    <x v="362"/>
    <s v="Drenched in nostalgia while flipping through an old family photo album."/>
    <s v="Nostalgia"/>
    <d v="2016-12-05T21:00:00"/>
    <x v="1"/>
    <s v=" #Nostalgia #FamilyPhotoAlbum           "/>
    <n v="25"/>
    <n v="50"/>
    <s v="India"/>
    <n v="2016"/>
    <n v="12"/>
    <n v="5"/>
    <n v="21"/>
    <n v="75"/>
    <s v="Popular"/>
    <s v="No"/>
    <s v="Wide Reach"/>
    <s v="Evening"/>
    <x v="3"/>
    <n v="2"/>
  </r>
  <r>
    <x v="363"/>
    <s v="Spark of inspiration ignites like a shooting star in the night sky."/>
    <s v="Spark"/>
    <d v="2018-02-10T23:30:00"/>
    <x v="2"/>
    <s v=" #Spark #InspirationIgnited             "/>
    <n v="30"/>
    <n v="60"/>
    <s v="Australia"/>
    <n v="2018"/>
    <n v="2"/>
    <n v="10"/>
    <n v="23"/>
    <n v="90"/>
    <s v="Popular"/>
    <s v="Yes"/>
    <s v="Wide Reach"/>
    <s v="Evening"/>
    <x v="2"/>
    <n v="2"/>
  </r>
  <r>
    <x v="364"/>
    <s v="Imbued with gratitude for the simple pleasure of a warm cup of tea."/>
    <s v="Gratitude"/>
    <d v="2023-02-15T08:30:00"/>
    <x v="0"/>
    <s v=" #Gratitude #WarmTea                    "/>
    <n v="18"/>
    <n v="35"/>
    <s v="Japan"/>
    <n v="2023"/>
    <n v="2"/>
    <n v="15"/>
    <n v="8"/>
    <n v="53"/>
    <s v="Normal"/>
    <s v="No"/>
    <s v="Standard"/>
    <s v="Morning"/>
    <x v="3"/>
    <n v="1.9444444444444444"/>
  </r>
  <r>
    <x v="365"/>
    <s v="Marveling at the kaleidoscope of colors in a vibrant street market."/>
    <s v="Marvel"/>
    <d v="2015-08-22T15:00:00"/>
    <x v="1"/>
    <s v=" #Marvel #ColorfulStreetMarket          "/>
    <n v="22"/>
    <n v="45"/>
    <s v="Brazil"/>
    <n v="2015"/>
    <n v="8"/>
    <n v="22"/>
    <n v="15"/>
    <n v="67"/>
    <s v="Popular"/>
    <s v="No"/>
    <s v="Wide Reach"/>
    <s v="Afternoon"/>
    <x v="4"/>
    <n v="2.0454545454545454"/>
  </r>
  <r>
    <x v="366"/>
    <s v="Awash with serenity as the sun sets over a tranquil lakeside retreat."/>
    <s v="Serenity"/>
    <d v="2020-11-20T18:45:00"/>
    <x v="2"/>
    <s v=" #Serenity #TranquilSunset              "/>
    <n v="28"/>
    <n v="55"/>
    <s v="Germany"/>
    <n v="2020"/>
    <n v="11"/>
    <n v="20"/>
    <n v="18"/>
    <n v="83"/>
    <s v="Popular"/>
    <s v="Yes"/>
    <s v="Wide Reach"/>
    <s v="Evening"/>
    <x v="1"/>
    <n v="1.9642857142857142"/>
  </r>
  <r>
    <x v="367"/>
    <s v="Drowning in sorrow as memories of lost love resurface."/>
    <s v="Heartbreak"/>
    <d v="2019-08-05T21:00:00"/>
    <x v="1"/>
    <s v=" #Heartbreak #LostLove                    "/>
    <n v="15"/>
    <n v="30"/>
    <s v="USA"/>
    <n v="2019"/>
    <n v="8"/>
    <n v="5"/>
    <n v="21"/>
    <n v="45"/>
    <s v="Normal"/>
    <s v="No"/>
    <s v="Standard"/>
    <s v="Evening"/>
    <x v="0"/>
    <n v="2"/>
  </r>
  <r>
    <x v="368"/>
    <s v="Numbness sets in as the weight of loneliness grows heavier."/>
    <s v="Loneliness"/>
    <d v="2021-02-12T16:45:00"/>
    <x v="0"/>
    <s v=" #Loneliness #HeavyHeart                  "/>
    <n v="18"/>
    <n v="35"/>
    <s v="Canada"/>
    <n v="2021"/>
    <n v="2"/>
    <n v="12"/>
    <n v="16"/>
    <n v="53"/>
    <s v="Normal"/>
    <s v="No"/>
    <s v="Standard"/>
    <s v="Afternoon"/>
    <x v="0"/>
    <n v="1.9444444444444444"/>
  </r>
  <r>
    <x v="369"/>
    <s v="Tears fall like raindrops, mourning the end of a cherished friendship."/>
    <s v="Grief"/>
    <d v="2020-11-28T14:20:00"/>
    <x v="2"/>
    <s v=" #Grief #LostFriendship                  "/>
    <n v="22"/>
    <n v="45"/>
    <s v="UK"/>
    <n v="2020"/>
    <n v="11"/>
    <n v="28"/>
    <n v="14"/>
    <n v="67"/>
    <s v="Popular"/>
    <s v="No"/>
    <s v="Wide Reach"/>
    <s v="Afternoon"/>
    <x v="1"/>
    <n v="2.0454545454545454"/>
  </r>
  <r>
    <x v="370"/>
    <s v="Despair clouds the mind, feeling adrift in an endless sea of darkness."/>
    <s v="Despair"/>
    <d v="2016-05-15T22:30:00"/>
    <x v="1"/>
    <s v=" #Despair #EndlessDarkness               "/>
    <n v="28"/>
    <n v="55"/>
    <s v="Australia"/>
    <n v="2016"/>
    <n v="5"/>
    <n v="15"/>
    <n v="22"/>
    <n v="83"/>
    <s v="Popular"/>
    <s v="Yes"/>
    <s v="Wide Reach"/>
    <s v="Evening"/>
    <x v="2"/>
    <n v="1.9642857142857142"/>
  </r>
  <r>
    <x v="178"/>
    <s v="Shattered by betrayal, trust crumbles like fragile glass."/>
    <s v="Betrayal"/>
    <d v="2018-09-10T13:15:00"/>
    <x v="0"/>
    <s v=" #Betrayal #ShatteredTrust               "/>
    <n v="22"/>
    <n v="45"/>
    <s v="Germany"/>
    <n v="2018"/>
    <n v="9"/>
    <n v="10"/>
    <n v="13"/>
    <n v="67"/>
    <s v="Popular"/>
    <s v="No"/>
    <s v="Wide Reach"/>
    <s v="Afternoon"/>
    <x v="1"/>
    <n v="2.0454545454545454"/>
  </r>
  <r>
    <x v="371"/>
    <s v="Aching heart, the symphony of pain plays in the silence of solitude."/>
    <s v="Suffering"/>
    <d v="2022-03-20T19:30:00"/>
    <x v="2"/>
    <s v=" #Suffering #HeartacheSymphony          "/>
    <n v="25"/>
    <n v="50"/>
    <s v="Brazil"/>
    <n v="2022"/>
    <n v="3"/>
    <n v="20"/>
    <n v="19"/>
    <n v="75"/>
    <s v="Popular"/>
    <s v="No"/>
    <s v="Wide Reach"/>
    <s v="Evening"/>
    <x v="4"/>
    <n v="2"/>
  </r>
  <r>
    <x v="372"/>
    <s v="Emotional storm, a whirlwind of sadness engulfs every thought."/>
    <s v="EmotionalStorm"/>
    <d v="2017-07-18T17:45:00"/>
    <x v="1"/>
    <s v=" #EmotionalStorm #SadnessWhirlwind      "/>
    <n v="30"/>
    <n v="60"/>
    <s v="India"/>
    <n v="2017"/>
    <n v="7"/>
    <n v="18"/>
    <n v="17"/>
    <n v="90"/>
    <s v="Popular"/>
    <s v="Yes"/>
    <s v="Wide Reach"/>
    <s v="Afternoon"/>
    <x v="3"/>
    <n v="2"/>
  </r>
  <r>
    <x v="373"/>
    <s v="Haunted by regrets, the ghost of the past lingers relentlessly."/>
    <s v="Regret"/>
    <d v="2018-12-15T10:00:00"/>
    <x v="0"/>
    <s v=" #Regret #HauntedPast                    "/>
    <n v="18"/>
    <n v="35"/>
    <s v="France"/>
    <n v="2018"/>
    <n v="12"/>
    <n v="15"/>
    <n v="10"/>
    <n v="53"/>
    <s v="Normal"/>
    <s v="No"/>
    <s v="Standard"/>
    <s v="Morning"/>
    <x v="1"/>
    <n v="1.9444444444444444"/>
  </r>
  <r>
    <x v="374"/>
    <s v="Torn apart by grief, the echoes of loss reverberate through the soul."/>
    <s v="Grief"/>
    <d v="2015-06-28T21:15:00"/>
    <x v="2"/>
    <s v=" #Grief #TornApart                       "/>
    <n v="28"/>
    <n v="55"/>
    <s v="Italy"/>
    <n v="2015"/>
    <n v="6"/>
    <n v="28"/>
    <n v="21"/>
    <n v="83"/>
    <s v="Popular"/>
    <s v="Yes"/>
    <s v="Wide Reach"/>
    <s v="Evening"/>
    <x v="1"/>
    <n v="1.9642857142857142"/>
  </r>
  <r>
    <x v="375"/>
    <s v="Isolation deepens, an emotional winter where warmth is but a distant memory."/>
    <s v="Isolation"/>
    <d v="2020-04-02T14:20:00"/>
    <x v="1"/>
    <s v=" #Isolation #EmotionalWinter            "/>
    <n v="35"/>
    <n v="70"/>
    <s v="Japan"/>
    <n v="2020"/>
    <n v="4"/>
    <n v="2"/>
    <n v="14"/>
    <n v="105"/>
    <s v="Popular"/>
    <s v="Yes"/>
    <s v="Wide Reach"/>
    <s v="Afternoon"/>
    <x v="3"/>
    <n v="2"/>
  </r>
  <r>
    <x v="376"/>
    <s v="Soul-crushing disappointment, hopes shattered like fragile glass."/>
    <s v="Disappointment"/>
    <d v="2019-10-08T18:30:00"/>
    <x v="0"/>
    <s v=" #Disappointment #CrushedHopes          "/>
    <n v="20"/>
    <n v="40"/>
    <s v="Spain"/>
    <n v="2019"/>
    <n v="10"/>
    <n v="8"/>
    <n v="18"/>
    <n v="60"/>
    <s v="Normal"/>
    <s v="No"/>
    <s v="Standard"/>
    <s v="Evening"/>
    <x v="1"/>
    <n v="2"/>
  </r>
  <r>
    <x v="377"/>
    <s v="Painful echoes of a love once cherished, now lost in the abyss of time."/>
    <s v="LostLove"/>
    <d v="2016-11-22T09:45:00"/>
    <x v="2"/>
    <s v=" #LostLove #PainfulEchoes               "/>
    <n v="22"/>
    <n v="45"/>
    <s v="Netherlands"/>
    <n v="2016"/>
    <n v="11"/>
    <n v="22"/>
    <n v="9"/>
    <n v="67"/>
    <s v="Popular"/>
    <s v="No"/>
    <s v="Wide Reach"/>
    <s v="Morning"/>
    <x v="1"/>
    <n v="2.0454545454545454"/>
  </r>
  <r>
    <x v="378"/>
    <s v="Heartache deepens, a solitary journey through the abyss of despair."/>
    <s v="Despair"/>
    <d v="2022-08-18T22:00:00"/>
    <x v="1"/>
    <s v=" #Despair #AbyssOfHeartache             "/>
    <n v="40"/>
    <n v="80"/>
    <s v="South Africa"/>
    <n v="2022"/>
    <n v="8"/>
    <n v="18"/>
    <n v="22"/>
    <n v="120"/>
    <s v="Popular"/>
    <s v="Yes"/>
    <s v="Wide Reach"/>
    <s v="Evening"/>
    <x v="5"/>
    <n v="2"/>
  </r>
  <r>
    <x v="379"/>
    <s v="Melancholy lingers, a bittersweet serenade in the quietude of solitude."/>
    <s v="Melancholy"/>
    <d v="2017-03-12T23:30:00"/>
    <x v="0"/>
    <s v=" #Melancholy #QuietSerenade             "/>
    <n v="18"/>
    <n v="35"/>
    <s v="UK"/>
    <n v="2017"/>
    <n v="3"/>
    <n v="12"/>
    <n v="23"/>
    <n v="53"/>
    <s v="Normal"/>
    <s v="No"/>
    <s v="Standard"/>
    <s v="Evening"/>
    <x v="1"/>
    <n v="1.9444444444444444"/>
  </r>
  <r>
    <x v="380"/>
    <s v="Bitterness like a poison, seeping into every crevice of the wounded heart."/>
    <s v="Bitterness"/>
    <d v="2015-12-15T16:15:00"/>
    <x v="2"/>
    <s v=" #Bitterness #WoundedHeart              "/>
    <n v="25"/>
    <n v="50"/>
    <s v="Australia"/>
    <n v="2015"/>
    <n v="12"/>
    <n v="15"/>
    <n v="16"/>
    <n v="75"/>
    <s v="Popular"/>
    <s v="No"/>
    <s v="Wide Reach"/>
    <s v="Afternoon"/>
    <x v="2"/>
    <n v="2"/>
  </r>
  <r>
    <x v="381"/>
    <s v="Emotional exhaustion, the weight of the world crushing weary shoulders."/>
    <s v="Exhaustion"/>
    <d v="2021-09-05T13:30:00"/>
    <x v="1"/>
    <s v=" #Exhaustion #CrushedSpirit             "/>
    <n v="35"/>
    <n v="70"/>
    <s v="Canada"/>
    <n v="2021"/>
    <n v="9"/>
    <n v="5"/>
    <n v="13"/>
    <n v="105"/>
    <s v="Popular"/>
    <s v="Yes"/>
    <s v="Wide Reach"/>
    <s v="Afternoon"/>
    <x v="0"/>
    <n v="2"/>
  </r>
  <r>
    <x v="382"/>
    <s v="Sorrowful echoes, a symphony of pain played by the strings of loss."/>
    <s v="Sorrow"/>
    <d v="2018-05-22T20:45:00"/>
    <x v="0"/>
    <s v=" #Sorrow #SymphonyOfLoss                "/>
    <n v="18"/>
    <n v="35"/>
    <s v="Germany"/>
    <n v="2018"/>
    <n v="5"/>
    <n v="22"/>
    <n v="20"/>
    <n v="53"/>
    <s v="Normal"/>
    <s v="No"/>
    <s v="Standard"/>
    <s v="Evening"/>
    <x v="1"/>
    <n v="1.9444444444444444"/>
  </r>
  <r>
    <x v="383"/>
    <s v="Darkness descends, engulfing the soul in the shadows of despair."/>
    <s v="Darkness"/>
    <d v="2016-07-10T18:20:00"/>
    <x v="2"/>
    <s v=" #Darkness #SoulEngulfed                 "/>
    <n v="28"/>
    <n v="55"/>
    <s v="USA"/>
    <n v="2016"/>
    <n v="7"/>
    <n v="10"/>
    <n v="18"/>
    <n v="83"/>
    <s v="Popular"/>
    <s v="Yes"/>
    <s v="Wide Reach"/>
    <s v="Evening"/>
    <x v="0"/>
    <n v="1.9642857142857142"/>
  </r>
  <r>
    <x v="384"/>
    <s v="Desperation whispers, the silent plea for a glimmer of hope in the abyss."/>
    <s v="Desperation"/>
    <d v="2019-04-30T14:00:00"/>
    <x v="1"/>
    <s v=" #Desperation #GlimmerOfHope            "/>
    <n v="22"/>
    <n v="45"/>
    <s v="France"/>
    <n v="2019"/>
    <n v="4"/>
    <n v="30"/>
    <n v="14"/>
    <n v="67"/>
    <s v="Popular"/>
    <s v="No"/>
    <s v="Wide Reach"/>
    <s v="Afternoon"/>
    <x v="1"/>
    <n v="2.0454545454545454"/>
  </r>
  <r>
    <x v="385"/>
    <s v="Heart in ruins, the remnants of shattered dreams scattered in the wind."/>
    <s v="Ruins"/>
    <d v="2022-01-08T11:30:00"/>
    <x v="0"/>
    <s v=" #Ruins #ShatteredDreams                "/>
    <n v="20"/>
    <n v="40"/>
    <s v="Brazil"/>
    <n v="2022"/>
    <n v="1"/>
    <n v="8"/>
    <n v="11"/>
    <n v="60"/>
    <s v="Normal"/>
    <s v="No"/>
    <s v="Standard"/>
    <s v="Morning"/>
    <x v="4"/>
    <n v="2"/>
  </r>
  <r>
    <x v="386"/>
    <s v="Shattered by the echoes of a shattered dream, fragments of hope scattered."/>
    <s v="Desolation"/>
    <d v="2017-09-10T19:15:00"/>
    <x v="0"/>
    <s v=" #Desolation #ScatteredHope "/>
    <n v="20"/>
    <n v="40"/>
    <s v="Australia"/>
    <n v="2017"/>
    <n v="9"/>
    <n v="10"/>
    <n v="19"/>
    <n v="60"/>
    <s v="Normal"/>
    <s v="No"/>
    <s v="Standard"/>
    <s v="Evening"/>
    <x v="2"/>
    <n v="2"/>
  </r>
  <r>
    <x v="387"/>
    <s v="Avoiding the thorns of regret, walking barefoot on the path of remorse."/>
    <s v="Regret"/>
    <d v="2022-04-18T11:30:00"/>
    <x v="1"/>
    <s v=" #Regret #PathOfRemorse "/>
    <n v="25"/>
    <n v="50"/>
    <s v="Canada"/>
    <n v="2022"/>
    <n v="4"/>
    <n v="18"/>
    <n v="11"/>
    <n v="75"/>
    <s v="Popular"/>
    <s v="No"/>
    <s v="Wide Reach"/>
    <s v="Morning"/>
    <x v="0"/>
    <n v="2"/>
  </r>
  <r>
    <x v="388"/>
    <s v="In the labyrinth of grief, the walls echo with the footsteps of lost joy."/>
    <s v="Grief"/>
    <d v="2018-12-05T21:45:00"/>
    <x v="2"/>
    <s v=" #Grief #LostJoyFootsteps "/>
    <n v="18"/>
    <n v="35"/>
    <s v="USA"/>
    <n v="2018"/>
    <n v="12"/>
    <n v="5"/>
    <n v="21"/>
    <n v="53"/>
    <s v="Normal"/>
    <s v="No"/>
    <s v="Standard"/>
    <s v="Evening"/>
    <x v="0"/>
    <n v="1.9444444444444444"/>
  </r>
  <r>
    <x v="389"/>
    <s v="A soul adrift in the sea of solitude, waves of loneliness crashing relentlessly."/>
    <s v="Loneliness"/>
    <d v="2016-06-28T14:20:00"/>
    <x v="0"/>
    <s v=" #Loneliness #CrashingWaves "/>
    <n v="22"/>
    <n v="45"/>
    <s v="UK"/>
    <n v="2016"/>
    <n v="6"/>
    <n v="28"/>
    <n v="14"/>
    <n v="67"/>
    <s v="Popular"/>
    <s v="No"/>
    <s v="Wide Reach"/>
    <s v="Afternoon"/>
    <x v="1"/>
    <n v="2.0454545454545454"/>
  </r>
  <r>
    <x v="390"/>
    <s v="The bitterness of betrayal, a taste that lingers, staining the palate of trust."/>
    <s v="Bitterness"/>
    <d v="2019-10-22T17:00:00"/>
    <x v="1"/>
    <s v=" #Bitterness #StainedTrust "/>
    <n v="15"/>
    <n v="30"/>
    <s v="Germany"/>
    <n v="2019"/>
    <n v="10"/>
    <n v="22"/>
    <n v="17"/>
    <n v="45"/>
    <s v="Normal"/>
    <s v="No"/>
    <s v="Standard"/>
    <s v="Afternoon"/>
    <x v="1"/>
    <n v="2"/>
  </r>
  <r>
    <x v="391"/>
    <s v="In the ruins of hope, echoes of shattered dreams whisper tales of loss."/>
    <s v="Desolation"/>
    <d v="2021-03-15T22:45:00"/>
    <x v="2"/>
    <s v=" #Desolation #WhisperedLoss "/>
    <n v="28"/>
    <n v="55"/>
    <s v="Brazil"/>
    <n v="2021"/>
    <n v="3"/>
    <n v="15"/>
    <n v="22"/>
    <n v="83"/>
    <s v="Popular"/>
    <s v="Yes"/>
    <s v="Wide Reach"/>
    <s v="Evening"/>
    <x v="4"/>
    <n v="1.9642857142857142"/>
  </r>
  <r>
    <x v="392"/>
    <s v="Sinking like a stone in the ocean of heartbreak, each ripple a sigh of despair."/>
    <s v="Heartbreak"/>
    <d v="2017-08-10T19:30:00"/>
    <x v="0"/>
    <s v=" #Heartbreak #RippleOfDespair "/>
    <n v="22"/>
    <n v="45"/>
    <s v="France"/>
    <n v="2017"/>
    <n v="8"/>
    <n v="10"/>
    <n v="19"/>
    <n v="67"/>
    <s v="Popular"/>
    <s v="No"/>
    <s v="Wide Reach"/>
    <s v="Evening"/>
    <x v="1"/>
    <n v="2.0454545454545454"/>
  </r>
  <r>
    <x v="393"/>
    <s v="Tears, the ink staining the pages of a journal, a testament to silent grief."/>
    <s v="Grief"/>
    <d v="2023-01-28T14:30:00"/>
    <x v="1"/>
    <s v=" #Grief #SilentTears "/>
    <n v="30"/>
    <n v="60"/>
    <s v="India"/>
    <n v="2023"/>
    <n v="1"/>
    <n v="28"/>
    <n v="14"/>
    <n v="90"/>
    <s v="Popular"/>
    <s v="Yes"/>
    <s v="Wide Reach"/>
    <s v="Afternoon"/>
    <x v="3"/>
    <n v="2"/>
  </r>
  <r>
    <x v="394"/>
    <s v="In the wasteland of lost trust, the echoes of broken promises reverberate."/>
    <s v="Betrayal"/>
    <d v="2016-12-12T10:00:00"/>
    <x v="2"/>
    <s v=" #Betrayal #ReverberatingPromises "/>
    <n v="25"/>
    <n v="50"/>
    <s v="Italy"/>
    <n v="2016"/>
    <n v="12"/>
    <n v="12"/>
    <n v="10"/>
    <n v="75"/>
    <s v="Popular"/>
    <s v="No"/>
    <s v="Wide Reach"/>
    <s v="Morning"/>
    <x v="1"/>
    <n v="2"/>
  </r>
  <r>
    <x v="395"/>
    <s v="Avoiding the shards of shattered dreams, walking the tightrope of resilience."/>
    <s v="Resilience"/>
    <d v="2020-07-18T15:15:00"/>
    <x v="0"/>
    <s v=" #Resilience #TightropeWalk "/>
    <n v="35"/>
    <n v="70"/>
    <s v="Japan"/>
    <n v="2020"/>
    <n v="7"/>
    <n v="18"/>
    <n v="15"/>
    <n v="105"/>
    <s v="Popular"/>
    <s v="Yes"/>
    <s v="Wide Reach"/>
    <s v="Afternoon"/>
    <x v="3"/>
    <n v="2"/>
  </r>
  <r>
    <x v="396"/>
    <s v="Suffocating in the silence of solitude, where echoes of laughter once thrived."/>
    <s v="Isolation"/>
    <d v="2022-05-20T20:30:00"/>
    <x v="1"/>
    <s v=" #Isolation #SilentSolitude "/>
    <n v="30"/>
    <n v="60"/>
    <s v="South Africa"/>
    <n v="2022"/>
    <n v="5"/>
    <n v="20"/>
    <n v="20"/>
    <n v="90"/>
    <s v="Popular"/>
    <s v="Yes"/>
    <s v="Wide Reach"/>
    <s v="Evening"/>
    <x v="5"/>
    <n v="2"/>
  </r>
  <r>
    <x v="397"/>
    <s v="Haunted by the specter of lost possibilities, a ghost that refuses to fade away."/>
    <s v="Regret"/>
    <d v="2019-11-08T14:45:00"/>
    <x v="0"/>
    <s v=" #Regret #FadingPossibilities "/>
    <n v="18"/>
    <n v="35"/>
    <s v="Spain"/>
    <n v="2019"/>
    <n v="11"/>
    <n v="8"/>
    <n v="14"/>
    <n v="53"/>
    <s v="Normal"/>
    <s v="No"/>
    <s v="Standard"/>
    <s v="Afternoon"/>
    <x v="1"/>
    <n v="1.9444444444444444"/>
  </r>
  <r>
    <x v="398"/>
    <s v="In the labyrinth of despair, the echoes of a broken heart reverberate endlessly."/>
    <s v="Despair"/>
    <d v="2017-03-28T22:00:00"/>
    <x v="2"/>
    <s v=" #Despair #EndlessReverberation "/>
    <n v="28"/>
    <n v="55"/>
    <s v="Australia"/>
    <n v="2017"/>
    <n v="3"/>
    <n v="28"/>
    <n v="22"/>
    <n v="83"/>
    <s v="Popular"/>
    <s v="Yes"/>
    <s v="Wide Reach"/>
    <s v="Evening"/>
    <x v="2"/>
    <n v="1.9642857142857142"/>
  </r>
  <r>
    <x v="399"/>
    <s v="Sinking like autumn leaves in the river of sorrow, carried away by the current."/>
    <s v="Sorrow"/>
    <d v="2020-09-15T18:15:00"/>
    <x v="1"/>
    <s v=" #Sorrow #AutumnLeaves "/>
    <n v="22"/>
    <n v="45"/>
    <s v="Canada"/>
    <n v="2020"/>
    <n v="9"/>
    <n v="15"/>
    <n v="18"/>
    <n v="67"/>
    <s v="Popular"/>
    <s v="No"/>
    <s v="Wide Reach"/>
    <s v="Evening"/>
    <x v="0"/>
    <n v="2.0454545454545454"/>
  </r>
  <r>
    <x v="400"/>
    <s v="In the garden of broken dreams, petals fall, a silent testimony to shattered hopes."/>
    <s v="Desolation"/>
    <d v="2018-06-10T13:30:00"/>
    <x v="0"/>
    <s v=" #Desolation #ShatteredHopes "/>
    <n v="20"/>
    <n v="40"/>
    <s v="UK"/>
    <n v="2018"/>
    <n v="6"/>
    <n v="10"/>
    <n v="13"/>
    <n v="60"/>
    <s v="Normal"/>
    <s v="No"/>
    <s v="Standard"/>
    <s v="Afternoon"/>
    <x v="1"/>
    <n v="2"/>
  </r>
  <r>
    <x v="401"/>
    <s v="Tears, the currency of grief, spent in the marketplace of lost love and longing."/>
    <s v="Grief"/>
    <d v="2016-12-22T21:45:00"/>
    <x v="2"/>
    <s v=" #Grief #LostLoveLonging "/>
    <n v="25"/>
    <n v="50"/>
    <s v="USA"/>
    <n v="2016"/>
    <n v="12"/>
    <n v="22"/>
    <n v="21"/>
    <n v="75"/>
    <s v="Popular"/>
    <s v="No"/>
    <s v="Wide Reach"/>
    <s v="Evening"/>
    <x v="0"/>
    <n v="2"/>
  </r>
  <r>
    <x v="402"/>
    <s v="Wandering in the maze of betrayal, the walls closing in with every wrong turn."/>
    <s v="Betrayal"/>
    <d v="2021-01-05T16:20:00"/>
    <x v="1"/>
    <s v=" #Betrayal #ClosingWalls "/>
    <n v="15"/>
    <n v="30"/>
    <s v="Germany"/>
    <n v="2021"/>
    <n v="1"/>
    <n v="5"/>
    <n v="16"/>
    <n v="45"/>
    <s v="Normal"/>
    <s v="No"/>
    <s v="Standard"/>
    <s v="Afternoon"/>
    <x v="1"/>
    <n v="2"/>
  </r>
  <r>
    <x v="403"/>
    <s v="A soul weathered by the storm of heartbreak, seeking refuge in the calm after."/>
    <s v="Heartbreak"/>
    <d v="2019-04-18T11:00:00"/>
    <x v="0"/>
    <s v=" #Heartbreak #CalmAfterStorm "/>
    <n v="22"/>
    <n v="45"/>
    <s v="Brazil"/>
    <n v="2019"/>
    <n v="4"/>
    <n v="18"/>
    <n v="11"/>
    <n v="67"/>
    <s v="Popular"/>
    <s v="No"/>
    <s v="Wide Reach"/>
    <s v="Morning"/>
    <x v="4"/>
    <n v="2.0454545454545454"/>
  </r>
  <r>
    <x v="404"/>
    <s v="In the tapestry of despair, threads of hope unravel, leaving a portrait of sorrow."/>
    <s v="Despair"/>
    <d v="2017-08-28T19:30:00"/>
    <x v="2"/>
    <s v=" #Despair #UnraveledHope "/>
    <n v="18"/>
    <n v="35"/>
    <s v="India"/>
    <n v="2017"/>
    <n v="8"/>
    <n v="28"/>
    <n v="19"/>
    <n v="53"/>
    <s v="Normal"/>
    <s v="No"/>
    <s v="Standard"/>
    <s v="Evening"/>
    <x v="3"/>
    <n v="1.9444444444444444"/>
  </r>
  <r>
    <x v="405"/>
    <s v="Like a withered rose in the garden of love, petals fall, a silent surrender to time."/>
    <s v="Loss"/>
    <d v="2023-02-10T14:30:00"/>
    <x v="1"/>
    <s v=" #Loss #SilentSurrender "/>
    <n v="28"/>
    <n v="55"/>
    <s v="France"/>
    <n v="2023"/>
    <n v="2"/>
    <n v="10"/>
    <n v="14"/>
    <n v="83"/>
    <s v="Popular"/>
    <s v="Yes"/>
    <s v="Wide Reach"/>
    <s v="Afternoon"/>
    <x v="1"/>
    <n v="1.9642857142857142"/>
  </r>
  <r>
    <x v="406"/>
    <s v="In the void of heartache, echoes of a love song play, each note a pang of longing."/>
    <s v="Heartache"/>
    <d v="2022-07-10T22:15:00"/>
    <x v="1"/>
    <s v=" #Heartache #LoveSongLonging "/>
    <n v="30"/>
    <n v="60"/>
    <s v="Japan"/>
    <n v="2022"/>
    <n v="7"/>
    <n v="10"/>
    <n v="22"/>
    <n v="90"/>
    <s v="Popular"/>
    <s v="Yes"/>
    <s v="Wide Reach"/>
    <s v="Evening"/>
    <x v="3"/>
    <n v="2"/>
  </r>
  <r>
    <x v="407"/>
    <s v="Nostalgia, a bittersweet dance in the moonlit ballroom of cherished memories."/>
    <s v="Nostalgia"/>
    <d v="2019-05-15T21:30:00"/>
    <x v="0"/>
    <s v=" #Nostalgia #CherishedMemories "/>
    <n v="18"/>
    <n v="35"/>
    <s v="Italy"/>
    <n v="2019"/>
    <n v="5"/>
    <n v="15"/>
    <n v="21"/>
    <n v="53"/>
    <s v="Normal"/>
    <s v="No"/>
    <s v="Standard"/>
    <s v="Evening"/>
    <x v="1"/>
    <n v="1.9444444444444444"/>
  </r>
  <r>
    <x v="408"/>
    <s v="In the symphony of grief, each tear is a note, composing a melancholic melody."/>
    <s v="Grief"/>
    <d v="2018-11-28T14:00:00"/>
    <x v="2"/>
    <s v=" #Grief #MelancholicMelody "/>
    <n v="22"/>
    <n v="45"/>
    <s v="Germany"/>
    <n v="2018"/>
    <n v="11"/>
    <n v="28"/>
    <n v="14"/>
    <n v="67"/>
    <s v="Popular"/>
    <s v="No"/>
    <s v="Wide Reach"/>
    <s v="Afternoon"/>
    <x v="1"/>
    <n v="2.0454545454545454"/>
  </r>
  <r>
    <x v="409"/>
    <s v="Betrayal, a venomous serpent slithering through the garden of trust, poisoning roots."/>
    <s v="Betrayal"/>
    <d v="2021-03-02T17:45:00"/>
    <x v="1"/>
    <s v=" #Betrayal #PoisonedTrust "/>
    <n v="25"/>
    <n v="50"/>
    <s v="Canada"/>
    <n v="2021"/>
    <n v="3"/>
    <n v="2"/>
    <n v="17"/>
    <n v="75"/>
    <s v="Popular"/>
    <s v="No"/>
    <s v="Wide Reach"/>
    <s v="Afternoon"/>
    <x v="0"/>
    <n v="2"/>
  </r>
  <r>
    <x v="410"/>
    <s v="Sinking in the quicksand of despair, the harder you fight, the deeper you descend."/>
    <s v="Despair"/>
    <d v="2016-10-18T19:30:00"/>
    <x v="0"/>
    <s v=" #Despair #DeepDescent "/>
    <n v="20"/>
    <n v="40"/>
    <s v="USA"/>
    <n v="2016"/>
    <n v="10"/>
    <n v="18"/>
    <n v="19"/>
    <n v="60"/>
    <s v="Normal"/>
    <s v="No"/>
    <s v="Standard"/>
    <s v="Evening"/>
    <x v="0"/>
    <n v="2"/>
  </r>
  <r>
    <x v="411"/>
    <s v="Wandering through the cemetery of lost dreams, tombstones marking untold sorrows."/>
    <s v="Desolation"/>
    <d v="2020-08-15T12:30:00"/>
    <x v="2"/>
    <s v=" #Desolation #UntoldSorrows "/>
    <n v="28"/>
    <n v="55"/>
    <s v="France"/>
    <n v="2020"/>
    <n v="8"/>
    <n v="15"/>
    <n v="12"/>
    <n v="83"/>
    <s v="Popular"/>
    <s v="Yes"/>
    <s v="Wide Reach"/>
    <s v="Afternoon"/>
    <x v="1"/>
    <n v="1.9642857142857142"/>
  </r>
  <r>
    <x v="412"/>
    <s v="Swept away by the river of regret, the currents of the past refusing to release."/>
    <s v="Regret"/>
    <d v="2017-04-28T16:20:00"/>
    <x v="1"/>
    <s v=" #Regret #PastCurrents "/>
    <n v="18"/>
    <n v="35"/>
    <s v="UK"/>
    <n v="2017"/>
    <n v="4"/>
    <n v="28"/>
    <n v="16"/>
    <n v="53"/>
    <s v="Normal"/>
    <s v="No"/>
    <s v="Standard"/>
    <s v="Afternoon"/>
    <x v="1"/>
    <n v="1.9444444444444444"/>
  </r>
  <r>
    <x v="413"/>
    <s v="Whispers of lost love linger in the attic of the heart, forgotten but not erased."/>
    <s v="Loss"/>
    <d v="2019-09-10T21:00:00"/>
    <x v="0"/>
    <s v=" #Loss #ForgottenLove "/>
    <n v="22"/>
    <n v="45"/>
    <s v="Australia"/>
    <n v="2019"/>
    <n v="9"/>
    <n v="10"/>
    <n v="21"/>
    <n v="67"/>
    <s v="Popular"/>
    <s v="No"/>
    <s v="Wide Reach"/>
    <s v="Evening"/>
    <x v="2"/>
    <n v="2.0454545454545454"/>
  </r>
  <r>
    <x v="414"/>
    <s v="In the gallery of broken promises, each shattered vow framed, a painful exhibition."/>
    <s v="Betrayal"/>
    <d v="2022-01-28T13:45:00"/>
    <x v="2"/>
    <s v=" #Betrayal #ShatteredVows "/>
    <n v="15"/>
    <n v="30"/>
    <s v="Brazil"/>
    <n v="2022"/>
    <n v="1"/>
    <n v="28"/>
    <n v="13"/>
    <n v="45"/>
    <s v="Normal"/>
    <s v="No"/>
    <s v="Standard"/>
    <s v="Afternoon"/>
    <x v="4"/>
    <n v="2"/>
  </r>
  <r>
    <x v="415"/>
    <s v="The echoes of solitude, a silent conversation between a soul and its shadows."/>
    <s v="Solitude"/>
    <d v="2016-06-15T22:30:00"/>
    <x v="1"/>
    <s v=" #Solitude #ShadowConversation "/>
    <n v="30"/>
    <n v="60"/>
    <s v="Spain"/>
    <n v="2016"/>
    <n v="6"/>
    <n v="15"/>
    <n v="22"/>
    <n v="90"/>
    <s v="Popular"/>
    <s v="Yes"/>
    <s v="Wide Reach"/>
    <s v="Evening"/>
    <x v="1"/>
    <n v="2"/>
  </r>
  <r>
    <x v="416"/>
    <s v="Dancing on sunshine, each step a celebration of the joy found in simple moments."/>
    <s v="Joy"/>
    <d v="2021-08-20T15:45:00"/>
    <x v="1"/>
    <s v=" #Joy #SimpleMoments "/>
    <n v="40"/>
    <n v="80"/>
    <s v="USA"/>
    <n v="2021"/>
    <n v="8"/>
    <n v="20"/>
    <n v="15"/>
    <n v="120"/>
    <s v="Popular"/>
    <s v="Yes"/>
    <s v="Wide Reach"/>
    <s v="Afternoon"/>
    <x v="0"/>
    <n v="2"/>
  </r>
  <r>
    <x v="396"/>
    <s v="Laughter echoes in the air, a chorus of happiness that lifts the spirit higher."/>
    <s v="Happiness"/>
    <d v="2018-04-12T18:30:00"/>
    <x v="0"/>
    <s v=" #Happiness #SpiritLifter "/>
    <n v="35"/>
    <n v="70"/>
    <s v="Canada"/>
    <n v="2018"/>
    <n v="4"/>
    <n v="12"/>
    <n v="18"/>
    <n v="105"/>
    <s v="Popular"/>
    <s v="Yes"/>
    <s v="Wide Reach"/>
    <s v="Evening"/>
    <x v="0"/>
    <n v="2"/>
  </r>
  <r>
    <x v="417"/>
    <s v="In the garden of contentment, each bloom whispers tales of inner peace and joy."/>
    <s v="Contentment"/>
    <d v="2022-02-15T12:20:00"/>
    <x v="2"/>
    <s v=" #Contentment #InnerPeace "/>
    <n v="25"/>
    <n v="50"/>
    <s v="UK"/>
    <n v="2022"/>
    <n v="2"/>
    <n v="15"/>
    <n v="12"/>
    <n v="75"/>
    <s v="Popular"/>
    <s v="No"/>
    <s v="Wide Reach"/>
    <s v="Afternoon"/>
    <x v="1"/>
    <n v="2"/>
  </r>
  <r>
    <x v="212"/>
    <s v="Chasing dreams under the vibrant sky, a journey fueled by hope and enthusiasm."/>
    <s v="Enthusiasm"/>
    <d v="2019-10-28T14:15:00"/>
    <x v="1"/>
    <s v=" #Enthusiasm #HopefulJourney "/>
    <n v="30"/>
    <n v="60"/>
    <s v="Australia"/>
    <n v="2019"/>
    <n v="10"/>
    <n v="28"/>
    <n v="14"/>
    <n v="90"/>
    <s v="Popular"/>
    <s v="Yes"/>
    <s v="Wide Reach"/>
    <s v="Afternoon"/>
    <x v="2"/>
    <n v="2"/>
  </r>
  <r>
    <x v="418"/>
    <s v="Serenading the stars with a heart full of gratitude, a melody of thankfulness."/>
    <s v="Gratitude"/>
    <d v="2017-12-22T21:00:00"/>
    <x v="0"/>
    <s v=" #Gratitude #ThankfulMelody "/>
    <n v="22"/>
    <n v="45"/>
    <s v="India"/>
    <n v="2017"/>
    <n v="12"/>
    <n v="22"/>
    <n v="21"/>
    <n v="67"/>
    <s v="Popular"/>
    <s v="No"/>
    <s v="Wide Reach"/>
    <s v="Evening"/>
    <x v="3"/>
    <n v="2.0454545454545454"/>
  </r>
  <r>
    <x v="419"/>
    <s v="Basking in the glow of accomplishment, each milestone a stepping stone to happiness."/>
    <s v="Accomplishment"/>
    <d v="2020-06-10T17:30:00"/>
    <x v="2"/>
    <s v=" #Accomplishment #HappinessMilestone "/>
    <n v="28"/>
    <n v="55"/>
    <s v="Germany"/>
    <n v="2020"/>
    <n v="6"/>
    <n v="10"/>
    <n v="17"/>
    <n v="83"/>
    <s v="Popular"/>
    <s v="Yes"/>
    <s v="Wide Reach"/>
    <s v="Afternoon"/>
    <x v="1"/>
    <n v="1.9642857142857142"/>
  </r>
  <r>
    <x v="420"/>
    <s v="In the dance of positivity, every step is a rhythm, uplifting the soul in harmony."/>
    <s v="Positivity"/>
    <d v="2016-09-18T19:45:00"/>
    <x v="1"/>
    <s v=" #Positivity #SoulUpliftment "/>
    <n v="18"/>
    <n v="35"/>
    <s v="France"/>
    <n v="2016"/>
    <n v="9"/>
    <n v="18"/>
    <n v="19"/>
    <n v="53"/>
    <s v="Normal"/>
    <s v="No"/>
    <s v="Standard"/>
    <s v="Evening"/>
    <x v="1"/>
    <n v="1.9444444444444444"/>
  </r>
  <r>
    <x v="421"/>
    <s v="Overflowing with joy, a cup of laughter shared with friends, a moment cherished."/>
    <s v="Joy"/>
    <d v="2023-03-10T14:30:00"/>
    <x v="0"/>
    <s v=" #Joy #CherishedMoment "/>
    <n v="20"/>
    <n v="40"/>
    <s v="Japan"/>
    <n v="2023"/>
    <n v="3"/>
    <n v="10"/>
    <n v="14"/>
    <n v="60"/>
    <s v="Normal"/>
    <s v="No"/>
    <s v="Standard"/>
    <s v="Afternoon"/>
    <x v="3"/>
    <n v="2"/>
  </r>
  <r>
    <x v="422"/>
    <s v="Draped in the warmth of kindness, a quilt of compassion stitched with love."/>
    <s v="Kindness"/>
    <d v="2019-05-05T12:15:00"/>
    <x v="2"/>
    <s v=" #Kindness #LoveStitches "/>
    <n v="25"/>
    <n v="50"/>
    <s v="Brazil"/>
    <n v="2019"/>
    <n v="5"/>
    <n v="5"/>
    <n v="12"/>
    <n v="75"/>
    <s v="Popular"/>
    <s v="No"/>
    <s v="Wide Reach"/>
    <s v="Afternoon"/>
    <x v="4"/>
    <n v="2"/>
  </r>
  <r>
    <x v="423"/>
    <s v="In the garden of friendships, each bloom a testament to the beauty of camaraderie."/>
    <s v="Friendship"/>
    <d v="2018-08-28T16:00:00"/>
    <x v="1"/>
    <s v=" #Friendship #CamaraderieBlooms "/>
    <n v="30"/>
    <n v="60"/>
    <s v="South Africa"/>
    <n v="2018"/>
    <n v="8"/>
    <n v="28"/>
    <n v="16"/>
    <n v="90"/>
    <s v="Popular"/>
    <s v="Yes"/>
    <s v="Wide Reach"/>
    <s v="Afternoon"/>
    <x v="5"/>
    <n v="2"/>
  </r>
  <r>
    <x v="424"/>
    <s v="In the embrace of love, each heartbeat is a melody, dancing to the rhythm of affection."/>
    <s v="Love"/>
    <d v="2022-11-15T20:45:00"/>
    <x v="0"/>
    <s v=" #Love #RhythmOfAffection "/>
    <n v="35"/>
    <n v="70"/>
    <s v="USA"/>
    <n v="2022"/>
    <n v="11"/>
    <n v="15"/>
    <n v="20"/>
    <n v="105"/>
    <s v="Popular"/>
    <s v="Yes"/>
    <s v="Wide Reach"/>
    <s v="Evening"/>
    <x v="0"/>
    <n v="2"/>
  </r>
  <r>
    <x v="425"/>
    <s v="Surrounded by the colors of joy, a canvas painted with laughter and endless smiles."/>
    <s v="Joy"/>
    <d v="2019-07-02T17:00:00"/>
    <x v="1"/>
    <s v=" #Joy #EndlessSmiles "/>
    <n v="40"/>
    <n v="80"/>
    <s v="Canada"/>
    <n v="2019"/>
    <n v="7"/>
    <n v="2"/>
    <n v="17"/>
    <n v="120"/>
    <s v="Popular"/>
    <s v="Yes"/>
    <s v="Wide Reach"/>
    <s v="Afternoon"/>
    <x v="0"/>
    <n v="2"/>
  </r>
  <r>
    <x v="426"/>
    <s v="In the symphony of excitement, each note is a burst of energy, igniting the soul with fervor."/>
    <s v="Excitement"/>
    <d v="2021-04-18T14:20:00"/>
    <x v="2"/>
    <s v=" #Excitement #IgnitedSoul "/>
    <n v="30"/>
    <n v="60"/>
    <s v="UK"/>
    <n v="2021"/>
    <n v="4"/>
    <n v="18"/>
    <n v="14"/>
    <n v="90"/>
    <s v="Popular"/>
    <s v="Yes"/>
    <s v="Wide Reach"/>
    <s v="Afternoon"/>
    <x v="1"/>
    <n v="2"/>
  </r>
  <r>
    <x v="427"/>
    <s v="A surprise gift, wrapped in anticipation, unfolds a moment of delight and wonder."/>
    <s v="Surprise"/>
    <d v="2023-02-05T19:30:00"/>
    <x v="0"/>
    <s v=" #Surprise #WonderfulMoment "/>
    <n v="25"/>
    <n v="50"/>
    <s v="Australia"/>
    <n v="2023"/>
    <n v="2"/>
    <n v="5"/>
    <n v="19"/>
    <n v="75"/>
    <s v="Popular"/>
    <s v="No"/>
    <s v="Wide Reach"/>
    <s v="Evening"/>
    <x v="2"/>
    <n v="2"/>
  </r>
  <r>
    <x v="428"/>
    <s v="Lost in the maze of curiosity, each twist and turn unveils the treasures of discovery."/>
    <s v="Curiosity"/>
    <d v="2018-09-22T12:45:00"/>
    <x v="1"/>
    <s v=" #Curiosity #TreasuresOfDiscovery "/>
    <n v="22"/>
    <n v="45"/>
    <s v="India"/>
    <n v="2018"/>
    <n v="9"/>
    <n v="22"/>
    <n v="12"/>
    <n v="67"/>
    <s v="Popular"/>
    <s v="No"/>
    <s v="Wide Reach"/>
    <s v="Afternoon"/>
    <x v="3"/>
    <n v="2.0454545454545454"/>
  </r>
  <r>
    <x v="429"/>
    <s v="Floating on clouds of gratitude, each raindrop a blessing, a shower of thankfulness."/>
    <s v="Gratitude"/>
    <d v="2016-12-10T21:15:00"/>
    <x v="2"/>
    <s v=" #Gratitude #ShowerOfThankfulness "/>
    <n v="28"/>
    <n v="55"/>
    <s v="Germany"/>
    <n v="2016"/>
    <n v="12"/>
    <n v="10"/>
    <n v="21"/>
    <n v="83"/>
    <s v="Popular"/>
    <s v="Yes"/>
    <s v="Wide Reach"/>
    <s v="Evening"/>
    <x v="1"/>
    <n v="1.9642857142857142"/>
  </r>
  <r>
    <x v="430"/>
    <s v="Like a comet of inspiration, streaking through the sky of creativity, leaving trails of brilliance."/>
    <s v="Inspiration"/>
    <d v="2020-05-28T16:00:00"/>
    <x v="0"/>
    <s v=" #Inspiration #BrilliantTrails "/>
    <n v="18"/>
    <n v="35"/>
    <s v="France"/>
    <n v="2020"/>
    <n v="5"/>
    <n v="28"/>
    <n v="16"/>
    <n v="53"/>
    <s v="Normal"/>
    <s v="No"/>
    <s v="Standard"/>
    <s v="Afternoon"/>
    <x v="1"/>
    <n v="1.9444444444444444"/>
  </r>
  <r>
    <x v="431"/>
    <s v="In the celebration of success, fireworks of accomplishment light up the night sky of triumph."/>
    <s v="Success"/>
    <d v="2017-11-15T22:30:00"/>
    <x v="1"/>
    <s v=" #Success #NightSkyTriumph "/>
    <n v="22"/>
    <n v="45"/>
    <s v="Japan"/>
    <n v="2017"/>
    <n v="11"/>
    <n v="15"/>
    <n v="22"/>
    <n v="67"/>
    <s v="Popular"/>
    <s v="No"/>
    <s v="Wide Reach"/>
    <s v="Evening"/>
    <x v="3"/>
    <n v="2.0454545454545454"/>
  </r>
  <r>
    <x v="432"/>
    <s v="A symphony of laughter, each note a key to unlocking the door of boundless happiness."/>
    <s v="Happiness"/>
    <d v="2021-08-02T19:00:00"/>
    <x v="2"/>
    <s v=" #Happiness #BoundlessLaughter "/>
    <n v="30"/>
    <n v="60"/>
    <s v="Brazil"/>
    <n v="2021"/>
    <n v="8"/>
    <n v="2"/>
    <n v="19"/>
    <n v="90"/>
    <s v="Popular"/>
    <s v="Yes"/>
    <s v="Wide Reach"/>
    <s v="Evening"/>
    <x v="4"/>
    <n v="2"/>
  </r>
  <r>
    <x v="433"/>
    <s v="In the carnival of emotions, the rollercoaster of thrill sends the heart on a wild ride."/>
    <s v="Thrill"/>
    <d v="2019-03-28T15:30:00"/>
    <x v="1"/>
    <s v=" #Thrill #WildHeartRide "/>
    <n v="35"/>
    <n v="70"/>
    <s v="South Africa"/>
    <n v="2019"/>
    <n v="3"/>
    <n v="28"/>
    <n v="15"/>
    <n v="105"/>
    <s v="Popular"/>
    <s v="Yes"/>
    <s v="Wide Reach"/>
    <s v="Afternoon"/>
    <x v="5"/>
    <n v="2"/>
  </r>
  <r>
    <x v="434"/>
    <s v="Standing before the grandeur of the Eiffel Tower, a moment to reflect on the beauty of Parisian dreams."/>
    <s v="Reflection"/>
    <d v="2018-05-12T17:30:00"/>
    <x v="0"/>
    <s v=" #Reflection #ParisianDreams "/>
    <n v="28"/>
    <n v="55"/>
    <s v="France"/>
    <n v="2018"/>
    <n v="5"/>
    <n v="12"/>
    <n v="17"/>
    <n v="83"/>
    <s v="Popular"/>
    <s v="Yes"/>
    <s v="Wide Reach"/>
    <s v="Afternoon"/>
    <x v="1"/>
    <n v="1.9642857142857142"/>
  </r>
  <r>
    <x v="435"/>
    <s v="Lost in the enchantment of Disneyland, each ride a journey into the realm of childhood fantasies."/>
    <s v="Enchantment"/>
    <d v="2022-09-28T15:45:00"/>
    <x v="1"/>
    <s v=" #Enchantment #ChildhoodFantasies "/>
    <n v="30"/>
    <n v="60"/>
    <s v="USA"/>
    <n v="2022"/>
    <n v="9"/>
    <n v="28"/>
    <n v="15"/>
    <n v="90"/>
    <s v="Popular"/>
    <s v="Yes"/>
    <s v="Wide Reach"/>
    <s v="Afternoon"/>
    <x v="0"/>
    <n v="2"/>
  </r>
  <r>
    <x v="436"/>
    <s v="Exploring the wonders of Ferrari World, the roar of engines creating a symphony of speed."/>
    <s v="Excitement"/>
    <d v="2019-11-10T14:00:00"/>
    <x v="2"/>
    <s v=" #Excitement #SymphonyOfSpeed "/>
    <n v="22"/>
    <n v="45"/>
    <s v="Italy"/>
    <n v="2019"/>
    <n v="11"/>
    <n v="10"/>
    <n v="14"/>
    <n v="67"/>
    <s v="Popular"/>
    <s v="No"/>
    <s v="Wide Reach"/>
    <s v="Afternoon"/>
    <x v="1"/>
    <n v="2.0454545454545454"/>
  </r>
  <r>
    <x v="437"/>
    <s v="Amidst the tulip fields of Keukenhof, a tapestry of colors that paints the soul with springtime joy."/>
    <s v="Joy"/>
    <d v="2021-04-02T18:20:00"/>
    <x v="1"/>
    <s v=" #Joy #SpringtimeColors "/>
    <n v="35"/>
    <n v="70"/>
    <s v="Netherlands"/>
    <n v="2021"/>
    <n v="4"/>
    <n v="2"/>
    <n v="18"/>
    <n v="105"/>
    <s v="Popular"/>
    <s v="Yes"/>
    <s v="Wide Reach"/>
    <s v="Evening"/>
    <x v="1"/>
    <n v="2"/>
  </r>
  <r>
    <x v="438"/>
    <s v="Wandering through the historical streets of Kyoto, each step a journey into the heart of Japan's traditions."/>
    <s v="Exploration"/>
    <d v="2017-08-22T21:30:00"/>
    <x v="0"/>
    <s v=" #Exploration #JapaneseTraditions "/>
    <n v="18"/>
    <n v="35"/>
    <s v="Japan"/>
    <n v="2017"/>
    <n v="8"/>
    <n v="22"/>
    <n v="21"/>
    <n v="53"/>
    <s v="Normal"/>
    <s v="No"/>
    <s v="Standard"/>
    <s v="Evening"/>
    <x v="3"/>
    <n v="1.9444444444444444"/>
  </r>
  <r>
    <x v="439"/>
    <s v="In the embrace of the Grand Canyon, nature's masterpiece, a moment to marvel at Earth's grandeur."/>
    <s v="Awe"/>
    <d v="2020-06-15T16:45:00"/>
    <x v="1"/>
    <s v=" #Awe #EarthsGrandeur "/>
    <n v="25"/>
    <n v="50"/>
    <s v="USA"/>
    <n v="2020"/>
    <n v="6"/>
    <n v="15"/>
    <n v="16"/>
    <n v="75"/>
    <s v="Popular"/>
    <s v="No"/>
    <s v="Wide Reach"/>
    <s v="Afternoon"/>
    <x v="0"/>
    <n v="2"/>
  </r>
  <r>
    <x v="440"/>
    <s v="Journeying through the serenity of Santorini, where each sunset paints the sky with hues of tranquility."/>
    <s v="Serenity"/>
    <d v="2016-09-10T19:15:00"/>
    <x v="2"/>
    <s v=" #Serenity #SunsetHues "/>
    <n v="22"/>
    <n v="45"/>
    <s v="Greece"/>
    <n v="2016"/>
    <n v="9"/>
    <n v="10"/>
    <n v="19"/>
    <n v="67"/>
    <s v="Popular"/>
    <s v="No"/>
    <s v="Wide Reach"/>
    <s v="Evening"/>
    <x v="1"/>
    <n v="2.0454545454545454"/>
  </r>
  <r>
    <x v="441"/>
    <s v="Amazed by the architectural marvels of Petra, each stone telling tales of an ancient civilization."/>
    <s v="Amazement"/>
    <d v="2023-01-28T13:00:00"/>
    <x v="0"/>
    <s v=" #Amazement #AncientTales "/>
    <n v="30"/>
    <n v="60"/>
    <s v="Jordan"/>
    <n v="2023"/>
    <n v="1"/>
    <n v="28"/>
    <n v="13"/>
    <n v="90"/>
    <s v="Popular"/>
    <s v="Yes"/>
    <s v="Wide Reach"/>
    <s v="Afternoon"/>
    <x v="3"/>
    <n v="2"/>
  </r>
  <r>
    <x v="442"/>
    <s v="Embarking on a gondola ride in Venice, each canal reflecting the romance of this timeless city."/>
    <s v="Romance"/>
    <d v="2019-04-18T16:30:00"/>
    <x v="1"/>
    <s v=" #Romance #TimelessCity "/>
    <n v="20"/>
    <n v="40"/>
    <s v="Italy"/>
    <n v="2019"/>
    <n v="4"/>
    <n v="18"/>
    <n v="16"/>
    <n v="60"/>
    <s v="Normal"/>
    <s v="No"/>
    <s v="Standard"/>
    <s v="Afternoon"/>
    <x v="1"/>
    <n v="2"/>
  </r>
  <r>
    <x v="443"/>
    <s v="At the summit of Machu Picchu, a breathtaking panorama that whispers the secrets of ancient civilizations."/>
    <s v="Awe"/>
    <d v="2017-11-05T22:00:00"/>
    <x v="2"/>
    <s v=" #Awe #AncientCivilizations "/>
    <n v="28"/>
    <n v="55"/>
    <s v="Peru"/>
    <n v="2017"/>
    <n v="11"/>
    <n v="5"/>
    <n v="22"/>
    <n v="83"/>
    <s v="Popular"/>
    <s v="Yes"/>
    <s v="Wide Reach"/>
    <s v="Evening"/>
    <x v="4"/>
    <n v="1.9642857142857142"/>
  </r>
  <r>
    <x v="444"/>
    <s v="In the heart of New York City, Times Square dazzles with lights, a vibrant spectacle of urban energy."/>
    <s v="Excitement"/>
    <d v="2022-07-20T21:45:00"/>
    <x v="1"/>
    <s v=" #Excitement #UrbanEnergy "/>
    <n v="35"/>
    <n v="70"/>
    <s v="USA"/>
    <n v="2022"/>
    <n v="7"/>
    <n v="20"/>
    <n v="21"/>
    <n v="105"/>
    <s v="Popular"/>
    <s v="Yes"/>
    <s v="Wide Reach"/>
    <s v="Evening"/>
    <x v="0"/>
    <n v="2"/>
  </r>
  <r>
    <x v="445"/>
    <s v="Captivated by the historical charm of the Colosseum, each stone echoing tales of gladiator valor."/>
    <s v="Captivation"/>
    <d v="2018-03-15T17:30:00"/>
    <x v="0"/>
    <s v=" #Captivation #GladiatorTales "/>
    <n v="25"/>
    <n v="50"/>
    <s v="Italy"/>
    <n v="2018"/>
    <n v="3"/>
    <n v="15"/>
    <n v="17"/>
    <n v="75"/>
    <s v="Popular"/>
    <s v="No"/>
    <s v="Wide Reach"/>
    <s v="Afternoon"/>
    <x v="1"/>
    <n v="2"/>
  </r>
  <r>
    <x v="446"/>
    <s v="Sailing the azure waters of the Maldives, each wave a whisper of serenity in paradise."/>
    <s v="Serenity"/>
    <d v="2019-10-28T14:15:00"/>
    <x v="2"/>
    <s v=" #Serenity #ParadiseWhispers "/>
    <n v="22"/>
    <n v="45"/>
    <s v="Maldives"/>
    <n v="2019"/>
    <n v="10"/>
    <n v="28"/>
    <n v="14"/>
    <n v="67"/>
    <s v="Popular"/>
    <s v="No"/>
    <s v="Wide Reach"/>
    <s v="Afternoon"/>
    <x v="3"/>
    <n v="2.0454545454545454"/>
  </r>
  <r>
    <x v="447"/>
    <s v="In the midst of the Amazon rainforest, a symphony of wildlife creates an orchestra of nature's wonders."/>
    <s v="Wonder"/>
    <d v="2021-06-10T16:00:00"/>
    <x v="1"/>
    <s v=" #Wonder #NatureOrchestra "/>
    <n v="30"/>
    <n v="60"/>
    <s v="Brazil"/>
    <n v="2021"/>
    <n v="6"/>
    <n v="10"/>
    <n v="16"/>
    <n v="90"/>
    <s v="Popular"/>
    <s v="Yes"/>
    <s v="Wide Reach"/>
    <s v="Afternoon"/>
    <x v="4"/>
    <n v="2"/>
  </r>
  <r>
    <x v="448"/>
    <s v="Walking the Great Wall of China, each step a testament to ancient engineering marvels."/>
    <s v="Awe"/>
    <d v="2017-08-18T19:30:00"/>
    <x v="0"/>
    <s v=" #Awe #EngineeringMarvels "/>
    <n v="18"/>
    <n v="35"/>
    <s v="China"/>
    <n v="2017"/>
    <n v="8"/>
    <n v="18"/>
    <n v="19"/>
    <n v="53"/>
    <s v="Normal"/>
    <s v="No"/>
    <s v="Standard"/>
    <s v="Evening"/>
    <x v="3"/>
    <n v="1.9444444444444444"/>
  </r>
  <r>
    <x v="449"/>
    <s v="At the summit of Mount Fuji, a breathtaking sunrise that paints the sky with hues of accomplishment."/>
    <s v="Accomplishment"/>
    <d v="2020-04-15T05:30:00"/>
    <x v="2"/>
    <s v=" #Accomplishment #SunriseHues "/>
    <n v="28"/>
    <n v="55"/>
    <s v="Japan"/>
    <n v="2020"/>
    <n v="4"/>
    <n v="15"/>
    <n v="5"/>
    <n v="83"/>
    <s v="Popular"/>
    <s v="Yes"/>
    <s v="Wide Reach"/>
    <s v="Night"/>
    <x v="3"/>
    <n v="1.9642857142857142"/>
  </r>
  <r>
    <x v="450"/>
    <s v="Exploring the ancient ruins of Angkor Wat, each stone whispering stories of Khmer civilization."/>
    <s v="Exploration"/>
    <d v="2016-11-22T13:00:00"/>
    <x v="1"/>
    <s v=" #Exploration #KhmerStories "/>
    <n v="20"/>
    <n v="40"/>
    <s v="Cambodia"/>
    <n v="2016"/>
    <n v="11"/>
    <n v="22"/>
    <n v="13"/>
    <n v="60"/>
    <s v="Normal"/>
    <s v="No"/>
    <s v="Standard"/>
    <s v="Afternoon"/>
    <x v="3"/>
    <n v="2"/>
  </r>
  <r>
    <x v="451"/>
    <s v="Skiing down the slopes of the Swiss Alps, each turn a dance with the majesty of snow-capped peaks."/>
    <s v="Adventure"/>
    <d v="2019-01-10T14:45:00"/>
    <x v="0"/>
    <s v=" #Adventure #SnowPeakDance "/>
    <n v="22"/>
    <n v="45"/>
    <s v="Switzerland"/>
    <n v="2019"/>
    <n v="1"/>
    <n v="10"/>
    <n v="14"/>
    <n v="67"/>
    <s v="Popular"/>
    <s v="No"/>
    <s v="Wide Reach"/>
    <s v="Afternoon"/>
    <x v="1"/>
    <n v="2.0454545454545454"/>
  </r>
  <r>
    <x v="452"/>
    <s v="In the tranquility of Kyoto's bamboo forest, whispers of ancient Zen wisdom echo through the groves."/>
    <s v="Tranquility"/>
    <d v="2023-02-28T16:20:00"/>
    <x v="2"/>
    <s v=" #Tranquility #ZenWisdom "/>
    <n v="25"/>
    <n v="50"/>
    <s v="Japan"/>
    <n v="2023"/>
    <n v="2"/>
    <n v="28"/>
    <n v="16"/>
    <n v="75"/>
    <s v="Popular"/>
    <s v="No"/>
    <s v="Wide Reach"/>
    <s v="Afternoon"/>
    <x v="3"/>
    <n v="2"/>
  </r>
  <r>
    <x v="453"/>
    <s v="Cruising the fjords of Norway, each icy landscape a breathtaking masterpiece of nature's grandeur."/>
    <s v="Grandeur"/>
    <d v="2018-05-28T18:30:00"/>
    <x v="1"/>
    <s v=" #Grandeur #IcyMasterpiece "/>
    <n v="22"/>
    <n v="45"/>
    <s v="Norway"/>
    <n v="2018"/>
    <n v="5"/>
    <n v="28"/>
    <n v="18"/>
    <n v="67"/>
    <s v="Popular"/>
    <s v="No"/>
    <s v="Wide Reach"/>
    <s v="Evening"/>
    <x v="1"/>
    <n v="2.0454545454545454"/>
  </r>
  <r>
    <x v="454"/>
    <s v="At the front row of Adele's concert, each note of 'Someone Like You' resonates with soul-stirring emotion."/>
    <s v="Emotion"/>
    <d v="2022-09-15T20:00:00"/>
    <x v="1"/>
    <s v=" #Emotion #AdeleConcert "/>
    <n v="40"/>
    <n v="80"/>
    <s v="USA"/>
    <n v="2022"/>
    <n v="9"/>
    <n v="15"/>
    <n v="20"/>
    <n v="120"/>
    <s v="Popular"/>
    <s v="Yes"/>
    <s v="Wide Reach"/>
    <s v="Evening"/>
    <x v="0"/>
    <n v="2"/>
  </r>
  <r>
    <x v="455"/>
    <s v="Dancing under the stars at BeyoncÃ©'s live show, feeling the power of 'Single Ladies' in every move."/>
    <s v="Energy"/>
    <d v="2019-07-28T21:30:00"/>
    <x v="0"/>
    <s v=" #Energy #BeyonceConcert "/>
    <n v="35"/>
    <n v="70"/>
    <s v="USA"/>
    <n v="2019"/>
    <n v="7"/>
    <n v="28"/>
    <n v="21"/>
    <n v="105"/>
    <s v="Popular"/>
    <s v="Yes"/>
    <s v="Wide Reach"/>
    <s v="Evening"/>
    <x v="0"/>
    <n v="2"/>
  </r>
  <r>
    <x v="456"/>
    <s v="In the crowd of a Taylor Swift concert, the lyrics of 'Love Story' create an enchanting fairy tale."/>
    <s v="Enchantment"/>
    <d v="2021-05-10T19:45:00"/>
    <x v="2"/>
    <s v=" #Enchantment #TaylorSwift "/>
    <n v="30"/>
    <n v="60"/>
    <s v="USA"/>
    <n v="2021"/>
    <n v="5"/>
    <n v="10"/>
    <n v="19"/>
    <n v="90"/>
    <s v="Popular"/>
    <s v="Yes"/>
    <s v="Wide Reach"/>
    <s v="Evening"/>
    <x v="0"/>
    <n v="2"/>
  </r>
  <r>
    <x v="457"/>
    <s v="Rocking out to the guitar solos at a Queen tribute concert, a journey back in time with Freddie's spirit."/>
    <s v="Nostalgia"/>
    <d v="2018-12-02T22:15:00"/>
    <x v="1"/>
    <s v=" #Nostalgia #QueenTribute "/>
    <n v="22"/>
    <n v="45"/>
    <s v="UK"/>
    <n v="2018"/>
    <n v="12"/>
    <n v="2"/>
    <n v="22"/>
    <n v="67"/>
    <s v="Popular"/>
    <s v="No"/>
    <s v="Wide Reach"/>
    <s v="Evening"/>
    <x v="1"/>
    <n v="2.0454545454545454"/>
  </r>
  <r>
    <x v="458"/>
    <s v="Swaying to Ed Sheeran's acoustic melodies, a serene evening filled with 'Perfect' moments."/>
    <s v="Serenity"/>
    <d v="2020-08-18T19:00:00"/>
    <x v="0"/>
    <s v=" #Serenity #EdSheeranConcert "/>
    <n v="18"/>
    <n v="35"/>
    <s v="UK"/>
    <n v="2020"/>
    <n v="8"/>
    <n v="18"/>
    <n v="19"/>
    <n v="53"/>
    <s v="Normal"/>
    <s v="No"/>
    <s v="Standard"/>
    <s v="Evening"/>
    <x v="1"/>
    <n v="1.9444444444444444"/>
  </r>
  <r>
    <x v="459"/>
    <s v="Immersed in the pulsating beats of a Bruno Mars concert, where 'Uptown Funk' becomes a city of joy."/>
    <s v="Joy"/>
    <d v="2017-03-28T20:30:00"/>
    <x v="2"/>
    <s v=" #Joy #BrunoMars "/>
    <n v="28"/>
    <n v="55"/>
    <s v="USA"/>
    <n v="2017"/>
    <n v="3"/>
    <n v="28"/>
    <n v="20"/>
    <n v="83"/>
    <s v="Popular"/>
    <s v="Yes"/>
    <s v="Wide Reach"/>
    <s v="Evening"/>
    <x v="0"/>
    <n v="1.9642857142857142"/>
  </r>
  <r>
    <x v="460"/>
    <s v="At a Michael Jackson tribute show, moonwalking through the hits, a celebration of the King of Pop."/>
    <s v="Celebration"/>
    <d v="2022-01-15T21:15:00"/>
    <x v="1"/>
    <s v=" #Celebration #MJTribute "/>
    <n v="25"/>
    <n v="50"/>
    <s v="USA"/>
    <n v="2022"/>
    <n v="1"/>
    <n v="15"/>
    <n v="21"/>
    <n v="75"/>
    <s v="Popular"/>
    <s v="No"/>
    <s v="Wide Reach"/>
    <s v="Evening"/>
    <x v="0"/>
    <n v="2"/>
  </r>
  <r>
    <x v="461"/>
    <s v="Swinging to the rhythms of a Frank Sinatra tribute, feeling the timeless charm of 'Fly Me to the Moon'."/>
    <s v="Charm"/>
    <d v="2019-06-10T18:45:00"/>
    <x v="0"/>
    <s v=" #Charm #SinatraTribute "/>
    <n v="22"/>
    <n v="45"/>
    <s v="USA"/>
    <n v="2019"/>
    <n v="6"/>
    <n v="10"/>
    <n v="18"/>
    <n v="67"/>
    <s v="Popular"/>
    <s v="No"/>
    <s v="Wide Reach"/>
    <s v="Evening"/>
    <x v="0"/>
    <n v="2.0454545454545454"/>
  </r>
  <r>
    <x v="462"/>
    <s v="In the mosh pit of a Metallica concert, the thunderous chords create a symphony of headbanging ecstasy."/>
    <s v="Ecstasy"/>
    <d v="2023-03-20T22:30:00"/>
    <x v="2"/>
    <s v=" #Ecstasy #MetallicaConcert "/>
    <n v="35"/>
    <n v="70"/>
    <s v="USA"/>
    <n v="2023"/>
    <n v="3"/>
    <n v="20"/>
    <n v="22"/>
    <n v="105"/>
    <s v="Popular"/>
    <s v="Yes"/>
    <s v="Wide Reach"/>
    <s v="Evening"/>
    <x v="0"/>
    <n v="2"/>
  </r>
  <r>
    <x v="463"/>
    <s v="Experiencing the magic of a Coldplay concert, where 'Fix You' becomes a beacon of hope in the night."/>
    <s v="Hope"/>
    <d v="2016-11-28T19:00:00"/>
    <x v="1"/>
    <s v=" #Hope #ColdplayMagic "/>
    <n v="30"/>
    <n v="60"/>
    <s v="UK"/>
    <n v="2016"/>
    <n v="11"/>
    <n v="28"/>
    <n v="19"/>
    <n v="90"/>
    <s v="Popular"/>
    <s v="Yes"/>
    <s v="Wide Reach"/>
    <s v="Evening"/>
    <x v="1"/>
    <n v="2"/>
  </r>
  <r>
    <x v="464"/>
    <s v="At a Justin Bieber concert, the infectious beats of 'Baby' create a dance floor of unbridled enthusiasm."/>
    <s v="Enthusiasm"/>
    <d v="2018-08-05T20:00:00"/>
    <x v="1"/>
    <s v=" #Enthusiasm #JustinBieber "/>
    <n v="40"/>
    <n v="80"/>
    <s v="Canada"/>
    <n v="2018"/>
    <n v="8"/>
    <n v="5"/>
    <n v="20"/>
    <n v="120"/>
    <s v="Popular"/>
    <s v="Yes"/>
    <s v="Wide Reach"/>
    <s v="Evening"/>
    <x v="0"/>
    <n v="2"/>
  </r>
  <r>
    <x v="465"/>
    <s v="In the spotlight at a Lady Gaga show, each costume change is a metamorphosis of creativity and artistry."/>
    <s v="Creativity"/>
    <d v="2021-04-15T21:30:00"/>
    <x v="0"/>
    <s v=" #Creativity #LadyGaga "/>
    <n v="35"/>
    <n v="70"/>
    <s v="USA"/>
    <n v="2021"/>
    <n v="4"/>
    <n v="15"/>
    <n v="21"/>
    <n v="105"/>
    <s v="Popular"/>
    <s v="Yes"/>
    <s v="Wide Reach"/>
    <s v="Evening"/>
    <x v="0"/>
    <n v="2"/>
  </r>
  <r>
    <x v="466"/>
    <s v="Immersed in the soulful melodies of Adele, tears flow freely, moved by the emotion of 'Hello'."/>
    <s v="Emotion"/>
    <d v="2019-11-28T19:45:00"/>
    <x v="2"/>
    <s v=" #Emotion #AdeleMelodies "/>
    <n v="30"/>
    <n v="60"/>
    <s v="UK"/>
    <n v="2019"/>
    <n v="11"/>
    <n v="28"/>
    <n v="19"/>
    <n v="90"/>
    <s v="Popular"/>
    <s v="Yes"/>
    <s v="Wide Reach"/>
    <s v="Evening"/>
    <x v="1"/>
    <n v="2"/>
  </r>
  <r>
    <x v="467"/>
    <s v="Drenched in confetti at a Katy Perry concert, a kaleidoscope of colors igniting the night sky."/>
    <s v="Colorful"/>
    <d v="2020-06-22T22:00:00"/>
    <x v="1"/>
    <s v=" #Colorful #KatyPerry "/>
    <n v="22"/>
    <n v="45"/>
    <s v="USA"/>
    <n v="2020"/>
    <n v="6"/>
    <n v="22"/>
    <n v="22"/>
    <n v="67"/>
    <s v="Popular"/>
    <s v="No"/>
    <s v="Wide Reach"/>
    <s v="Evening"/>
    <x v="0"/>
    <n v="2.0454545454545454"/>
  </r>
  <r>
    <x v="468"/>
    <s v="In the audience of a Jay-Z performance, the lyrics of 'Empire State of Mind' become an anthem of pride."/>
    <s v="Pride"/>
    <d v="2017-09-10T20:15:00"/>
    <x v="0"/>
    <s v=" #Pride #JayZAnthem "/>
    <n v="18"/>
    <n v="35"/>
    <s v="USA"/>
    <n v="2017"/>
    <n v="9"/>
    <n v="10"/>
    <n v="20"/>
    <n v="53"/>
    <s v="Normal"/>
    <s v="No"/>
    <s v="Standard"/>
    <s v="Evening"/>
    <x v="0"/>
    <n v="1.9444444444444444"/>
  </r>
  <r>
    <x v="469"/>
    <s v="Dancing to Shakira's rhythmic beats, hips swaying to the hypnotic charm of 'Hips Don't Lie'."/>
    <s v="Hypnotic"/>
    <d v="2022-02-28T21:15:00"/>
    <x v="2"/>
    <s v=" #Hypnotic #ShakiraRhythms "/>
    <n v="28"/>
    <n v="55"/>
    <s v="Colombia"/>
    <n v="2022"/>
    <n v="2"/>
    <n v="28"/>
    <n v="21"/>
    <n v="83"/>
    <s v="Popular"/>
    <s v="Yes"/>
    <s v="Wide Reach"/>
    <s v="Evening"/>
    <x v="4"/>
    <n v="1.9642857142857142"/>
  </r>
  <r>
    <x v="470"/>
    <s v="At a U2 concert, the anthemic chords of 'With or Without You' create a timeless moment of connection."/>
    <s v="Connection"/>
    <d v="2016-05-15T19:30:00"/>
    <x v="1"/>
    <s v=" #Connection #U2Anthem "/>
    <n v="25"/>
    <n v="50"/>
    <s v="Ireland"/>
    <n v="2016"/>
    <n v="5"/>
    <n v="15"/>
    <n v="19"/>
    <n v="75"/>
    <s v="Popular"/>
    <s v="No"/>
    <s v="Wide Reach"/>
    <s v="Evening"/>
    <x v="1"/>
    <n v="2"/>
  </r>
  <r>
    <x v="471"/>
    <s v="Rocking out at a Guns N' Roses show, the iconic riffs of 'Sweet Child o' Mine' echoing in the night."/>
    <s v="Iconic"/>
    <d v="2018-12-10T22:30:00"/>
    <x v="0"/>
    <s v=" #Iconic #GNRConcert "/>
    <n v="22"/>
    <n v="45"/>
    <s v="USA"/>
    <n v="2018"/>
    <n v="12"/>
    <n v="10"/>
    <n v="22"/>
    <n v="67"/>
    <s v="Popular"/>
    <s v="No"/>
    <s v="Wide Reach"/>
    <s v="Evening"/>
    <x v="0"/>
    <n v="2.0454545454545454"/>
  </r>
  <r>
    <x v="472"/>
    <s v="In the crowd of an Ariana Grande concert, the high notes of 'Into You' create a euphoric symphony."/>
    <s v="Euphoria"/>
    <d v="2023-01-22T20:00:00"/>
    <x v="2"/>
    <s v=" #Euphoria #ArianaGrande "/>
    <n v="35"/>
    <n v="70"/>
    <s v="USA"/>
    <n v="2023"/>
    <n v="1"/>
    <n v="22"/>
    <n v="20"/>
    <n v="105"/>
    <s v="Popular"/>
    <s v="Yes"/>
    <s v="Wide Reach"/>
    <s v="Evening"/>
    <x v="0"/>
    <n v="2"/>
  </r>
  <r>
    <x v="473"/>
    <s v="Swaying to the reggae vibes of Bob Marley's tribute concert, each chord a journey to Jamaica's soul."/>
    <s v="Journey"/>
    <d v="2020-03-05T18:45:00"/>
    <x v="1"/>
    <s v=" #Journey #BobMarleyTribute "/>
    <n v="30"/>
    <n v="60"/>
    <s v="Jamaica"/>
    <n v="2020"/>
    <n v="3"/>
    <n v="5"/>
    <n v="18"/>
    <n v="90"/>
    <s v="Popular"/>
    <s v="Yes"/>
    <s v="Wide Reach"/>
    <s v="Evening"/>
    <x v="0"/>
    <n v="2"/>
  </r>
  <r>
    <x v="474"/>
    <s v="Captivated by the spellbinding plot twists, the audience applauds, experiencing a rollercoaster of emotions at the movie premiere."/>
    <s v="Excitement"/>
    <d v="2018-10-12T20:00:00"/>
    <x v="0"/>
    <s v=" #Excitement #MoviePremiereThrills "/>
    <n v="40"/>
    <n v="80"/>
    <s v="USA"/>
    <n v="2018"/>
    <n v="10"/>
    <n v="12"/>
    <n v="20"/>
    <n v="120"/>
    <s v="Popular"/>
    <s v="Yes"/>
    <s v="Wide Reach"/>
    <s v="Evening"/>
    <x v="0"/>
    <n v="2"/>
  </r>
  <r>
    <x v="475"/>
    <s v="As the credits roll, a profound sense of nostalgia washes over, reminiscent of cherished moments in classic films."/>
    <s v="Nostalgia"/>
    <d v="2019-06-25T22:15:00"/>
    <x v="1"/>
    <s v=" #Nostalgia #ClassicFilmMoments "/>
    <n v="35"/>
    <n v="70"/>
    <s v="UK"/>
    <n v="2019"/>
    <n v="6"/>
    <n v="25"/>
    <n v="22"/>
    <n v="105"/>
    <s v="Popular"/>
    <s v="Yes"/>
    <s v="Wide Reach"/>
    <s v="Evening"/>
    <x v="1"/>
    <n v="2"/>
  </r>
  <r>
    <x v="476"/>
    <s v="Streaming the latest web series, the viewer is engrossed in the characters' journey, feeling a sense of connection and empathy."/>
    <s v="Engagement"/>
    <d v="2020-07-08T19:30:00"/>
    <x v="2"/>
    <s v=" #Engagement #WebSeriesJourney "/>
    <n v="30"/>
    <n v="60"/>
    <s v="Canada"/>
    <n v="2020"/>
    <n v="7"/>
    <n v="8"/>
    <n v="19"/>
    <n v="90"/>
    <s v="Popular"/>
    <s v="Yes"/>
    <s v="Wide Reach"/>
    <s v="Evening"/>
    <x v="0"/>
    <n v="2"/>
  </r>
  <r>
    <x v="477"/>
    <s v="At the film festival, the indie filmmaker's creation receives a standing ovation, evoking pride and a sense of accomplishment."/>
    <s v="Pride"/>
    <d v="2017-09-18T21:45:00"/>
    <x v="0"/>
    <s v=" #Pride #IndieFilmSuccess "/>
    <n v="22"/>
    <n v="45"/>
    <s v="Australia"/>
    <n v="2017"/>
    <n v="9"/>
    <n v="18"/>
    <n v="21"/>
    <n v="67"/>
    <s v="Popular"/>
    <s v="No"/>
    <s v="Wide Reach"/>
    <s v="Evening"/>
    <x v="2"/>
    <n v="2.0454545454545454"/>
  </r>
  <r>
    <x v="478"/>
    <s v="Watching a heartwarming family drama, tears flow freely as the characters overcome challenges, leaving the viewer with a warm glow."/>
    <s v="Touched"/>
    <d v="2021-01-15T18:00:00"/>
    <x v="1"/>
    <s v=" #Touched #FamilyDramaMoments "/>
    <n v="28"/>
    <n v="55"/>
    <s v="India"/>
    <n v="2021"/>
    <n v="1"/>
    <n v="15"/>
    <n v="18"/>
    <n v="83"/>
    <s v="Popular"/>
    <s v="Yes"/>
    <s v="Wide Reach"/>
    <s v="Evening"/>
    <x v="3"/>
    <n v="1.9642857142857142"/>
  </r>
  <r>
    <x v="479"/>
    <s v="At the Oscars, the actor graciously accepts an award, radiating joy and gratitude for the recognition of their outstanding performance."/>
    <s v="Gratitude"/>
    <d v="2016-02-28T20:30:00"/>
    <x v="2"/>
    <s v=" #Gratitude #OscarWinningMoment "/>
    <n v="18"/>
    <n v="35"/>
    <s v="USA"/>
    <n v="2016"/>
    <n v="2"/>
    <n v="28"/>
    <n v="20"/>
    <n v="53"/>
    <s v="Normal"/>
    <s v="No"/>
    <s v="Standard"/>
    <s v="Evening"/>
    <x v="0"/>
    <n v="1.9444444444444444"/>
  </r>
  <r>
    <x v="480"/>
    <s v="Discovering a hidden gem in the world of documentaries, the viewer is enlightened and inspired, feeling a renewed sense of curiosity."/>
    <s v="Inspiration"/>
    <d v="2022-04-20T17:30:00"/>
    <x v="0"/>
    <s v=" #Inspiration #HiddenGemDiscovery "/>
    <n v="22"/>
    <n v="45"/>
    <s v="France"/>
    <n v="2022"/>
    <n v="4"/>
    <n v="20"/>
    <n v="17"/>
    <n v="67"/>
    <s v="Popular"/>
    <s v="No"/>
    <s v="Wide Reach"/>
    <s v="Afternoon"/>
    <x v="1"/>
    <n v="2.0454545454545454"/>
  </r>
  <r>
    <x v="481"/>
    <s v="As the movie credits roll, the viewer experiences a mix of awe and contemplation, pondering the deeper meanings woven into the storyline."/>
    <s v="Contemplation"/>
    <d v="2019-11-05T21:15:00"/>
    <x v="1"/>
    <s v=" #Contemplation #DeepMeanings "/>
    <n v="28"/>
    <n v="55"/>
    <s v="Germany"/>
    <n v="2019"/>
    <n v="11"/>
    <n v="5"/>
    <n v="21"/>
    <n v="83"/>
    <s v="Popular"/>
    <s v="Yes"/>
    <s v="Wide Reach"/>
    <s v="Evening"/>
    <x v="1"/>
    <n v="1.9642857142857142"/>
  </r>
  <r>
    <x v="482"/>
    <s v="Binge-watching a thrilling crime series, the suspense keeps the viewer on the edge of their seat, creating a rush of adrenaline."/>
    <s v="Suspense"/>
    <d v="2015-07-12T22:00:00"/>
    <x v="2"/>
    <s v=" #Suspense #CrimeSeriesThrills "/>
    <n v="35"/>
    <n v="70"/>
    <s v="Japan"/>
    <n v="2015"/>
    <n v="7"/>
    <n v="12"/>
    <n v="22"/>
    <n v="105"/>
    <s v="Popular"/>
    <s v="Yes"/>
    <s v="Wide Reach"/>
    <s v="Evening"/>
    <x v="3"/>
    <n v="2"/>
  </r>
  <r>
    <x v="483"/>
    <s v="As the closing scene unfolds, a sense of satisfaction washes over, completing the cinematic journey with a profound and fulfilling ending."/>
    <s v="Satisfaction"/>
    <d v="2020-09-10T19:45:00"/>
    <x v="0"/>
    <s v=" #Satisfaction #FulfillingEnding "/>
    <n v="22"/>
    <n v="45"/>
    <s v="Brazil"/>
    <n v="2020"/>
    <n v="9"/>
    <n v="10"/>
    <n v="19"/>
    <n v="67"/>
    <s v="Popular"/>
    <s v="No"/>
    <s v="Wide Reach"/>
    <s v="Evening"/>
    <x v="4"/>
    <n v="2.0454545454545454"/>
  </r>
  <r>
    <x v="484"/>
    <s v="Celebrating a historic victory in the World Cup, the nation erupts in joy, united by the triumph of their football team."/>
    <s v="Joy"/>
    <d v="2018-07-15T21:30:00"/>
    <x v="1"/>
    <s v=" #Joy #WorldCupTriumph "/>
    <n v="40"/>
    <n v="80"/>
    <s v="Brazil"/>
    <n v="2018"/>
    <n v="7"/>
    <n v="15"/>
    <n v="21"/>
    <n v="120"/>
    <s v="Popular"/>
    <s v="Yes"/>
    <s v="Wide Reach"/>
    <s v="Evening"/>
    <x v="4"/>
    <n v="2"/>
  </r>
  <r>
    <x v="485"/>
    <s v="At the Olympics, the athlete's perseverance shines through, earning a gold medal and inspiring a generation with their remarkable achievement."/>
    <s v="Inspiration"/>
    <d v="2020-08-08T19:45:00"/>
    <x v="0"/>
    <s v=" #Inspiration #OlympicAchievement "/>
    <n v="35"/>
    <n v="70"/>
    <s v="USA"/>
    <n v="2020"/>
    <n v="8"/>
    <n v="8"/>
    <n v="19"/>
    <n v="105"/>
    <s v="Popular"/>
    <s v="Yes"/>
    <s v="Wide Reach"/>
    <s v="Evening"/>
    <x v="0"/>
    <n v="2"/>
  </r>
  <r>
    <x v="486"/>
    <s v="In the cricket championship, a nail-biting finish leaves fans on the edge of their seats, experiencing a rollercoaster of emotions."/>
    <s v="Excitement"/>
    <d v="2019-06-25T22:15:00"/>
    <x v="2"/>
    <s v=" #Excitement #CricketChampionship "/>
    <n v="30"/>
    <n v="60"/>
    <s v="India"/>
    <n v="2019"/>
    <n v="6"/>
    <n v="25"/>
    <n v="22"/>
    <n v="90"/>
    <s v="Popular"/>
    <s v="Yes"/>
    <s v="Wide Reach"/>
    <s v="Evening"/>
    <x v="3"/>
    <n v="2"/>
  </r>
  <r>
    <x v="487"/>
    <s v="Witnessing a record-breaking marathon, spectators are filled with awe and admiration for the endurance and dedication of the runners."/>
    <s v="Admiration"/>
    <d v="2021-11-07T17:30:00"/>
    <x v="1"/>
    <s v=" #Admiration #MarathonRecords "/>
    <n v="22"/>
    <n v="45"/>
    <s v="Kenya"/>
    <n v="2021"/>
    <n v="11"/>
    <n v="7"/>
    <n v="17"/>
    <n v="67"/>
    <s v="Popular"/>
    <s v="No"/>
    <s v="Wide Reach"/>
    <s v="Afternoon"/>
    <x v="5"/>
    <n v="2.0454545454545454"/>
  </r>
  <r>
    <x v="488"/>
    <s v="In the tennis grand slam, a fierce rivalry unfolds, captivating fans with a display of skill and sportsmanship on the world stage."/>
    <s v="Captivation"/>
    <d v="2017-09-10T20:15:00"/>
    <x v="0"/>
    <s v=" #Captivation #TennisRivalry "/>
    <n v="28"/>
    <n v="55"/>
    <s v="UK"/>
    <n v="2017"/>
    <n v="9"/>
    <n v="10"/>
    <n v="20"/>
    <n v="83"/>
    <s v="Popular"/>
    <s v="Yes"/>
    <s v="Wide Reach"/>
    <s v="Evening"/>
    <x v="1"/>
    <n v="1.9642857142857142"/>
  </r>
  <r>
    <x v="489"/>
    <s v="Cheering for the underdog in the basketball finals, the crowd erupts in applause as the team defies odds to claim the championship title."/>
    <s v="Triumph"/>
    <d v="2022-06-20T21:00:00"/>
    <x v="2"/>
    <s v=" #Triumph #BasketballFinals "/>
    <n v="18"/>
    <n v="35"/>
    <s v="USA"/>
    <n v="2022"/>
    <n v="6"/>
    <n v="20"/>
    <n v="21"/>
    <n v="53"/>
    <s v="Normal"/>
    <s v="No"/>
    <s v="Standard"/>
    <s v="Evening"/>
    <x v="0"/>
    <n v="1.9444444444444444"/>
  </r>
  <r>
    <x v="490"/>
    <s v="At the golf tournament, the golfer's precision and focus lead to a stunning victory, leaving spectators in awe of their exceptional skill."/>
    <s v="Awe"/>
    <d v="2016-04-10T18:30:00"/>
    <x v="1"/>
    <s v=" #Awe #GolfVictory "/>
    <n v="22"/>
    <n v="45"/>
    <s v="Scotland"/>
    <n v="2016"/>
    <n v="4"/>
    <n v="10"/>
    <n v="18"/>
    <n v="67"/>
    <s v="Popular"/>
    <s v="No"/>
    <s v="Wide Reach"/>
    <s v="Evening"/>
    <x v="1"/>
    <n v="2.0454545454545454"/>
  </r>
  <r>
    <x v="491"/>
    <s v="Experiencing the thrill of a high-speed Formula 1 race, fans are on the edge of their seats as drivers compete for the championship."/>
    <s v="Thrill"/>
    <d v="2019-11-24T19:45:00"/>
    <x v="0"/>
    <s v=" #Thrill #Formula1Championship "/>
    <n v="28"/>
    <n v="55"/>
    <s v="Germany"/>
    <n v="2019"/>
    <n v="11"/>
    <n v="24"/>
    <n v="19"/>
    <n v="83"/>
    <s v="Popular"/>
    <s v="Yes"/>
    <s v="Wide Reach"/>
    <s v="Evening"/>
    <x v="1"/>
    <n v="1.9642857142857142"/>
  </r>
  <r>
    <x v="492"/>
    <s v="In the cycling world championship, the climber conquers challenging terrains, symbolizing determination and achievement against all odds."/>
    <s v="Determination"/>
    <d v="2015-09-28T22:30:00"/>
    <x v="2"/>
    <s v=" #Determination #CyclingChampion "/>
    <n v="35"/>
    <n v="70"/>
    <s v="Italy"/>
    <n v="2015"/>
    <n v="9"/>
    <n v="28"/>
    <n v="22"/>
    <n v="105"/>
    <s v="Popular"/>
    <s v="Yes"/>
    <s v="Wide Reach"/>
    <s v="Evening"/>
    <x v="1"/>
    <n v="2"/>
  </r>
  <r>
    <x v="493"/>
    <s v="Witnessing a heartwarming comeback in the hockey finals, fans share tears of joy as the team secures a historic victory after adversity."/>
    <s v="Heartwarming"/>
    <d v="2020-12-12T20:00:00"/>
    <x v="1"/>
    <s v=" #Heartwarming #HockeyFinalsComeback "/>
    <n v="22"/>
    <n v="45"/>
    <s v="Canada"/>
    <n v="2020"/>
    <n v="12"/>
    <n v="12"/>
    <n v="20"/>
    <n v="67"/>
    <s v="Popular"/>
    <s v="No"/>
    <s v="Wide Reach"/>
    <s v="Evening"/>
    <x v="0"/>
    <n v="2.0454545454545454"/>
  </r>
  <r>
    <x v="494"/>
    <s v="After a series of defeats, the soccer team faces disappointment, struggling to find the silver lining in a challenging season."/>
    <s v="Disappointment"/>
    <d v="2019-11-02T18:45:00"/>
    <x v="0"/>
    <s v=" #Disappointment #SoccerDefeats "/>
    <n v="40"/>
    <n v="80"/>
    <s v="Brazil"/>
    <n v="2019"/>
    <n v="11"/>
    <n v="2"/>
    <n v="18"/>
    <n v="120"/>
    <s v="Popular"/>
    <s v="Yes"/>
    <s v="Wide Reach"/>
    <s v="Evening"/>
    <x v="4"/>
    <n v="2"/>
  </r>
  <r>
    <x v="495"/>
    <s v="In the tennis tournament, a highly anticipated player experiences a setback, leaving fans in shock and questioning the unforeseen turn of events."/>
    <s v="Frustration"/>
    <d v="2018-07-10T21:15:00"/>
    <x v="1"/>
    <s v=" #Frustration #TennisSetback "/>
    <n v="35"/>
    <n v="70"/>
    <s v="USA"/>
    <n v="2018"/>
    <n v="7"/>
    <n v="10"/>
    <n v="21"/>
    <n v="105"/>
    <s v="Popular"/>
    <s v="Yes"/>
    <s v="Wide Reach"/>
    <s v="Evening"/>
    <x v="0"/>
    <n v="2"/>
  </r>
  <r>
    <x v="496"/>
    <s v="Facing a defeat in the championship, the boxer reflects on the challenges, vowing to return stronger and more determined in the next bout."/>
    <s v="Reflection"/>
    <d v="2020-09-18T19:30:00"/>
    <x v="2"/>
    <s v=" #Reflection #BoxingDefeat "/>
    <n v="30"/>
    <n v="60"/>
    <s v="UK"/>
    <n v="2020"/>
    <n v="9"/>
    <n v="18"/>
    <n v="19"/>
    <n v="90"/>
    <s v="Popular"/>
    <s v="Yes"/>
    <s v="Wide Reach"/>
    <s v="Evening"/>
    <x v="1"/>
    <n v="2"/>
  </r>
  <r>
    <x v="497"/>
    <s v="In the midst of a cycling race, a tire blowout leads to frustration for the cyclist, who valiantly tries to overcome the unexpected obstacle."/>
    <s v="Obstacle"/>
    <d v="2017-05-15T22:00:00"/>
    <x v="0"/>
    <s v=" #Obstacle #CyclingFrustration "/>
    <n v="22"/>
    <n v="45"/>
    <s v="France"/>
    <n v="2017"/>
    <n v="5"/>
    <n v="15"/>
    <n v="22"/>
    <n v="67"/>
    <s v="Popular"/>
    <s v="No"/>
    <s v="Wide Reach"/>
    <s v="Evening"/>
    <x v="1"/>
    <n v="2.0454545454545454"/>
  </r>
  <r>
    <x v="498"/>
    <s v="The gymnast's unexpected fall during a routine sparks a wave of sympathy from the audience, highlighting the vulnerability of sports."/>
    <s v="Sympathy"/>
    <d v="2021-04-05T20:15:00"/>
    <x v="1"/>
    <s v=" #Sympathy #GymnasticsFall "/>
    <n v="28"/>
    <n v="55"/>
    <s v="Japan"/>
    <n v="2021"/>
    <n v="4"/>
    <n v="5"/>
    <n v="20"/>
    <n v="83"/>
    <s v="Popular"/>
    <s v="Yes"/>
    <s v="Wide Reach"/>
    <s v="Evening"/>
    <x v="3"/>
    <n v="1.9642857142857142"/>
  </r>
  <r>
    <x v="499"/>
    <s v="In the golf tournament, a missed crucial putt results in defeat, causing the golfer to reflect on the pressure of high-stakes competition."/>
    <s v="Pressure"/>
    <d v="2016-08-20T18:30:00"/>
    <x v="2"/>
    <s v=" #Pressure #GolfDefeat "/>
    <n v="18"/>
    <n v="35"/>
    <s v="USA"/>
    <n v="2016"/>
    <n v="8"/>
    <n v="20"/>
    <n v="18"/>
    <n v="53"/>
    <s v="Normal"/>
    <s v="No"/>
    <s v="Standard"/>
    <s v="Evening"/>
    <x v="0"/>
    <n v="1.9444444444444444"/>
  </r>
  <r>
    <x v="500"/>
    <s v="Experiencing a series of losses in the basketball season, the team grapples with frustration, determined to turn the tide with renewed effort."/>
    <s v="Renewed Effort"/>
    <d v="2019-02-12T19:45:00"/>
    <x v="0"/>
    <s v=" #RenewedEffort #BasketballStruggles "/>
    <n v="22"/>
    <n v="45"/>
    <s v="Canada"/>
    <n v="2019"/>
    <n v="2"/>
    <n v="12"/>
    <n v="19"/>
    <n v="67"/>
    <s v="Popular"/>
    <s v="No"/>
    <s v="Wide Reach"/>
    <s v="Evening"/>
    <x v="0"/>
    <n v="2.0454545454545454"/>
  </r>
  <r>
    <x v="501"/>
    <s v="Despite meticulous training, the swimmer faces disappointment as a split-second miscalculation costs them the lead in a crucial race."/>
    <s v="Miscalculation"/>
    <d v="2015-06-28T20:00:00"/>
    <x v="1"/>
    <s v=" #Miscalculation #SwimmingDisappointment "/>
    <n v="28"/>
    <n v="55"/>
    <s v="Australia"/>
    <n v="2015"/>
    <n v="6"/>
    <n v="28"/>
    <n v="20"/>
    <n v="83"/>
    <s v="Popular"/>
    <s v="Yes"/>
    <s v="Wide Reach"/>
    <s v="Evening"/>
    <x v="2"/>
    <n v="1.9642857142857142"/>
  </r>
  <r>
    <x v="502"/>
    <s v="The weightlifter's failed attempt at a personal record results in frustration, highlighting the challenging nature of pushing physical limits."/>
    <s v="Challenge"/>
    <d v="2022-01-08T21:30:00"/>
    <x v="2"/>
    <s v=" #Challenge #WeightliftingFailure "/>
    <n v="35"/>
    <n v="70"/>
    <s v="Germany"/>
    <n v="2022"/>
    <n v="1"/>
    <n v="8"/>
    <n v="21"/>
    <n v="105"/>
    <s v="Popular"/>
    <s v="Yes"/>
    <s v="Wide Reach"/>
    <s v="Evening"/>
    <x v="1"/>
    <n v="2"/>
  </r>
  <r>
    <x v="503"/>
    <s v="In the midst of a soccer match, an unexpected own goal creates a moment of despair for the player, as teammates console and encourage them."/>
    <s v="Despair"/>
    <d v="2018-12-15T20:15:00"/>
    <x v="0"/>
    <s v=" #Despair #OwnGoal "/>
    <n v="22"/>
    <n v="45"/>
    <s v="Spain"/>
    <n v="2018"/>
    <n v="12"/>
    <n v="15"/>
    <n v="20"/>
    <n v="67"/>
    <s v="Popular"/>
    <s v="No"/>
    <s v="Wide Reach"/>
    <s v="Evening"/>
    <x v="1"/>
    <n v="2.0454545454545454"/>
  </r>
  <r>
    <x v="504"/>
    <s v="In the serene beauty of a sunset, nature unfolds a canvas of colors, evoking a sense of tranquility and wonder."/>
    <s v="Tranquility"/>
    <d v="2021-07-10T19:00:00"/>
    <x v="1"/>
    <s v=" #Tranquility #SunsetBeauty "/>
    <n v="40"/>
    <n v="80"/>
    <s v="Canada"/>
    <n v="2021"/>
    <n v="7"/>
    <n v="10"/>
    <n v="19"/>
    <n v="120"/>
    <s v="Popular"/>
    <s v="Yes"/>
    <s v="Wide Reach"/>
    <s v="Evening"/>
    <x v="0"/>
    <n v="2"/>
  </r>
  <r>
    <x v="505"/>
    <s v="Embarking on a spontaneous road trip, the traveler discovers hidden gems, creating memories that will be cherished for a lifetime."/>
    <s v="Adventure"/>
    <d v="2019-09-28T20:30:00"/>
    <x v="0"/>
    <s v=" #Adventure #RoadTripMemories "/>
    <n v="35"/>
    <n v="70"/>
    <s v="USA"/>
    <n v="2019"/>
    <n v="9"/>
    <n v="28"/>
    <n v="20"/>
    <n v="105"/>
    <s v="Popular"/>
    <s v="Yes"/>
    <s v="Wide Reach"/>
    <s v="Evening"/>
    <x v="0"/>
    <n v="2"/>
  </r>
  <r>
    <x v="506"/>
    <s v="Amidst the bustling city, a quiet cafÃ© becomes a sanctuary for reflection, where a cup of coffee brings solace to the wandering mind."/>
    <s v="Solace"/>
    <d v="2022-03-15T18:45:00"/>
    <x v="2"/>
    <s v=" #Solace #CafeReflection "/>
    <n v="30"/>
    <n v="60"/>
    <s v="France"/>
    <n v="2022"/>
    <n v="3"/>
    <n v="15"/>
    <n v="18"/>
    <n v="90"/>
    <s v="Popular"/>
    <s v="Yes"/>
    <s v="Wide Reach"/>
    <s v="Evening"/>
    <x v="1"/>
    <n v="2"/>
  </r>
  <r>
    <x v="507"/>
    <s v="Exploring the vibrant street art of a cultural neighborhood, each mural tells a story, infusing the city with creativity and expression."/>
    <s v="Creativity"/>
    <d v="2017-11-05T21:15:00"/>
    <x v="1"/>
    <s v=" #Creativity #StreetArtVibes "/>
    <n v="22"/>
    <n v="45"/>
    <s v="Brazil"/>
    <n v="2017"/>
    <n v="11"/>
    <n v="5"/>
    <n v="21"/>
    <n v="67"/>
    <s v="Popular"/>
    <s v="No"/>
    <s v="Wide Reach"/>
    <s v="Evening"/>
    <x v="4"/>
    <n v="2.0454545454545454"/>
  </r>
  <r>
    <x v="508"/>
    <s v="In the world of science, a breakthrough discovery unfolds, pushing the boundaries of knowledge and opening new frontiers of exploration."/>
    <s v="Breakthrough"/>
    <d v="2020-05-20T16:30:00"/>
    <x v="0"/>
    <s v=" #Breakthrough #ScientificDiscovery "/>
    <n v="28"/>
    <n v="55"/>
    <s v="Germany"/>
    <n v="2020"/>
    <n v="5"/>
    <n v="20"/>
    <n v="16"/>
    <n v="83"/>
    <s v="Popular"/>
    <s v="Yes"/>
    <s v="Wide Reach"/>
    <s v="Afternoon"/>
    <x v="1"/>
    <n v="1.9642857142857142"/>
  </r>
  <r>
    <x v="509"/>
    <s v="Connecting with the melody of a live orchestra, the music enthusiast experiences a symphony that resonates deep within the soul."/>
    <s v="Harmony"/>
    <d v="2016-08-22T19:45:00"/>
    <x v="2"/>
    <s v=" #Harmony #OrchestraMelody "/>
    <n v="18"/>
    <n v="35"/>
    <s v="UK"/>
    <n v="2016"/>
    <n v="8"/>
    <n v="22"/>
    <n v="19"/>
    <n v="53"/>
    <s v="Normal"/>
    <s v="No"/>
    <s v="Standard"/>
    <s v="Evening"/>
    <x v="1"/>
    <n v="1.9444444444444444"/>
  </r>
  <r>
    <x v="510"/>
    <s v="Embracing the aroma of freshly baked bread, the home chef finds joy in the art of baking, creating delicious memories for loved ones."/>
    <s v="Joy in Baking"/>
    <d v="2023-04-10T17:15:00"/>
    <x v="1"/>
    <s v=" #JoyInBaking #HomemadeDelights "/>
    <n v="22"/>
    <n v="45"/>
    <s v="India"/>
    <n v="2023"/>
    <n v="4"/>
    <n v="10"/>
    <n v="17"/>
    <n v="67"/>
    <s v="Popular"/>
    <s v="No"/>
    <s v="Wide Reach"/>
    <s v="Afternoon"/>
    <x v="3"/>
    <n v="2.0454545454545454"/>
  </r>
  <r>
    <x v="511"/>
    <s v="Wandering through a historical museum, the history enthusiast becomes immersed in the tales of the past, envisioning bygone eras."/>
    <s v="Envisioning History"/>
    <d v="2015-12-18T18:00:00"/>
    <x v="0"/>
    <s v=" #EnvisioningHistory #MuseumTales "/>
    <n v="28"/>
    <n v="55"/>
    <s v="Italy"/>
    <n v="2015"/>
    <n v="12"/>
    <n v="18"/>
    <n v="18"/>
    <n v="83"/>
    <s v="Popular"/>
    <s v="Yes"/>
    <s v="Wide Reach"/>
    <s v="Evening"/>
    <x v="1"/>
    <n v="1.9642857142857142"/>
  </r>
  <r>
    <x v="512"/>
    <s v="In the realm of literature, a captivating novel transports the reader to distant lands, weaving a tapestry of imagination and escape."/>
    <s v="Imagination"/>
    <d v="2021-10-08T20:30:00"/>
    <x v="2"/>
    <s v=" #Imagination #LiteraryEscape "/>
    <n v="35"/>
    <n v="70"/>
    <s v="Japan"/>
    <n v="2021"/>
    <n v="10"/>
    <n v="8"/>
    <n v="20"/>
    <n v="105"/>
    <s v="Popular"/>
    <s v="Yes"/>
    <s v="Wide Reach"/>
    <s v="Evening"/>
    <x v="3"/>
    <n v="2"/>
  </r>
  <r>
    <x v="513"/>
    <s v="Capturing the essence of a bustling market, the photographer freezes moments in time, each frame telling a unique and vibrant story."/>
    <s v="Vibrancy"/>
    <d v="2019-03-22T21:45:00"/>
    <x v="1"/>
    <s v=" #Vibrancy #MarketStories "/>
    <n v="22"/>
    <n v="45"/>
    <s v="Australia"/>
    <n v="2019"/>
    <n v="3"/>
    <n v="22"/>
    <n v="21"/>
    <n v="67"/>
    <s v="Popular"/>
    <s v="No"/>
    <s v="Wide Reach"/>
    <s v="Evening"/>
    <x v="2"/>
    <n v="2.0454545454545454"/>
  </r>
  <r>
    <x v="514"/>
    <s v="Underneath the city lights, the dancer expresses emotions through graceful movements, creating a mesmerizing performance under the night sky."/>
    <s v="Mesmerizing"/>
    <d v="2018-06-15T22:00:00"/>
    <x v="0"/>
    <s v=" #Mesmerizing #NightDancePerformance "/>
    <n v="40"/>
    <n v="80"/>
    <s v="USA"/>
    <n v="2018"/>
    <n v="6"/>
    <n v="15"/>
    <n v="22"/>
    <n v="120"/>
    <s v="Popular"/>
    <s v="Yes"/>
    <s v="Wide Reach"/>
    <s v="Evening"/>
    <x v="0"/>
    <n v="2"/>
  </r>
  <r>
    <x v="515"/>
    <s v="In the heart of a bustling market, the street food connoisseur indulges in a culinary adventure, savoring diverse flavors and aromas."/>
    <s v="Culinary Adventure"/>
    <d v="2019-08-28T19:30:00"/>
    <x v="1"/>
    <s v=" #CulinaryAdventure #StreetFoodDelights "/>
    <n v="35"/>
    <n v="70"/>
    <s v="Thailand"/>
    <n v="2019"/>
    <n v="8"/>
    <n v="28"/>
    <n v="19"/>
    <n v="105"/>
    <s v="Popular"/>
    <s v="Yes"/>
    <s v="Wide Reach"/>
    <s v="Evening"/>
    <x v="3"/>
    <n v="2"/>
  </r>
  <r>
    <x v="516"/>
    <s v="As the first snowflake descends, the winter enthusiast eagerly prepares for a season of frosty delights, anticipating the magic of snow-covered landscapes."/>
    <s v="Winter Magic"/>
    <d v="2022-12-01T17:45:00"/>
    <x v="2"/>
    <s v=" #WinterMagic #SnowyLandscapes "/>
    <n v="30"/>
    <n v="60"/>
    <s v="Canada"/>
    <n v="2022"/>
    <n v="12"/>
    <n v="1"/>
    <n v="17"/>
    <n v="90"/>
    <s v="Popular"/>
    <s v="Yes"/>
    <s v="Wide Reach"/>
    <s v="Afternoon"/>
    <x v="0"/>
    <n v="2"/>
  </r>
  <r>
    <x v="517"/>
    <s v="Amidst the pages of a captivating mystery novel, the reader unravels clues and secrets, experiencing a thrilling journey of suspense and revelation."/>
    <s v="Thrilling Journey"/>
    <d v="2017-04-10T21:15:00"/>
    <x v="0"/>
    <s v=" #ThrillingJourney #MysteryNovel "/>
    <n v="22"/>
    <n v="45"/>
    <s v="UK"/>
    <n v="2017"/>
    <n v="4"/>
    <n v="10"/>
    <n v="21"/>
    <n v="67"/>
    <s v="Popular"/>
    <s v="No"/>
    <s v="Wide Reach"/>
    <s v="Evening"/>
    <x v="1"/>
    <n v="2.0454545454545454"/>
  </r>
  <r>
    <x v="518"/>
    <s v="Surrounded by the vibrant colors of a flower garden, the gardener nurtures blossoms, finding joy in the beauty of nature's ever-changing canvas."/>
    <s v="Nature's Beauty"/>
    <d v="2020-05-15T18:30:00"/>
    <x v="1"/>
    <s v=" #NaturesBeauty #FloralJoy "/>
    <n v="28"/>
    <n v="55"/>
    <s v="Australia"/>
    <n v="2020"/>
    <n v="5"/>
    <n v="15"/>
    <n v="18"/>
    <n v="83"/>
    <s v="Popular"/>
    <s v="Yes"/>
    <s v="Wide Reach"/>
    <s v="Evening"/>
    <x v="2"/>
    <n v="1.9642857142857142"/>
  </r>
  <r>
    <x v="519"/>
    <s v="At the astronomy observatory, the stargazer marvels at the vastness of the cosmos, contemplating the mysteries hidden within the celestial expanse."/>
    <s v="Celestial Wonder"/>
    <d v="2016-09-22T20:00:00"/>
    <x v="2"/>
    <s v=" #CelestialWonder #Stargazing "/>
    <n v="18"/>
    <n v="35"/>
    <s v="USA"/>
    <n v="2016"/>
    <n v="9"/>
    <n v="22"/>
    <n v="20"/>
    <n v="53"/>
    <s v="Normal"/>
    <s v="No"/>
    <s v="Standard"/>
    <s v="Evening"/>
    <x v="0"/>
    <n v="1.9444444444444444"/>
  </r>
  <r>
    <x v="520"/>
    <s v="Engulfed in the aroma of freshly brewed coffee, the writer finds inspiration in every sip, embarking on a journey of creativity and prose."/>
    <s v="Creative Inspiration"/>
    <d v="2023-02-12T19:45:00"/>
    <x v="0"/>
    <s v=" #CreativeInspiration #CoffeeJourney "/>
    <n v="22"/>
    <n v="45"/>
    <s v="France"/>
    <n v="2023"/>
    <n v="2"/>
    <n v="12"/>
    <n v="19"/>
    <n v="67"/>
    <s v="Popular"/>
    <s v="No"/>
    <s v="Wide Reach"/>
    <s v="Evening"/>
    <x v="1"/>
    <n v="2.0454545454545454"/>
  </r>
  <r>
    <x v="521"/>
    <s v="In the realm of fashion, the designer unveils a collection that tells a story, blending innovation and tradition on the runway of creativity."/>
    <s v="Runway Creativity"/>
    <d v="2015-11-10T21:00:00"/>
    <x v="1"/>
    <s v=" #RunwayCreativity #FashionInnovation "/>
    <n v="28"/>
    <n v="55"/>
    <s v="Italy"/>
    <n v="2015"/>
    <n v="11"/>
    <n v="10"/>
    <n v="21"/>
    <n v="83"/>
    <s v="Popular"/>
    <s v="Yes"/>
    <s v="Wide Reach"/>
    <s v="Evening"/>
    <x v="1"/>
    <n v="1.9642857142857142"/>
  </r>
  <r>
    <x v="522"/>
    <s v="As the waves crash against the shore, the surfer embraces the thrill of riding the ocean's energy, capturing the essence of freedom in each wave."/>
    <s v="Ocean's Freedom"/>
    <d v="2021-07-20T18:15:00"/>
    <x v="2"/>
    <s v=" #OceansFreedom #SurfingThrills "/>
    <n v="22"/>
    <n v="45"/>
    <s v="Brazil"/>
    <n v="2021"/>
    <n v="7"/>
    <n v="20"/>
    <n v="18"/>
    <n v="67"/>
    <s v="Popular"/>
    <s v="No"/>
    <s v="Wide Reach"/>
    <s v="Evening"/>
    <x v="4"/>
    <n v="2.0454545454545454"/>
  </r>
  <r>
    <x v="523"/>
    <s v="Exploring the historical architecture of an ancient city, the traveler is transported to a bygone era, where each monument whispers tales of the past."/>
    <s v="Whispers of the Past"/>
    <d v="2019-04-18T20:30:00"/>
    <x v="0"/>
    <s v=" #WhispersOfThePast #HistoricalTour "/>
    <n v="35"/>
    <n v="70"/>
    <s v="Greece"/>
    <n v="2019"/>
    <n v="4"/>
    <n v="18"/>
    <n v="20"/>
    <n v="105"/>
    <s v="Popular"/>
    <s v="Yes"/>
    <s v="Wide Reach"/>
    <s v="Evening"/>
    <x v="1"/>
    <n v="2"/>
  </r>
  <r>
    <x v="524"/>
    <s v="Successfully avoided eye contact with my crush in the hallway. Mission accomplished. #TeenCrush #StealthMode"/>
    <s v="Excitement"/>
    <d v="2023-05-20T19:45:00"/>
    <x v="0"/>
    <s v=" #CrushStruggles #AvoidingEyeContact "/>
    <n v="15"/>
    <n v="30"/>
    <s v="USA"/>
    <n v="2023"/>
    <n v="5"/>
    <n v="20"/>
    <n v="19"/>
    <n v="45"/>
    <s v="Normal"/>
    <s v="No"/>
    <s v="Standard"/>
    <s v="Evening"/>
    <x v="0"/>
    <n v="2"/>
  </r>
  <r>
    <x v="7"/>
    <s v="Ran out of snacks during a movie marathon. Crisis level: Emergency! #MovieNightStruggles #TeenProblems"/>
    <s v="Boredom"/>
    <d v="2023-05-21T21:00:00"/>
    <x v="1"/>
    <s v=" #SnackCrisis #TeenLife "/>
    <n v="18"/>
    <n v="35"/>
    <s v="Canada"/>
    <n v="2023"/>
    <n v="5"/>
    <n v="21"/>
    <n v="21"/>
    <n v="53"/>
    <s v="Normal"/>
    <s v="No"/>
    <s v="Standard"/>
    <s v="Evening"/>
    <x v="0"/>
    <n v="1.9444444444444444"/>
  </r>
  <r>
    <x v="525"/>
    <s v="Spent an hour choosing the perfect filter for a selfie. The struggle for that Instagram aesthetic is real. #SelfieQueen #TeenVibes"/>
    <s v="Joy"/>
    <d v="2023-05-22T14:30:00"/>
    <x v="2"/>
    <s v=" #SelfieStruggle #TeenConfessions "/>
    <n v="22"/>
    <n v="45"/>
    <s v="UK"/>
    <n v="2023"/>
    <n v="5"/>
    <n v="22"/>
    <n v="14"/>
    <n v="67"/>
    <s v="Popular"/>
    <s v="No"/>
    <s v="Wide Reach"/>
    <s v="Afternoon"/>
    <x v="1"/>
    <n v="2.0454545454545454"/>
  </r>
  <r>
    <x v="526"/>
    <s v="Lost my headphones again. How do they vanish into thin air? #HeadphoneMystery #TeenLife"/>
    <s v="Frustration"/>
    <d v="2023-05-23T16:45:00"/>
    <x v="0"/>
    <s v=" #TeenProblems #LostHeadphones "/>
    <n v="20"/>
    <n v="40"/>
    <s v="USA"/>
    <n v="2023"/>
    <n v="5"/>
    <n v="23"/>
    <n v="16"/>
    <n v="60"/>
    <s v="Normal"/>
    <s v="No"/>
    <s v="Standard"/>
    <s v="Afternoon"/>
    <x v="0"/>
    <n v="2"/>
  </r>
  <r>
    <x v="527"/>
    <s v="Decided to study for exams but ended up making memes about studying instead. Procrastination level: Expert. #ProcrastinationNation #TeenConfessions"/>
    <s v="Surprise"/>
    <d v="2023-05-24T13:15:00"/>
    <x v="1"/>
    <s v=" #StudyingMemes #TeenLife "/>
    <n v="25"/>
    <n v="50"/>
    <s v="Canada"/>
    <n v="2023"/>
    <n v="5"/>
    <n v="24"/>
    <n v="13"/>
    <n v="75"/>
    <s v="Popular"/>
    <s v="No"/>
    <s v="Wide Reach"/>
    <s v="Afternoon"/>
    <x v="0"/>
    <n v="2"/>
  </r>
  <r>
    <x v="528"/>
    <s v="Got dressed for the day, then remembered it's Saturday. Oops. #WeekendVibes #TeenStruggles"/>
    <s v="Indifference"/>
    <d v="2023-05-25T19:00:00"/>
    <x v="2"/>
    <s v=" #WeekendOops #TeenFashion "/>
    <n v="20"/>
    <n v="40"/>
    <s v="USA"/>
    <n v="2023"/>
    <n v="5"/>
    <n v="25"/>
    <n v="19"/>
    <n v="60"/>
    <s v="Normal"/>
    <s v="No"/>
    <s v="Standard"/>
    <s v="Evening"/>
    <x v="0"/>
    <n v="2"/>
  </r>
  <r>
    <x v="529"/>
    <s v="Survived a group project without any drama. Miracles do happen. #GroupProjectSuccess #TeenAchievements"/>
    <s v="Satisfaction"/>
    <d v="2023-05-26T14:20:00"/>
    <x v="0"/>
    <s v=" #TeenSuccess #ProjectMiracle "/>
    <n v="28"/>
    <n v="55"/>
    <s v="UK"/>
    <n v="2023"/>
    <n v="5"/>
    <n v="26"/>
    <n v="14"/>
    <n v="83"/>
    <s v="Popular"/>
    <s v="Yes"/>
    <s v="Wide Reach"/>
    <s v="Afternoon"/>
    <x v="1"/>
    <n v="1.9642857142857142"/>
  </r>
  <r>
    <x v="530"/>
    <s v="Entered the kitchen with the intention to cook. Left with a bag of chips. Cooking is overrated, anyway. #MasterChefInTraining #TeenHumor"/>
    <s v="Disgust"/>
    <d v="2023-05-27T21:15:00"/>
    <x v="1"/>
    <s v=" #TeenChef #CookingFail "/>
    <n v="22"/>
    <n v="45"/>
    <s v="Canada"/>
    <n v="2023"/>
    <n v="5"/>
    <n v="27"/>
    <n v="21"/>
    <n v="67"/>
    <s v="Popular"/>
    <s v="No"/>
    <s v="Wide Reach"/>
    <s v="Evening"/>
    <x v="0"/>
    <n v="2.0454545454545454"/>
  </r>
  <r>
    <x v="531"/>
    <s v="Staring at the clock in class, waiting for the bell to ring like it's the most exciting event of the day. #ClassCountdown #TeenLife"/>
    <s v="Surprise"/>
    <d v="2023-05-28T12:00:00"/>
    <x v="2"/>
    <s v=" #ClassEvent #TeenExcitement "/>
    <n v="18"/>
    <n v="35"/>
    <s v="USA"/>
    <n v="2023"/>
    <n v="5"/>
    <n v="28"/>
    <n v="12"/>
    <n v="53"/>
    <s v="Normal"/>
    <s v="No"/>
    <s v="Standard"/>
    <s v="Afternoon"/>
    <x v="0"/>
    <n v="1.9444444444444444"/>
  </r>
  <r>
    <x v="532"/>
    <s v="Discovered a new book series and spent the whole night reading. Who needs sleep, anyway? #BookwormLife #LateNightReading"/>
    <s v="Joy"/>
    <d v="2023-05-29T23:30:00"/>
    <x v="0"/>
    <s v=" #BookDiscoveries #TeenReading "/>
    <n v="30"/>
    <n v="60"/>
    <s v="UK"/>
    <n v="2023"/>
    <n v="5"/>
    <n v="29"/>
    <n v="23"/>
    <n v="90"/>
    <s v="Popular"/>
    <s v="Yes"/>
    <s v="Wide Reach"/>
    <s v="Evening"/>
    <x v="1"/>
    <n v="2"/>
  </r>
  <r>
    <x v="39"/>
    <s v="Bought a new video game, played for hours, forgot to eat. The ultimate gaming session. #GamerLife #NoFoodGaming"/>
    <s v="Excitement"/>
    <d v="2023-05-30T20:45:00"/>
    <x v="1"/>
    <s v=" #GameOn #TeenGamer "/>
    <n v="22"/>
    <n v="45"/>
    <s v="USA"/>
    <n v="2023"/>
    <n v="5"/>
    <n v="30"/>
    <n v="20"/>
    <n v="67"/>
    <s v="Popular"/>
    <s v="No"/>
    <s v="Wide Reach"/>
    <s v="Evening"/>
    <x v="0"/>
    <n v="2.0454545454545454"/>
  </r>
  <r>
    <x v="533"/>
    <s v="Spent the day binge-watching a new series. Productivity level: Zero. #LazyDay #TVSeriesMarathon"/>
    <s v="Joy"/>
    <d v="2023-05-31T15:30:00"/>
    <x v="2"/>
    <s v=" #BingeWatchDay #TeenLife "/>
    <n v="35"/>
    <n v="70"/>
    <s v="Canada"/>
    <n v="2023"/>
    <n v="5"/>
    <n v="31"/>
    <n v="15"/>
    <n v="105"/>
    <s v="Popular"/>
    <s v="Yes"/>
    <s v="Wide Reach"/>
    <s v="Afternoon"/>
    <x v="0"/>
    <n v="2"/>
  </r>
  <r>
    <x v="534"/>
    <s v="Caught up on the latest fashion trends and now planning a shopping spree. #Fashionista #TrendyTeen"/>
    <s v="Excitement"/>
    <d v="2023-06-01T18:00:00"/>
    <x v="0"/>
    <s v=" #FashionGoals #TeenStyle "/>
    <n v="20"/>
    <n v="40"/>
    <s v="USA"/>
    <n v="2023"/>
    <n v="6"/>
    <n v="1"/>
    <n v="18"/>
    <n v="60"/>
    <s v="Normal"/>
    <s v="No"/>
    <s v="Standard"/>
    <s v="Evening"/>
    <x v="0"/>
    <n v="2"/>
  </r>
  <r>
    <x v="535"/>
    <s v="Decided to learn a new instrument. Day one: Still trying to figure out how to hold it. #MusicNovice #LearningJourney"/>
    <s v="Frustration"/>
    <d v="2023-06-02T14:30:00"/>
    <x v="1"/>
    <s v=" #InstrumentLearning #TeenMusic "/>
    <n v="28"/>
    <n v="55"/>
    <s v="UK"/>
    <n v="2023"/>
    <n v="6"/>
    <n v="2"/>
    <n v="14"/>
    <n v="83"/>
    <s v="Popular"/>
    <s v="Yes"/>
    <s v="Wide Reach"/>
    <s v="Afternoon"/>
    <x v="1"/>
    <n v="1.9642857142857142"/>
  </r>
  <r>
    <x v="536"/>
    <s v="Spent hours creating the perfect playlist for every mood. Music is my therapy. #PlaylistMaker #TeenMusicLover"/>
    <s v="Joy"/>
    <d v="2023-06-03T21:15:00"/>
    <x v="2"/>
    <s v=" #MusicTherapy #TeenPlaylist "/>
    <n v="22"/>
    <n v="45"/>
    <s v="Canada"/>
    <n v="2023"/>
    <n v="6"/>
    <n v="3"/>
    <n v="21"/>
    <n v="67"/>
    <s v="Popular"/>
    <s v="No"/>
    <s v="Wide Reach"/>
    <s v="Evening"/>
    <x v="0"/>
    <n v="2.0454545454545454"/>
  </r>
  <r>
    <x v="137"/>
    <s v="Successfully cooked a gourmet meal for the family. Chef skills unlocked! #ChefMode #TeenChef"/>
    <s v="Pride"/>
    <d v="2023-06-04T19:30:00"/>
    <x v="0"/>
    <s v=" #CookingSuccess #TeenCook "/>
    <n v="25"/>
    <n v="50"/>
    <s v="USA"/>
    <n v="2023"/>
    <n v="6"/>
    <n v="4"/>
    <n v="19"/>
    <n v="75"/>
    <s v="Popular"/>
    <s v="No"/>
    <s v="Wide Reach"/>
    <s v="Evening"/>
    <x v="0"/>
    <n v="2"/>
  </r>
  <r>
    <x v="537"/>
    <s v="Spontaneously booked a weekend getaway. Adventure awaits! #TravelBug #WeekendEscape"/>
    <s v="Excitement"/>
    <d v="2023-06-05T10:00:00"/>
    <x v="1"/>
    <s v=" #GetawayGoals #TeenTravel "/>
    <n v="18"/>
    <n v="35"/>
    <s v="UK"/>
    <n v="2023"/>
    <n v="6"/>
    <n v="5"/>
    <n v="10"/>
    <n v="53"/>
    <s v="Normal"/>
    <s v="No"/>
    <s v="Standard"/>
    <s v="Morning"/>
    <x v="1"/>
    <n v="1.9444444444444444"/>
  </r>
  <r>
    <x v="340"/>
    <s v="Attended a concert and danced the night away. Music is the heartbeat of life. #ConcertVibes #DanceAllNight"/>
    <s v="Joy"/>
    <d v="2023-06-06T22:30:00"/>
    <x v="2"/>
    <s v=" #MusicMagic #TeenConcert "/>
    <n v="28"/>
    <n v="55"/>
    <s v="Canada"/>
    <n v="2023"/>
    <n v="6"/>
    <n v="6"/>
    <n v="22"/>
    <n v="83"/>
    <s v="Popular"/>
    <s v="Yes"/>
    <s v="Wide Reach"/>
    <s v="Evening"/>
    <x v="0"/>
    <n v="1.9642857142857142"/>
  </r>
  <r>
    <x v="538"/>
    <s v="Rediscovered childhood cartoons and had a nostalgia-filled marathon. #CartoonNostalgia #TeenMemories"/>
    <s v="Joy"/>
    <d v="2023-06-07T12:45:00"/>
    <x v="0"/>
    <s v=" #ChildhoodMemories #TeenCartoons "/>
    <n v="22"/>
    <n v="45"/>
    <s v="USA"/>
    <n v="2023"/>
    <n v="6"/>
    <n v="7"/>
    <n v="12"/>
    <n v="67"/>
    <s v="Popular"/>
    <s v="No"/>
    <s v="Wide Reach"/>
    <s v="Afternoon"/>
    <x v="0"/>
    <n v="2.0454545454545454"/>
  </r>
  <r>
    <x v="539"/>
    <s v="Embarked on a DIY home decor project. Let's hope it turns out better than last time. #DIYAdventure #TeenHomeDecor"/>
    <s v="Excitement"/>
    <d v="2023-06-08T16:00:00"/>
    <x v="1"/>
    <s v=" #DIYGoals #TeenCreative "/>
    <n v="35"/>
    <n v="70"/>
    <s v="UK"/>
    <n v="2023"/>
    <n v="6"/>
    <n v="8"/>
    <n v="16"/>
    <n v="105"/>
    <s v="Popular"/>
    <s v="Yes"/>
    <s v="Wide Reach"/>
    <s v="Afternoon"/>
    <x v="1"/>
    <n v="2"/>
  </r>
  <r>
    <x v="44"/>
    <s v="Spent the afternoon at a museum, pretending to be cultured. Art enthusiast in the making. #MuseumDay #TeenArtLover"/>
    <s v="Curiosity"/>
    <d v="2023-06-09T14:00:00"/>
    <x v="2"/>
    <s v=" #CulturalDay #TeenCuriosity "/>
    <n v="20"/>
    <n v="40"/>
    <s v="USA"/>
    <n v="2023"/>
    <n v="6"/>
    <n v="9"/>
    <n v="14"/>
    <n v="60"/>
    <s v="Normal"/>
    <s v="No"/>
    <s v="Standard"/>
    <s v="Afternoon"/>
    <x v="0"/>
    <n v="2"/>
  </r>
  <r>
    <x v="540"/>
    <s v="Started a blog about random thoughts and musings. Blogging is the new diary. #BloggerLife #TeenBlogger"/>
    <s v="Curiosity"/>
    <d v="2023-06-10T17:30:00"/>
    <x v="0"/>
    <s v=" #BloggingJourney #TeenThoughts "/>
    <n v="30"/>
    <n v="60"/>
    <s v="Canada"/>
    <n v="2023"/>
    <n v="6"/>
    <n v="10"/>
    <n v="17"/>
    <n v="90"/>
    <s v="Popular"/>
    <s v="Yes"/>
    <s v="Wide Reach"/>
    <s v="Afternoon"/>
    <x v="0"/>
    <n v="2"/>
  </r>
  <r>
    <x v="541"/>
    <s v="Relishing a peaceful afternoon with a classic novel. Quiet moments are the best moments. #BookLover #PeacefulAfternoon"/>
    <s v="Contentment"/>
    <d v="2023-06-11T15:30:00"/>
    <x v="1"/>
    <s v=" #QuietMoments #BookishEscape "/>
    <n v="35"/>
    <n v="70"/>
    <s v="USA"/>
    <n v="2023"/>
    <n v="6"/>
    <n v="11"/>
    <n v="15"/>
    <n v="105"/>
    <s v="Popular"/>
    <s v="Yes"/>
    <s v="Wide Reach"/>
    <s v="Afternoon"/>
    <x v="0"/>
    <n v="2"/>
  </r>
  <r>
    <x v="542"/>
    <s v="Reflecting on a lifetime of memories, each wrinkle tells a story. Embracing the beauty of aging. #LifeReflections #BeautyInAging"/>
    <s v="Gratitude"/>
    <d v="2023-06-12T18:00:00"/>
    <x v="0"/>
    <s v=" #AgingGracefully #Memories "/>
    <n v="28"/>
    <n v="55"/>
    <s v="UK"/>
    <n v="2023"/>
    <n v="6"/>
    <n v="12"/>
    <n v="18"/>
    <n v="83"/>
    <s v="Popular"/>
    <s v="Yes"/>
    <s v="Wide Reach"/>
    <s v="Evening"/>
    <x v="1"/>
    <n v="1.9642857142857142"/>
  </r>
  <r>
    <x v="543"/>
    <s v="Exploring the world of digital art. It's never too late to discover new passions. #DigitalArtistry #LateBloomer"/>
    <s v="Curiosity"/>
    <d v="2023-06-13T14:45:00"/>
    <x v="2"/>
    <s v=" #ArtDiscovery #SeniorArtist "/>
    <n v="22"/>
    <n v="45"/>
    <s v="Canada"/>
    <n v="2023"/>
    <n v="6"/>
    <n v="13"/>
    <n v="14"/>
    <n v="67"/>
    <s v="Popular"/>
    <s v="No"/>
    <s v="Wide Reach"/>
    <s v="Afternoon"/>
    <x v="0"/>
    <n v="2.0454545454545454"/>
  </r>
  <r>
    <x v="544"/>
    <s v="Savoring the flavors of a home-cooked meal. Simple joys are the heart of happiness. #HomeCooking #SimpleJoys"/>
    <s v="Contentment"/>
    <d v="2023-06-14T19:30:00"/>
    <x v="1"/>
    <s v=" #HappinessInFood #SeniorLife "/>
    <n v="25"/>
    <n v="50"/>
    <s v="USA"/>
    <n v="2023"/>
    <n v="6"/>
    <n v="14"/>
    <n v="19"/>
    <n v="75"/>
    <s v="Popular"/>
    <s v="No"/>
    <s v="Wide Reach"/>
    <s v="Evening"/>
    <x v="0"/>
    <n v="2"/>
  </r>
  <r>
    <x v="545"/>
    <s v="Embarking on a journey of learning a new language. The mind stays young with every new word. #LanguageLearning #NeverTooLate"/>
    <s v="Curiosity"/>
    <d v="2023-06-15T12:15:00"/>
    <x v="0"/>
    <s v=" #MindEnrichment #SeniorLearning "/>
    <n v="30"/>
    <n v="60"/>
    <s v="UK"/>
    <n v="2023"/>
    <n v="6"/>
    <n v="15"/>
    <n v="12"/>
    <n v="90"/>
    <s v="Popular"/>
    <s v="Yes"/>
    <s v="Wide Reach"/>
    <s v="Afternoon"/>
    <x v="1"/>
    <n v="2"/>
  </r>
  <r>
    <x v="546"/>
    <s v="Attended a classical music concert, feeling the timeless melodies resonate. Music transcends generations. #ClassicalMusic #TimelessMelodies"/>
    <s v="Joy"/>
    <d v="2023-06-16T21:45:00"/>
    <x v="2"/>
    <s v=" #MusicLover #SeniorConcert "/>
    <n v="18"/>
    <n v="35"/>
    <s v="Canada"/>
    <n v="2023"/>
    <n v="6"/>
    <n v="16"/>
    <n v="21"/>
    <n v="53"/>
    <s v="Normal"/>
    <s v="No"/>
    <s v="Standard"/>
    <s v="Evening"/>
    <x v="0"/>
    <n v="1.9444444444444444"/>
  </r>
  <r>
    <x v="547"/>
    <s v="Capturing the beauty of nature through photography. Every snapshot is a treasure. #NaturePhotography #SeniorPhotographer"/>
    <s v="Joy"/>
    <d v="2023-06-17T15:00:00"/>
    <x v="1"/>
    <s v=" #NatureCapture #SeniorMoments "/>
    <n v="35"/>
    <n v="70"/>
    <s v="USA"/>
    <n v="2023"/>
    <n v="6"/>
    <n v="17"/>
    <n v="15"/>
    <n v="105"/>
    <s v="Popular"/>
    <s v="Yes"/>
    <s v="Wide Reach"/>
    <s v="Afternoon"/>
    <x v="0"/>
    <n v="2"/>
  </r>
  <r>
    <x v="548"/>
    <s v="Reconnecting with old friends over a cup of tea. Friendship, the true essence of companionship. #OldFriends #Companionship"/>
    <s v="Contentment"/>
    <d v="2023-06-18T11:30:00"/>
    <x v="0"/>
    <s v=" #FriendshipGoals #SeniorBonding "/>
    <n v="28"/>
    <n v="55"/>
    <s v="UK"/>
    <n v="2023"/>
    <n v="6"/>
    <n v="18"/>
    <n v="11"/>
    <n v="83"/>
    <s v="Popular"/>
    <s v="Yes"/>
    <s v="Wide Reach"/>
    <s v="Morning"/>
    <x v="1"/>
    <n v="1.9642857142857142"/>
  </r>
  <r>
    <x v="549"/>
    <s v="Embarked on a road trip to revisit cherished places from the past. Nostalgia, the ultimate travel companion. #RoadTrip #NostalgiaTour"/>
    <s v="Joy"/>
    <d v="2023-06-19T16:30:00"/>
    <x v="2"/>
    <s v=" #CherishedPlaces #SeniorTravel "/>
    <n v="22"/>
    <n v="45"/>
    <s v="Canada"/>
    <n v="2023"/>
    <n v="6"/>
    <n v="19"/>
    <n v="16"/>
    <n v="67"/>
    <s v="Popular"/>
    <s v="No"/>
    <s v="Wide Reach"/>
    <s v="Afternoon"/>
    <x v="0"/>
    <n v="2.0454545454545454"/>
  </r>
  <r>
    <x v="550"/>
    <s v="Joined a community choir, harmonizing with fellow voices. Music creates bonds that withstand time. #CommunityChoir #HarmonyInAging"/>
    <s v="Joy"/>
    <d v="2023-06-20T14:20:00"/>
    <x v="1"/>
    <s v=" #MusicHarmony #SeniorVoices "/>
    <n v="20"/>
    <n v="40"/>
    <s v="USA"/>
    <n v="2023"/>
    <n v="6"/>
    <n v="20"/>
    <n v="14"/>
    <n v="60"/>
    <s v="Normal"/>
    <s v="No"/>
    <s v="Standard"/>
    <s v="Afternoon"/>
    <x v="0"/>
    <n v="2"/>
  </r>
  <r>
    <x v="551"/>
    <s v="Exploring the art of meditation, finding tranquility in the stillness of the mind. #MeditationJourney #TranquilMind"/>
    <s v="Contentment"/>
    <d v="2023-06-21T19:00:00"/>
    <x v="0"/>
    <s v=" #MindfulLiving #SeniorCalm "/>
    <n v="18"/>
    <n v="35"/>
    <s v="UK"/>
    <n v="2023"/>
    <n v="6"/>
    <n v="21"/>
    <n v="19"/>
    <n v="53"/>
    <s v="Normal"/>
    <s v="No"/>
    <s v="Standard"/>
    <s v="Evening"/>
    <x v="1"/>
    <n v="1.9444444444444444"/>
  </r>
  <r>
    <x v="322"/>
    <s v="Taking a stroll in the garden, appreciating the beauty of blooming flowers. Nature's wonders never cease. #GardenWalk #FloralBeauty"/>
    <s v="Contentment"/>
    <d v="2023-06-22T13:45:00"/>
    <x v="2"/>
    <s v=" #NatureWonders #SeniorGarden "/>
    <n v="25"/>
    <n v="50"/>
    <s v="USA"/>
    <n v="2023"/>
    <n v="6"/>
    <n v="22"/>
    <n v="13"/>
    <n v="75"/>
    <s v="Popular"/>
    <s v="No"/>
    <s v="Wide Reach"/>
    <s v="Afternoon"/>
    <x v="0"/>
    <n v="2"/>
  </r>
  <r>
    <x v="552"/>
    <s v="Sipping on a favorite vintage wine, each sip telling a story of the years gone by. Cheers to a life well-lived. #WineLover #VintageCheers"/>
    <s v="Contentment"/>
    <d v="2023-06-23T18:45:00"/>
    <x v="1"/>
    <s v=" #LifeWellLived #SeniorWine "/>
    <n v="28"/>
    <n v="55"/>
    <s v="UK"/>
    <n v="2023"/>
    <n v="6"/>
    <n v="23"/>
    <n v="18"/>
    <n v="83"/>
    <s v="Popular"/>
    <s v="Yes"/>
    <s v="Wide Reach"/>
    <s v="Evening"/>
    <x v="1"/>
    <n v="1.9642857142857142"/>
  </r>
  <r>
    <x v="553"/>
    <s v="Participated in a community art class, unleashing creativity in the golden years. Art has no age limit. #ArtClass #SeniorArtistry"/>
    <s v="Joy"/>
    <d v="2023-06-24T16:15:00"/>
    <x v="0"/>
    <s v=" #CreativityAtAnyAge #SeniorCreativity "/>
    <n v="22"/>
    <n v="45"/>
    <s v="Canada"/>
    <n v="2023"/>
    <n v="6"/>
    <n v="24"/>
    <n v="16"/>
    <n v="67"/>
    <s v="Popular"/>
    <s v="No"/>
    <s v="Wide Reach"/>
    <s v="Afternoon"/>
    <x v="0"/>
    <n v="2.0454545454545454"/>
  </r>
  <r>
    <x v="554"/>
    <s v="Embarking on a journey of writing a memoir, documenting a lifetime of experiences. Every story matters. #MemoirWriting #SeniorStories"/>
    <s v="Gratitude"/>
    <d v="2023-06-25T20:30:00"/>
    <x v="2"/>
    <s v=" #LifetimeExperiences #SeniorMemoir "/>
    <n v="35"/>
    <n v="70"/>
    <s v="USA"/>
    <n v="2023"/>
    <n v="6"/>
    <n v="25"/>
    <n v="20"/>
    <n v="105"/>
    <s v="Popular"/>
    <s v="Yes"/>
    <s v="Wide Reach"/>
    <s v="Evening"/>
    <x v="0"/>
    <n v="2"/>
  </r>
  <r>
    <x v="555"/>
    <s v="Attended a lecture on history, always fascinated by the lessons from the past. Learning is a lifelong adventure. #HistoryLecture #SeniorLearning"/>
    <s v="Curiosity"/>
    <d v="2023-06-26T14:00:00"/>
    <x v="1"/>
    <s v=" #LifetimeAdventure #SeniorCuriosity "/>
    <n v="30"/>
    <n v="60"/>
    <s v="UK"/>
    <n v="2023"/>
    <n v="6"/>
    <n v="26"/>
    <n v="14"/>
    <n v="90"/>
    <s v="Popular"/>
    <s v="Yes"/>
    <s v="Wide Reach"/>
    <s v="Afternoon"/>
    <x v="1"/>
    <n v="2"/>
  </r>
  <r>
    <x v="556"/>
    <s v="Rediscovered the joy of cooking traditional family recipes. The kitchen, a place of cherished memories. #FamilyRecipes #SeniorCooking"/>
    <s v="Contentment"/>
    <d v="2023-06-27T17:45:00"/>
    <x v="0"/>
    <s v=" #KitchenMemories #SeniorCulinary "/>
    <n v="20"/>
    <n v="40"/>
    <s v="USA"/>
    <n v="2023"/>
    <n v="6"/>
    <n v="27"/>
    <n v="17"/>
    <n v="60"/>
    <s v="Normal"/>
    <s v="No"/>
    <s v="Standard"/>
    <s v="Afternoon"/>
    <x v="0"/>
    <n v="2"/>
  </r>
  <r>
    <x v="557"/>
    <s v="Joined a nature photography club, capturing the beauty of the great outdoors. Every click is a connection to nature. #NaturePhotography #SeniorPhotographer"/>
    <s v="Joy"/>
    <d v="2023-06-28T22:15:00"/>
    <x v="2"/>
    <s v=" #OutdoorBeauty #SeniorClicks "/>
    <n v="18"/>
    <n v="35"/>
    <s v="UK"/>
    <n v="2023"/>
    <n v="6"/>
    <n v="28"/>
    <n v="22"/>
    <n v="53"/>
    <s v="Normal"/>
    <s v="No"/>
    <s v="Standard"/>
    <s v="Evening"/>
    <x v="1"/>
    <n v="1.9444444444444444"/>
  </r>
  <r>
    <x v="558"/>
    <s v="Attended a jazz concert and swayed to the rhythm of timeless tunes. Music, a constant companion in the golden years. #JazzConcert #SeniorMusic"/>
    <s v="Joy"/>
    <d v="2023-06-29T16:30:00"/>
    <x v="1"/>
    <s v=" #TimelessTunes #SeniorJazz "/>
    <n v="25"/>
    <n v="50"/>
    <s v="USA"/>
    <n v="2023"/>
    <n v="6"/>
    <n v="29"/>
    <n v="16"/>
    <n v="75"/>
    <s v="Popular"/>
    <s v="No"/>
    <s v="Wide Reach"/>
    <s v="Afternoon"/>
    <x v="0"/>
    <n v="2"/>
  </r>
  <r>
    <x v="559"/>
    <s v="Joined a writing group, penning down thoughts and reflections. Writing, a journey into the depths of the soul. #WritingGroup #SeniorWriter"/>
    <s v="Gratitude"/>
    <d v="2023-06-30T19:30:00"/>
    <x v="0"/>
    <s v=" #SoulfulWriting #SeniorReflections "/>
    <n v="28"/>
    <n v="55"/>
    <s v="UK"/>
    <n v="2023"/>
    <n v="6"/>
    <n v="30"/>
    <n v="19"/>
    <n v="83"/>
    <s v="Popular"/>
    <s v="Yes"/>
    <s v="Wide Reach"/>
    <s v="Evening"/>
    <x v="1"/>
    <n v="1.9642857142857142"/>
  </r>
  <r>
    <x v="560"/>
    <s v="Embarked on a solo travel adventure, discovering the beauty of new places at my own pace. #SoloTravel #SeniorExplorer"/>
    <s v="Excitement"/>
    <d v="2023-07-01T14:00:00"/>
    <x v="1"/>
    <s v=" #DiscoverNewPlaces #SeniorTravel "/>
    <n v="30"/>
    <n v="60"/>
    <s v="USA"/>
    <n v="2023"/>
    <n v="7"/>
    <n v="1"/>
    <n v="14"/>
    <n v="90"/>
    <s v="Popular"/>
    <s v="Yes"/>
    <s v="Wide Reach"/>
    <s v="Afternoon"/>
    <x v="0"/>
    <n v="2"/>
  </r>
  <r>
    <x v="561"/>
    <s v="Attended a vintage car show, reminiscing about the classics that once ruled the roads. Nostalgia in every rev. #VintageCars #ClassicRides"/>
    <s v="Joy"/>
    <d v="2023-07-02T18:30:00"/>
    <x v="2"/>
    <s v=" #RoadTripDownMemoryLane #SeniorCars "/>
    <n v="22"/>
    <n v="45"/>
    <s v="UK"/>
    <n v="2023"/>
    <n v="7"/>
    <n v="2"/>
    <n v="18"/>
    <n v="67"/>
    <s v="Popular"/>
    <s v="No"/>
    <s v="Wide Reach"/>
    <s v="Evening"/>
    <x v="1"/>
    <n v="2.0454545454545454"/>
  </r>
  <r>
    <x v="562"/>
    <s v="Started a community garden, growing not just plants but friendships too. Green thumbs unite! #CommunityGarden #SeniorGardener"/>
    <s v="Joy"/>
    <d v="2023-07-03T12:45:00"/>
    <x v="0"/>
    <s v=" #GardenFriends #SeniorGreenThumb "/>
    <n v="28"/>
    <n v="55"/>
    <s v="Canada"/>
    <n v="2023"/>
    <n v="7"/>
    <n v="3"/>
    <n v="12"/>
    <n v="83"/>
    <s v="Popular"/>
    <s v="Yes"/>
    <s v="Wide Reach"/>
    <s v="Afternoon"/>
    <x v="0"/>
    <n v="1.9642857142857142"/>
  </r>
  <r>
    <x v="563"/>
    <s v="Hosted a family dinner, where laughter echoed louder than the clinking of utensils. Family, the heart of happiness. #FamilyDinner #SeniorHost"/>
    <s v="Contentment"/>
    <d v="2023-07-04T17:00:00"/>
    <x v="1"/>
    <s v=" #HeartwarmingMoments #SeniorFamily "/>
    <n v="35"/>
    <n v="70"/>
    <s v="USA"/>
    <n v="2023"/>
    <n v="7"/>
    <n v="4"/>
    <n v="17"/>
    <n v="105"/>
    <s v="Popular"/>
    <s v="Yes"/>
    <s v="Wide Reach"/>
    <s v="Afternoon"/>
    <x v="0"/>
    <n v="2"/>
  </r>
  <r>
    <x v="564"/>
    <s v="Enrolled in a dance class for seniors, moving to the rhythm of life. Age is just a number on the dance floor. #DanceClass #SeniorDancer"/>
    <s v="Joy"/>
    <d v="2023-07-05T20:15:00"/>
    <x v="0"/>
    <s v=" #DanceLife #SeniorMoves "/>
    <n v="18"/>
    <n v="35"/>
    <s v="UK"/>
    <n v="2023"/>
    <n v="7"/>
    <n v="5"/>
    <n v="20"/>
    <n v="53"/>
    <s v="Normal"/>
    <s v="No"/>
    <s v="Standard"/>
    <s v="Evening"/>
    <x v="1"/>
    <n v="1.9444444444444444"/>
  </r>
  <r>
    <x v="565"/>
    <s v="Visited an art gallery, appreciating the brushstrokes that tell tales of creativity. Art, an eternal companion. #ArtGallery #SeniorArtLover"/>
    <s v="Joy"/>
    <d v="2023-07-06T14:30:00"/>
    <x v="2"/>
    <s v=" #CreativeExpressions #SeniorArt "/>
    <n v="25"/>
    <n v="50"/>
    <s v="USA"/>
    <n v="2023"/>
    <n v="7"/>
    <n v="6"/>
    <n v="14"/>
    <n v="75"/>
    <s v="Popular"/>
    <s v="No"/>
    <s v="Wide Reach"/>
    <s v="Afternoon"/>
    <x v="0"/>
    <n v="2"/>
  </r>
  <r>
    <x v="566"/>
    <s v="Started a book club for seniors, where discussions are as lively as the characters in the novels. #BookClub #SeniorReaders"/>
    <s v="Joy"/>
    <d v="2023-07-07T19:45:00"/>
    <x v="1"/>
    <s v=" #BookishTalks #SeniorBookworms "/>
    <n v="22"/>
    <n v="45"/>
    <s v="UK"/>
    <n v="2023"/>
    <n v="7"/>
    <n v="7"/>
    <n v="19"/>
    <n v="67"/>
    <s v="Popular"/>
    <s v="No"/>
    <s v="Wide Reach"/>
    <s v="Evening"/>
    <x v="1"/>
    <n v="2.0454545454545454"/>
  </r>
  <r>
    <x v="567"/>
    <s v="Hosted a picnic in the park, basking in the warmth of friendship and sunshine. Simple joys, timeless memories. #ParkPicnic #SeniorJoy"/>
    <s v="Contentment"/>
    <d v="2023-07-08T16:00:00"/>
    <x v="0"/>
    <s v=" #FriendshipSunshine #SeniorMemories "/>
    <n v="30"/>
    <n v="60"/>
    <s v="Canada"/>
    <n v="2023"/>
    <n v="7"/>
    <n v="8"/>
    <n v="16"/>
    <n v="90"/>
    <s v="Popular"/>
    <s v="Yes"/>
    <s v="Wide Reach"/>
    <s v="Afternoon"/>
    <x v="0"/>
    <n v="2"/>
  </r>
  <r>
    <x v="568"/>
    <s v="Participated in a local theater production, proving that the stage belongs to every age. #TheaterProduction #SeniorActor"/>
    <s v="Joy"/>
    <d v="2023-07-09T22:30:00"/>
    <x v="2"/>
    <s v=" #StagePassion #SeniorTheater "/>
    <n v="20"/>
    <n v="40"/>
    <s v="USA"/>
    <n v="2023"/>
    <n v="7"/>
    <n v="9"/>
    <n v="22"/>
    <n v="60"/>
    <s v="Normal"/>
    <s v="No"/>
    <s v="Standard"/>
    <s v="Evening"/>
    <x v="0"/>
    <n v="2"/>
  </r>
  <r>
    <x v="569"/>
    <s v="Embarked on a hiking adventure, conquering trails and relishing the beauty of nature. Age is just a number on the mountaintop. #HikingAdventure #SeniorHiker"/>
    <s v="Excitement"/>
    <d v="2023-07-10T14:20:00"/>
    <x v="1"/>
    <s v=" #NatureTrailBlazer #SeniorExplorer "/>
    <n v="28"/>
    <n v="55"/>
    <s v="UK"/>
    <n v="2023"/>
    <n v="7"/>
    <n v="10"/>
    <n v="14"/>
    <n v="83"/>
    <s v="Popular"/>
    <s v="Yes"/>
    <s v="Wide Reach"/>
    <s v="Afternoon"/>
    <x v="1"/>
    <n v="1.9642857142857142"/>
  </r>
  <r>
    <x v="570"/>
    <s v="Hosted a photography exhibition featuring snapshots of a life well-lived. Every photo has a story to tell. #PhotographyExhibition #SeniorPhotographer"/>
    <s v="Gratitude"/>
    <d v="2023-07-11T18:45:00"/>
    <x v="0"/>
    <s v=" #LifeInPictures #SeniorExhibition "/>
    <n v="22"/>
    <n v="45"/>
    <s v="Canada"/>
    <n v="2023"/>
    <n v="7"/>
    <n v="11"/>
    <n v="18"/>
    <n v="67"/>
    <s v="Popular"/>
    <s v="No"/>
    <s v="Wide Reach"/>
    <s v="Evening"/>
    <x v="0"/>
    <n v="2.0454545454545454"/>
  </r>
  <r>
    <x v="571"/>
    <s v="Joined a seniors' cycling club, feeling the wind in my hair and the freedom of the open road. #CyclingClub #SeniorCyclist"/>
    <s v="Excitement"/>
    <d v="2023-07-12T13:45:00"/>
    <x v="2"/>
    <s v=" #OpenRoadAdventures #SeniorCycling "/>
    <n v="25"/>
    <n v="50"/>
    <s v="USA"/>
    <n v="2023"/>
    <n v="7"/>
    <n v="12"/>
    <n v="13"/>
    <n v="75"/>
    <s v="Popular"/>
    <s v="No"/>
    <s v="Wide Reach"/>
    <s v="Afternoon"/>
    <x v="0"/>
    <n v="2"/>
  </r>
  <r>
    <x v="572"/>
    <s v="Attended a wine tasting event, savoring the richness of flavors that age like fine wine. Cheers to the golden years! #WineTasting #SeniorWineLover"/>
    <s v="Joy"/>
    <d v="2023-07-13T20:00:00"/>
    <x v="1"/>
    <s v=" #AgedToPerfection #SeniorCheers "/>
    <n v="35"/>
    <n v="70"/>
    <s v="UK"/>
    <n v="2023"/>
    <n v="7"/>
    <n v="13"/>
    <n v="20"/>
    <n v="105"/>
    <s v="Popular"/>
    <s v="Yes"/>
    <s v="Wide Reach"/>
    <s v="Evening"/>
    <x v="1"/>
    <n v="2"/>
  </r>
  <r>
    <x v="573"/>
    <s v="Started learning ballroom dancing, gliding gracefully across the dance floor. Ageless elegance in every step. #BallroomDancing #SeniorDancer"/>
    <s v="Joy"/>
    <d v="2023-07-14T16:15:00"/>
    <x v="0"/>
    <s v=" #GracefulMoves #SeniorDance "/>
    <n v="20"/>
    <n v="40"/>
    <s v="USA"/>
    <n v="2023"/>
    <n v="7"/>
    <n v="14"/>
    <n v="16"/>
    <n v="60"/>
    <s v="Normal"/>
    <s v="No"/>
    <s v="Standard"/>
    <s v="Afternoon"/>
    <x v="0"/>
    <n v="2"/>
  </r>
  <r>
    <x v="574"/>
    <s v="Organized a community painting event, turning blank canvases into a masterpiece of shared creativity. #PaintingEvent #SeniorArtist"/>
    <s v="Joy"/>
    <d v="2023-07-15T19:30:00"/>
    <x v="2"/>
    <s v=" #CommunityArt #SeniorCreativity "/>
    <n v="28"/>
    <n v="55"/>
    <s v="Canada"/>
    <n v="2023"/>
    <n v="7"/>
    <n v="15"/>
    <n v="19"/>
    <n v="83"/>
    <s v="Popular"/>
    <s v="Yes"/>
    <s v="Wide Reach"/>
    <s v="Evening"/>
    <x v="0"/>
    <n v="1.9642857142857142"/>
  </r>
  <r>
    <x v="575"/>
    <s v="Hosted a 'memory lane' evening with old friends, reminiscing about the adventures that shaped our lives. #MemoryLane #SeniorReminiscing"/>
    <s v="Gratitude"/>
    <d v="2023-07-16T14:00:00"/>
    <x v="1"/>
    <s v=" #FriendshipAdventures #SeniorNostalgia "/>
    <n v="30"/>
    <n v="60"/>
    <s v="USA"/>
    <n v="2023"/>
    <n v="7"/>
    <n v="16"/>
    <n v="14"/>
    <n v="90"/>
    <s v="Popular"/>
    <s v="Yes"/>
    <s v="Wide Reach"/>
    <s v="Afternoon"/>
    <x v="0"/>
    <n v="2"/>
  </r>
  <r>
    <x v="576"/>
    <s v="Joined a seniors' astronomy club, stargazing and finding wonder in the vastness of the cosmos. #AstronomyClub #SeniorStargazer"/>
    <s v="Curiosity"/>
    <d v="2023-07-17T22:15:00"/>
    <x v="0"/>
    <s v=" #CelestialWonders #SeniorAstronomy "/>
    <n v="18"/>
    <n v="35"/>
    <s v="UK"/>
    <n v="2023"/>
    <n v="7"/>
    <n v="17"/>
    <n v="22"/>
    <n v="53"/>
    <s v="Normal"/>
    <s v="No"/>
    <s v="Standard"/>
    <s v="Evening"/>
    <x v="1"/>
    <n v="1.9444444444444444"/>
  </r>
  <r>
    <x v="577"/>
    <s v="Attended a local jazz festival, tapping toes to the tunes that have stood the test of time. Music, a lifelong love affair. #JazzFestival #SeniorMusicLover"/>
    <s v="Joy"/>
    <d v="2023-07-18T16:30:00"/>
    <x v="2"/>
    <s v=" #TimelessTunes #SeniorJazz "/>
    <n v="25"/>
    <n v="50"/>
    <s v="USA"/>
    <n v="2023"/>
    <n v="7"/>
    <n v="18"/>
    <n v="16"/>
    <n v="75"/>
    <s v="Popular"/>
    <s v="No"/>
    <s v="Wide Reach"/>
    <s v="Afternoon"/>
    <x v="0"/>
    <n v="2"/>
  </r>
  <r>
    <x v="578"/>
    <s v="Started a blog sharing the wisdom gained through the years, proving that every day is a chance to learn and grow. #SeniorWisdom #Blog"/>
    <s v="Gratitude"/>
    <d v="2023-07-19T19:45:00"/>
    <x v="1"/>
    <s v=" #LifeLessons #SeniorBlog "/>
    <n v="22"/>
    <n v="45"/>
    <s v="UK"/>
    <n v="2023"/>
    <n v="7"/>
    <n v="19"/>
    <n v="19"/>
    <n v="67"/>
    <s v="Popular"/>
    <s v="No"/>
    <s v="Wide Reach"/>
    <s v="Evening"/>
    <x v="1"/>
    <n v="2.0454545454545454"/>
  </r>
  <r>
    <x v="579"/>
    <s v="Participated in a charity run, proving that age is no barrier to supporting meaningful causes. #CharityRun #SeniorRunner"/>
    <s v="Excitement"/>
    <d v="2023-07-20T17:00:00"/>
    <x v="0"/>
    <s v=" #RunForACause #SeniorSupport "/>
    <n v="30"/>
    <n v="60"/>
    <s v="Canada"/>
    <n v="2023"/>
    <n v="7"/>
    <n v="20"/>
    <n v="17"/>
    <n v="90"/>
    <s v="Popular"/>
    <s v="Yes"/>
    <s v="Wide Reach"/>
    <s v="Afternoon"/>
    <x v="0"/>
    <n v="2"/>
  </r>
  <r>
    <x v="580"/>
    <s v="Survived a challenging physics exam. Equations, you won't defeat me!"/>
    <s v="Relief"/>
    <d v="2023-08-01T13:30:00"/>
    <x v="1"/>
    <s v=" #PhysicsSurvivor #HighSchoolAdventures "/>
    <n v="20"/>
    <n v="40"/>
    <s v="USA"/>
    <n v="2023"/>
    <n v="8"/>
    <n v="1"/>
    <n v="13"/>
    <n v="60"/>
    <s v="Normal"/>
    <s v="No"/>
    <s v="Standard"/>
    <s v="Afternoon"/>
    <x v="0"/>
    <n v="2"/>
  </r>
  <r>
    <x v="581"/>
    <s v="Exploring the world of coding. Debugging is an adventure on its own! #CodingJourney #HighSchoolCoder"/>
    <s v="Excitement"/>
    <d v="2023-08-02T14:45:00"/>
    <x v="0"/>
    <s v=" #CodingAdventure #HighSchoolCoderLife "/>
    <n v="25"/>
    <n v="50"/>
    <s v="UK"/>
    <n v="2023"/>
    <n v="8"/>
    <n v="2"/>
    <n v="14"/>
    <n v="75"/>
    <s v="Popular"/>
    <s v="No"/>
    <s v="Wide Reach"/>
    <s v="Afternoon"/>
    <x v="1"/>
    <n v="2"/>
  </r>
  <r>
    <x v="582"/>
    <s v="Joined the school debate team. Words are my weapons, and I'm ready for battle!"/>
    <s v="Excitement"/>
    <d v="2023-08-03T12:15:00"/>
    <x v="2"/>
    <s v=" #DebateWarrior #HighSchoolDebater "/>
    <n v="18"/>
    <n v="35"/>
    <s v="Canada"/>
    <n v="2023"/>
    <n v="8"/>
    <n v="3"/>
    <n v="12"/>
    <n v="53"/>
    <s v="Normal"/>
    <s v="No"/>
    <s v="Standard"/>
    <s v="Afternoon"/>
    <x v="0"/>
    <n v="1.9444444444444444"/>
  </r>
  <r>
    <x v="583"/>
    <s v="Started a photography club at school. Capturing moments, one snapshot at a time!"/>
    <s v="Joy"/>
    <d v="2023-08-04T16:30:00"/>
    <x v="1"/>
    <s v=" #PhotographyClub #HighSchoolPhotographer "/>
    <n v="22"/>
    <n v="45"/>
    <s v="USA"/>
    <n v="2023"/>
    <n v="8"/>
    <n v="4"/>
    <n v="16"/>
    <n v="67"/>
    <s v="Popular"/>
    <s v="No"/>
    <s v="Wide Reach"/>
    <s v="Afternoon"/>
    <x v="0"/>
    <n v="2.0454545454545454"/>
  </r>
  <r>
    <x v="584"/>
    <s v="Daydreaming about the upcoming prom. The dress, the dance â€“ it's a fairytale in the making!"/>
    <s v="Excitement"/>
    <d v="2023-08-05T19:45:00"/>
    <x v="0"/>
    <s v=" #PromDreams #HighSchoolFairytale "/>
    <n v="30"/>
    <n v="60"/>
    <s v="Canada"/>
    <n v="2023"/>
    <n v="8"/>
    <n v="5"/>
    <n v="19"/>
    <n v="90"/>
    <s v="Popular"/>
    <s v="Yes"/>
    <s v="Wide Reach"/>
    <s v="Evening"/>
    <x v="0"/>
    <n v="2"/>
  </r>
  <r>
    <x v="585"/>
    <s v="Convinced the teacher to have class outdoors. Learning equations with a side of fresh air!"/>
    <s v="Positive"/>
    <d v="2023-08-06T14:00:00"/>
    <x v="2"/>
    <s v=" #OutdoorClassroom #HighSchoolExplorer "/>
    <n v="28"/>
    <n v="55"/>
    <s v="USA"/>
    <n v="2023"/>
    <n v="8"/>
    <n v="6"/>
    <n v="14"/>
    <n v="83"/>
    <s v="Popular"/>
    <s v="Yes"/>
    <s v="Wide Reach"/>
    <s v="Afternoon"/>
    <x v="0"/>
    <n v="1.9642857142857142"/>
  </r>
  <r>
    <x v="586"/>
    <s v="Accidentally spilled paint in art class. Abstract art, right? #ArtClassAdventures #HighSchoolArtist"/>
    <s v="Embarrassed"/>
    <d v="2023-08-07T19:45:00"/>
    <x v="1"/>
    <s v=" #ArtisticMishaps #HighSchoolArt "/>
    <n v="22"/>
    <n v="45"/>
    <s v="UK"/>
    <n v="2023"/>
    <n v="8"/>
    <n v="7"/>
    <n v="19"/>
    <n v="67"/>
    <s v="Popular"/>
    <s v="No"/>
    <s v="Wide Reach"/>
    <s v="Evening"/>
    <x v="1"/>
    <n v="2.0454545454545454"/>
  </r>
  <r>
    <x v="587"/>
    <s v="Trying to master the perfect kickflip on my skateboard. Skating into the weekend like a pro!"/>
    <s v="Excitement"/>
    <d v="2023-08-08T16:00:00"/>
    <x v="0"/>
    <s v=" #SkaterLife #HighSchoolSkater "/>
    <n v="30"/>
    <n v="60"/>
    <s v="Canada"/>
    <n v="2023"/>
    <n v="8"/>
    <n v="8"/>
    <n v="16"/>
    <n v="90"/>
    <s v="Popular"/>
    <s v="Yes"/>
    <s v="Wide Reach"/>
    <s v="Afternoon"/>
    <x v="0"/>
    <n v="2"/>
  </r>
  <r>
    <x v="588"/>
    <s v="Bonding with friends over the latest K-pop sensation. Fangirling at its finest!"/>
    <s v="Joy"/>
    <d v="2023-08-09T22:30:00"/>
    <x v="2"/>
    <s v=" #KpopFangirl #HighSchoolMusic "/>
    <n v="20"/>
    <n v="40"/>
    <s v="USA"/>
    <n v="2023"/>
    <n v="8"/>
    <n v="9"/>
    <n v="22"/>
    <n v="60"/>
    <s v="Normal"/>
    <s v="No"/>
    <s v="Standard"/>
    <s v="Evening"/>
    <x v="0"/>
    <n v="2"/>
  </r>
  <r>
    <x v="589"/>
    <s v="Spent hours perfecting a chemistry experiment. Mixing potions like a wizard!"/>
    <s v="Joy"/>
    <d v="2023-08-10T14:20:00"/>
    <x v="1"/>
    <s v=" #ChemistryWizard #HighSchoolScientist "/>
    <n v="28"/>
    <n v="55"/>
    <s v="UK"/>
    <n v="2023"/>
    <n v="8"/>
    <n v="10"/>
    <n v="14"/>
    <n v="83"/>
    <s v="Popular"/>
    <s v="Yes"/>
    <s v="Wide Reach"/>
    <s v="Afternoon"/>
    <x v="1"/>
    <n v="1.9642857142857142"/>
  </r>
  <r>
    <x v="590"/>
    <s v="Successfully organized a surprise birthday party for a friend. Party planning expert mode: Achieved!"/>
    <s v="Joy"/>
    <d v="2023-08-11T18:45:00"/>
    <x v="0"/>
    <s v=" #BirthdayParty #HighSchoolCelebration "/>
    <n v="22"/>
    <n v="45"/>
    <s v="Canada"/>
    <n v="2023"/>
    <n v="8"/>
    <n v="11"/>
    <n v="18"/>
    <n v="67"/>
    <s v="Popular"/>
    <s v="No"/>
    <s v="Wide Reach"/>
    <s v="Evening"/>
    <x v="0"/>
    <n v="2.0454545454545454"/>
  </r>
  <r>
    <x v="591"/>
    <s v="Joined the drama club to unleash my inner actor. Lights, camera, action!"/>
    <s v="Excitement"/>
    <d v="2023-08-12T13:45:00"/>
    <x v="2"/>
    <s v=" #DramaClubStar #HighSchoolActor "/>
    <n v="25"/>
    <n v="50"/>
    <s v="USA"/>
    <n v="2023"/>
    <n v="8"/>
    <n v="12"/>
    <n v="13"/>
    <n v="75"/>
    <s v="Popular"/>
    <s v="No"/>
    <s v="Wide Reach"/>
    <s v="Afternoon"/>
    <x v="0"/>
    <n v="2"/>
  </r>
  <r>
    <x v="592"/>
    <s v="Got my hands on the latest fantasy novel. Diving into realms of magic and adventure!"/>
    <s v="Excitement"/>
    <d v="2023-08-13T20:00:00"/>
    <x v="1"/>
    <s v=" #FantasyBookNerd #HighSchoolReader "/>
    <n v="35"/>
    <n v="70"/>
    <s v="UK"/>
    <n v="2023"/>
    <n v="8"/>
    <n v="13"/>
    <n v="20"/>
    <n v="105"/>
    <s v="Popular"/>
    <s v="Yes"/>
    <s v="Wide Reach"/>
    <s v="Evening"/>
    <x v="1"/>
    <n v="2"/>
  </r>
  <r>
    <x v="593"/>
    <s v="Mastering the art of the perfect doodle during boring classes. Doodles: A+!"/>
    <s v="Joy"/>
    <d v="2023-08-14T16:15:00"/>
    <x v="0"/>
    <s v=" #DoodleMaster #HighSchoolArt "/>
    <n v="20"/>
    <n v="40"/>
    <s v="USA"/>
    <n v="2023"/>
    <n v="8"/>
    <n v="14"/>
    <n v="16"/>
    <n v="60"/>
    <s v="Normal"/>
    <s v="No"/>
    <s v="Standard"/>
    <s v="Afternoon"/>
    <x v="0"/>
    <n v="2"/>
  </r>
  <r>
    <x v="594"/>
    <s v="Attempting to break the school record for the longest handstand. Wish me luck!"/>
    <s v="Excitement"/>
    <d v="2023-08-15T19:30:00"/>
    <x v="2"/>
    <s v=" #HandstandChallenge #HighSchoolAthlete "/>
    <n v="28"/>
    <n v="55"/>
    <s v="Canada"/>
    <n v="2023"/>
    <n v="8"/>
    <n v="15"/>
    <n v="19"/>
    <n v="83"/>
    <s v="Popular"/>
    <s v="Yes"/>
    <s v="Wide Reach"/>
    <s v="Evening"/>
    <x v="0"/>
    <n v="1.9642857142857142"/>
  </r>
  <r>
    <x v="595"/>
    <s v="Sneaking snacks into class like a pro. The art of snack-smuggling is a sacred skill!"/>
    <s v="Mischievous"/>
    <d v="2023-08-16T14:00:00"/>
    <x v="1"/>
    <s v=" #SnackSmuggler #HighSchoolSnacks "/>
    <n v="30"/>
    <n v="60"/>
    <s v="USA"/>
    <n v="2023"/>
    <n v="8"/>
    <n v="16"/>
    <n v="14"/>
    <n v="90"/>
    <s v="Popular"/>
    <s v="Yes"/>
    <s v="Wide Reach"/>
    <s v="Afternoon"/>
    <x v="0"/>
    <n v="2"/>
  </r>
  <r>
    <x v="596"/>
    <s v="Hosting a sleepover with friends this weekend. Preparing for a night of laughter and memories!"/>
    <s v="Excitement"/>
    <d v="2023-08-17T22:15:00"/>
    <x v="0"/>
    <s v=" #SleepoverFun #HighSchoolMemories "/>
    <n v="18"/>
    <n v="35"/>
    <s v="UK"/>
    <n v="2023"/>
    <n v="8"/>
    <n v="17"/>
    <n v="22"/>
    <n v="53"/>
    <s v="Normal"/>
    <s v="No"/>
    <s v="Standard"/>
    <s v="Evening"/>
    <x v="1"/>
    <n v="1.9444444444444444"/>
  </r>
  <r>
    <x v="597"/>
    <s v="Spent hours on a TikTok dance, only to realize I have two left feet. Dance fail: Unleashed!"/>
    <s v="Embarrassed"/>
    <d v="2023-08-18T16:30:00"/>
    <x v="2"/>
    <s v=" #DanceFail #HighSchoolTikTok "/>
    <n v="25"/>
    <n v="50"/>
    <s v="USA"/>
    <n v="2023"/>
    <n v="8"/>
    <n v="18"/>
    <n v="16"/>
    <n v="75"/>
    <s v="Popular"/>
    <s v="No"/>
    <s v="Wide Reach"/>
    <s v="Afternoon"/>
    <x v="0"/>
    <n v="2"/>
  </r>
  <r>
    <x v="598"/>
    <s v="Accidentally liked my crush's old photo while stalking their profile. Awkward level: Maximum!"/>
    <s v="Embarrassed"/>
    <d v="2023-08-19T19:45:00"/>
    <x v="1"/>
    <s v=" #SocialMediaBlunder #HighSchoolAwkward "/>
    <n v="22"/>
    <n v="45"/>
    <s v="UK"/>
    <n v="2023"/>
    <n v="8"/>
    <n v="19"/>
    <n v="19"/>
    <n v="67"/>
    <s v="Popular"/>
    <s v="No"/>
    <s v="Wide Reach"/>
    <s v="Evening"/>
    <x v="1"/>
    <n v="2.0454545454545454"/>
  </r>
  <r>
    <x v="599"/>
    <s v="Tried to impress my crush with a smooth conversation. Ended up spilling my drink. Smooth level: Nonexistent!"/>
    <s v="Embarrassed"/>
    <d v="2023-08-20T17:00:00"/>
    <x v="0"/>
    <s v=" #CrushFail #HighSchoolEmbarrassment "/>
    <n v="30"/>
    <n v="60"/>
    <s v="Canada"/>
    <n v="2023"/>
    <n v="8"/>
    <n v="20"/>
    <n v="17"/>
    <n v="90"/>
    <s v="Popular"/>
    <s v="Yes"/>
    <s v="Wide Reach"/>
    <s v="Afternoon"/>
    <x v="0"/>
    <n v="2"/>
  </r>
  <r>
    <x v="600"/>
    <s v="Mastered the art of creating paper airplanes during lecture. Paper planes: Soaring to new heights!"/>
    <s v="Joy"/>
    <d v="2023-08-21T15:45:00"/>
    <x v="1"/>
    <s v=" #PaperPlaneExpert #HighSchoolArt "/>
    <n v="15"/>
    <n v="30"/>
    <s v="USA"/>
    <n v="2023"/>
    <n v="8"/>
    <n v="21"/>
    <n v="15"/>
    <n v="45"/>
    <s v="Normal"/>
    <s v="No"/>
    <s v="Standard"/>
    <s v="Afternoon"/>
    <x v="0"/>
    <n v="2"/>
  </r>
  <r>
    <x v="601"/>
    <s v="Trying to set a new trend by juggling textbooks between classes. Academic juggling: A unique skill!"/>
    <s v="Excitement"/>
    <d v="2023-08-22T12:30:00"/>
    <x v="2"/>
    <s v=" #TextbookJuggling #HighSchoolSkills "/>
    <n v="22"/>
    <n v="40"/>
    <s v="Canada"/>
    <n v="2023"/>
    <n v="8"/>
    <n v="22"/>
    <n v="12"/>
    <n v="62"/>
    <s v="Popular"/>
    <s v="No"/>
    <s v="Wide Reach"/>
    <s v="Afternoon"/>
    <x v="0"/>
    <n v="1.8181818181818181"/>
  </r>
  <r>
    <x v="602"/>
    <s v="Hiding a snack stash in my backpack for emergency cravings. Snack ninja mode: Activated!"/>
    <s v="Mischievous"/>
    <d v="2023-08-23T16:45:00"/>
    <x v="0"/>
    <s v=" #SnackNinja #HighSchoolSnacks "/>
    <n v="28"/>
    <n v="55"/>
    <s v="USA"/>
    <n v="2023"/>
    <n v="8"/>
    <n v="23"/>
    <n v="16"/>
    <n v="83"/>
    <s v="Popular"/>
    <s v="Yes"/>
    <s v="Wide Reach"/>
    <s v="Afternoon"/>
    <x v="0"/>
    <n v="1.9642857142857142"/>
  </r>
  <r>
    <x v="603"/>
    <s v="Planning a surprise scavenger hunt for friends. Anticipating the thrill and excitement!"/>
    <s v="Excitement"/>
    <d v="2023-08-24T18:20:00"/>
    <x v="1"/>
    <s v=" #SurpriseAdventure #HighSchoolFun "/>
    <n v="20"/>
    <n v="38"/>
    <s v="UK"/>
    <n v="2023"/>
    <n v="8"/>
    <n v="24"/>
    <n v="18"/>
    <n v="58"/>
    <s v="Normal"/>
    <s v="No"/>
    <s v="Standard"/>
    <s v="Evening"/>
    <x v="1"/>
    <n v="1.9"/>
  </r>
  <r>
    <x v="604"/>
    <s v="Danced in the rain to celebrate the end of exams. Rain dance: Unexpectedly refreshing!"/>
    <s v="Joy"/>
    <d v="2023-08-25T14:15:00"/>
    <x v="2"/>
    <s v=" #RainDance #HighSchoolJoy "/>
    <n v="25"/>
    <n v="50"/>
    <s v="Canada"/>
    <n v="2023"/>
    <n v="8"/>
    <n v="25"/>
    <n v="14"/>
    <n v="75"/>
    <s v="Popular"/>
    <s v="No"/>
    <s v="Wide Reach"/>
    <s v="Afternoon"/>
    <x v="0"/>
    <n v="2"/>
  </r>
  <r>
    <x v="605"/>
    <s v="Accidentally sent a text meant for a friend to the class group chat. Texting fail: Oops moment!"/>
    <s v="Embarrassed"/>
    <d v="2023-08-26T17:30:00"/>
    <x v="0"/>
    <s v=" #TextingFail #HighSchoolAwkward "/>
    <n v="18"/>
    <n v="35"/>
    <s v="USA"/>
    <n v="2023"/>
    <n v="8"/>
    <n v="26"/>
    <n v="17"/>
    <n v="53"/>
    <s v="Normal"/>
    <s v="No"/>
    <s v="Standard"/>
    <s v="Afternoon"/>
    <x v="0"/>
    <n v="1.9444444444444444"/>
  </r>
  <r>
    <x v="606"/>
    <s v="Tried a magic trick to impress classmates. Magic fail: Where did that rabbit go?"/>
    <s v="Embarrassed"/>
    <d v="2023-08-27T20:45:00"/>
    <x v="1"/>
    <s v=" #MagicFail #HighSchoolMagic "/>
    <n v="22"/>
    <n v="45"/>
    <s v="UK"/>
    <n v="2023"/>
    <n v="8"/>
    <n v="27"/>
    <n v="20"/>
    <n v="67"/>
    <s v="Popular"/>
    <s v="No"/>
    <s v="Wide Reach"/>
    <s v="Evening"/>
    <x v="1"/>
    <n v="2.0454545454545454"/>
  </r>
  <r>
    <x v="607"/>
    <s v="Perfecting the art of creating origami during a dull lecture. Origami mastery: A+!"/>
    <s v="Joy"/>
    <d v="2023-08-28T16:00:00"/>
    <x v="0"/>
    <s v=" #OrigamiMaster #HighSchoolArt "/>
    <n v="18"/>
    <n v="36"/>
    <s v="USA"/>
    <n v="2023"/>
    <n v="8"/>
    <n v="28"/>
    <n v="16"/>
    <n v="54"/>
    <s v="Normal"/>
    <s v="No"/>
    <s v="Standard"/>
    <s v="Afternoon"/>
    <x v="0"/>
    <n v="2"/>
  </r>
  <r>
    <x v="608"/>
    <s v="Attempting to set a new record for the most consecutive hacky sack kicks. Hacky sack skills: Unleashed!"/>
    <s v="Excitement"/>
    <d v="2023-08-29T13:45:00"/>
    <x v="1"/>
    <s v=" #HackySackChallenge #HighSchoolAthlete "/>
    <n v="26"/>
    <n v="48"/>
    <s v="Canada"/>
    <n v="2023"/>
    <n v="8"/>
    <n v="29"/>
    <n v="13"/>
    <n v="74"/>
    <s v="Popular"/>
    <s v="No"/>
    <s v="Wide Reach"/>
    <s v="Afternoon"/>
    <x v="0"/>
    <n v="1.8461538461538463"/>
  </r>
  <r>
    <x v="609"/>
    <s v="Creating a secret handshake with friends. Friendship level: Expert!"/>
    <s v="Joy"/>
    <d v="2023-08-30T17:30:00"/>
    <x v="2"/>
    <s v=" #FriendshipGoals #HighSchoolMemories "/>
    <n v="20"/>
    <n v="40"/>
    <s v="USA"/>
    <n v="2023"/>
    <n v="8"/>
    <n v="30"/>
    <n v="17"/>
    <n v="60"/>
    <s v="Normal"/>
    <s v="No"/>
    <s v="Standard"/>
    <s v="Afternoon"/>
    <x v="0"/>
    <n v="2"/>
  </r>
  <r>
    <x v="610"/>
    <s v="Embarking on a mission to find the best burger joint in town. Burger connoisseur: Reporting for duty!"/>
    <s v="Excitement"/>
    <d v="2023-08-31T20:15:00"/>
    <x v="0"/>
    <s v=" #BurgerQuest #HighSchoolFoodie "/>
    <n v="24"/>
    <n v="42"/>
    <s v="UK"/>
    <n v="2023"/>
    <n v="8"/>
    <n v="31"/>
    <n v="20"/>
    <n v="66"/>
    <s v="Popular"/>
    <s v="No"/>
    <s v="Wide Reach"/>
    <s v="Evening"/>
    <x v="1"/>
    <n v="1.75"/>
  </r>
  <r>
    <x v="611"/>
    <s v="Practicing a stand-up comedy routine for the upcoming talent show. Comedy gig: In the making!"/>
    <s v="Joy"/>
    <d v="2023-09-01T14:45:00"/>
    <x v="1"/>
    <s v=" #StandUpComedy #HighSchoolTalent "/>
    <n v="21"/>
    <n v="39"/>
    <s v="Canada"/>
    <n v="2023"/>
    <n v="9"/>
    <n v="1"/>
    <n v="14"/>
    <n v="60"/>
    <s v="Normal"/>
    <s v="No"/>
    <s v="Wide Reach"/>
    <s v="Afternoon"/>
    <x v="0"/>
    <n v="1.8571428571428572"/>
  </r>
  <r>
    <x v="612"/>
    <s v="Accidentally sent a love letter to the wrong person. Love note fail: Maximum embarrassment!"/>
    <s v="Embarrassed"/>
    <d v="2023-09-02T18:30:00"/>
    <x v="2"/>
    <s v=" #LoveLetterFail #HighSchoolAwkward "/>
    <n v="17"/>
    <n v="33"/>
    <s v="USA"/>
    <n v="2023"/>
    <n v="9"/>
    <n v="2"/>
    <n v="18"/>
    <n v="50"/>
    <s v="Normal"/>
    <s v="No"/>
    <s v="Standard"/>
    <s v="Evening"/>
    <x v="0"/>
    <n v="1.9411764705882353"/>
  </r>
  <r>
    <x v="613"/>
    <s v="Attempting to impress the teacher with an elaborate science experiment. Science geek mode: Activated!"/>
    <s v="Excitement"/>
    <d v="2023-09-03T22:00:00"/>
    <x v="0"/>
    <s v=" #ScienceGeek #HighSchoolExperiments "/>
    <n v="23"/>
    <n v="44"/>
    <s v="UK"/>
    <n v="2023"/>
    <n v="9"/>
    <n v="3"/>
    <n v="22"/>
    <n v="67"/>
    <s v="Popular"/>
    <s v="No"/>
    <s v="Wide Reach"/>
    <s v="Evening"/>
    <x v="1"/>
    <n v="1.9130434782608696"/>
  </r>
  <r>
    <x v="614"/>
    <s v="Crafting intricate friendship bracelets for the whole squad. Friendship level: Expert weaver!"/>
    <s v="Joy"/>
    <d v="2023-09-04T15:15:00"/>
    <x v="1"/>
    <s v=" #FriendshipBracelets #HighSchoolCrafts "/>
    <n v="19"/>
    <n v="37"/>
    <s v="USA"/>
    <n v="2023"/>
    <n v="9"/>
    <n v="4"/>
    <n v="15"/>
    <n v="56"/>
    <s v="Normal"/>
    <s v="No"/>
    <s v="Standard"/>
    <s v="Afternoon"/>
    <x v="0"/>
    <n v="1.9473684210526316"/>
  </r>
  <r>
    <x v="615"/>
    <s v="Attempting to beat the record for the most consecutive cartwheels. Cartwheel challenge: Underway!"/>
    <s v="Excitement"/>
    <d v="2023-09-05T12:30:00"/>
    <x v="0"/>
    <s v=" #CartwheelChallenge #HighSchoolAthlete "/>
    <n v="27"/>
    <n v="52"/>
    <s v="Canada"/>
    <n v="2023"/>
    <n v="9"/>
    <n v="5"/>
    <n v="12"/>
    <n v="79"/>
    <s v="Popular"/>
    <s v="Yes"/>
    <s v="Wide Reach"/>
    <s v="Afternoon"/>
    <x v="0"/>
    <n v="1.9259259259259258"/>
  </r>
  <r>
    <x v="616"/>
    <s v="Organizing a movie marathon with friends. Popcorn and cinematic adventures await!"/>
    <s v="Joy"/>
    <d v="2023-09-06T16:45:00"/>
    <x v="2"/>
    <s v=" #MovieNight #HighSchoolMemories "/>
    <n v="22"/>
    <n v="43"/>
    <s v="UK"/>
    <n v="2023"/>
    <n v="9"/>
    <n v="6"/>
    <n v="16"/>
    <n v="65"/>
    <s v="Popular"/>
    <s v="No"/>
    <s v="Wide Reach"/>
    <s v="Afternoon"/>
    <x v="1"/>
    <n v="1.9545454545454546"/>
  </r>
  <r>
    <x v="617"/>
    <s v="Experimenting with a new hair color. A bold change for a bold semester!"/>
    <s v="Excitement"/>
    <d v="2023-09-07T18:20:00"/>
    <x v="1"/>
    <s v=" #HairExperiment #HighSchoolStyle "/>
    <n v="20"/>
    <n v="39"/>
    <s v="USA"/>
    <n v="2023"/>
    <n v="9"/>
    <n v="7"/>
    <n v="18"/>
    <n v="59"/>
    <s v="Normal"/>
    <s v="No"/>
    <s v="Standard"/>
    <s v="Evening"/>
    <x v="0"/>
    <n v="1.95"/>
  </r>
  <r>
    <x v="618"/>
    <s v="Building a time capsule to capture memories for the future. Time-traveling emotions!"/>
    <s v="Joy"/>
    <d v="2023-09-08T14:15:00"/>
    <x v="2"/>
    <s v=" #TimeCapsule #HighSchoolNostalgia "/>
    <n v="26"/>
    <n v="48"/>
    <s v="Canada"/>
    <n v="2023"/>
    <n v="9"/>
    <n v="8"/>
    <n v="14"/>
    <n v="74"/>
    <s v="Popular"/>
    <s v="No"/>
    <s v="Wide Reach"/>
    <s v="Afternoon"/>
    <x v="0"/>
    <n v="1.8461538461538463"/>
  </r>
  <r>
    <x v="619"/>
    <s v="Accidentally walked into the wrong classroom on the first day. Classroom mix-up: Awkward start!"/>
    <s v="Embarrassed"/>
    <d v="2023-09-09T17:30:00"/>
    <x v="0"/>
    <s v=" #FirstDayOops #HighSchoolEmbarrassment "/>
    <n v="16"/>
    <n v="32"/>
    <s v="USA"/>
    <n v="2023"/>
    <n v="9"/>
    <n v="9"/>
    <n v="17"/>
    <n v="48"/>
    <s v="Normal"/>
    <s v="No"/>
    <s v="Standard"/>
    <s v="Afternoon"/>
    <x v="0"/>
    <n v="2"/>
  </r>
  <r>
    <x v="620"/>
    <s v="Trying out a new smoothie recipe for a healthy start to the week. Smoothie enthusiast: Level up!"/>
    <s v="Excitement"/>
    <d v="2023-09-10T20:45:00"/>
    <x v="1"/>
    <s v=" #HealthyLiving #HighSchoolWellness "/>
    <n v="23"/>
    <n v="42"/>
    <s v="UK"/>
    <n v="2023"/>
    <n v="9"/>
    <n v="10"/>
    <n v="20"/>
    <n v="65"/>
    <s v="Popular"/>
    <s v="No"/>
    <s v="Wide Reach"/>
    <s v="Evening"/>
    <x v="1"/>
    <n v="1.826086956521739"/>
  </r>
  <r>
    <x v="621"/>
    <s v="Reflecting on the challenges of the school year. Feeling a bit overwhelmed with assignments."/>
    <s v="Sad"/>
    <d v="2023-09-11T15:45:00"/>
    <x v="0"/>
    <s v=" #SchoolChallenges #HighSchoolStruggles "/>
    <n v="15"/>
    <n v="28"/>
    <s v="USA"/>
    <n v="2023"/>
    <n v="9"/>
    <n v="11"/>
    <n v="15"/>
    <n v="43"/>
    <s v="Normal"/>
    <s v="No"/>
    <s v="Standard"/>
    <s v="Afternoon"/>
    <x v="0"/>
    <n v="1.8666666666666667"/>
  </r>
  <r>
    <x v="622"/>
    <s v="Encountered some mean-spirited comments online. Dealing with online hate is never easy."/>
    <s v="Hate"/>
    <d v="2023-09-12T12:30:00"/>
    <x v="1"/>
    <s v=" #OnlineHate #HighSchoolReality "/>
    <n v="18"/>
    <n v="36"/>
    <s v="Canada"/>
    <n v="2023"/>
    <n v="9"/>
    <n v="12"/>
    <n v="12"/>
    <n v="54"/>
    <s v="Normal"/>
    <s v="No"/>
    <s v="Standard"/>
    <s v="Afternoon"/>
    <x v="0"/>
    <n v="2"/>
  </r>
  <r>
    <x v="623"/>
    <s v="Had a bad day at school. Everything seems to be going wrong."/>
    <s v="Bad"/>
    <d v="2023-09-13T16:45:00"/>
    <x v="2"/>
    <s v=" #BadDay #HighSchoolBlues "/>
    <n v="20"/>
    <n v="40"/>
    <s v="UK"/>
    <n v="2023"/>
    <n v="9"/>
    <n v="13"/>
    <n v="16"/>
    <n v="60"/>
    <s v="Normal"/>
    <s v="No"/>
    <s v="Standard"/>
    <s v="Afternoon"/>
    <x v="1"/>
    <n v="2"/>
  </r>
  <r>
    <x v="624"/>
    <s v="Feeling down after not making the sports team. Disappointment lingers."/>
    <s v="Sad"/>
    <d v="2023-09-14T18:20:00"/>
    <x v="0"/>
    <s v=" #Disappointment #HighSchoolSports "/>
    <n v="17"/>
    <n v="34"/>
    <s v="USA"/>
    <n v="2023"/>
    <n v="9"/>
    <n v="14"/>
    <n v="18"/>
    <n v="51"/>
    <s v="Normal"/>
    <s v="No"/>
    <s v="Standard"/>
    <s v="Evening"/>
    <x v="0"/>
    <n v="2"/>
  </r>
  <r>
    <x v="625"/>
    <s v="Witnessed a heated argument in the cafeteria. Unpleasant atmosphere at lunch."/>
    <s v="Hate"/>
    <d v="2023-09-15T14:15:00"/>
    <x v="1"/>
    <s v=" #CafeteriaDrama #HighSchoolTension "/>
    <n v="21"/>
    <n v="41"/>
    <s v="Canada"/>
    <n v="2023"/>
    <n v="9"/>
    <n v="15"/>
    <n v="14"/>
    <n v="62"/>
    <s v="Popular"/>
    <s v="No"/>
    <s v="Wide Reach"/>
    <s v="Afternoon"/>
    <x v="0"/>
    <n v="1.9523809523809523"/>
  </r>
  <r>
    <x v="626"/>
    <s v="Received a not-so-great grade on a major project. Academic frustration setting in."/>
    <s v="Bad"/>
    <d v="2023-09-16T17:30:00"/>
    <x v="2"/>
    <s v=" #AcademicFrustration #HighSchoolStress "/>
    <n v="19"/>
    <n v="38"/>
    <s v="UK"/>
    <n v="2023"/>
    <n v="9"/>
    <n v="16"/>
    <n v="17"/>
    <n v="57"/>
    <s v="Normal"/>
    <s v="No"/>
    <s v="Standard"/>
    <s v="Afternoon"/>
    <x v="1"/>
    <n v="2"/>
  </r>
  <r>
    <x v="627"/>
    <s v="Dealing with a personal setback. Sometimes life throws unexpected challenges."/>
    <s v="Sad"/>
    <d v="2023-09-17T20:45:00"/>
    <x v="0"/>
    <s v=" #LifeChallenges #HighSchoolStruggles "/>
    <n v="22"/>
    <n v="44"/>
    <s v="USA"/>
    <n v="2023"/>
    <n v="9"/>
    <n v="17"/>
    <n v="20"/>
    <n v="66"/>
    <s v="Popular"/>
    <s v="No"/>
    <s v="Wide Reach"/>
    <s v="Evening"/>
    <x v="0"/>
    <n v="2"/>
  </r>
  <r>
    <x v="628"/>
    <s v="Feeling lonely on a Saturday night. Sometimes solitude hits harder than expected."/>
    <s v="Sad"/>
    <d v="2023-09-18T22:00:00"/>
    <x v="1"/>
    <s v=" #LonelyNights #HighSchoolEmotions "/>
    <n v="16"/>
    <n v="31"/>
    <s v="Canada"/>
    <n v="2023"/>
    <n v="9"/>
    <n v="18"/>
    <n v="22"/>
    <n v="47"/>
    <s v="Normal"/>
    <s v="No"/>
    <s v="Standard"/>
    <s v="Evening"/>
    <x v="0"/>
    <n v="1.9375"/>
  </r>
  <r>
    <x v="629"/>
    <s v="Experiencing cyberbullying. Hateful messages online are disheartening."/>
    <s v="Hate"/>
    <d v="2023-09-19T15:15:00"/>
    <x v="2"/>
    <s v=" #StopCyberbullying #HighSchoolReality "/>
    <n v="14"/>
    <n v="27"/>
    <s v="UK"/>
    <n v="2023"/>
    <n v="9"/>
    <n v="19"/>
    <n v="15"/>
    <n v="41"/>
    <s v="Normal"/>
    <s v="No"/>
    <s v="Standard"/>
    <s v="Afternoon"/>
    <x v="1"/>
    <n v="1.9285714285714286"/>
  </r>
  <r>
    <x v="630"/>
    <s v="Caught in a torrential rainstorm without an umbrella. Today's weather is just bad luck."/>
    <s v="Bad"/>
    <d v="2023-09-20T12:30:00"/>
    <x v="0"/>
    <s v=" #BadLuck #HighSchoolWeather "/>
    <n v="18"/>
    <n v="35"/>
    <s v="USA"/>
    <n v="2023"/>
    <n v="9"/>
    <n v="20"/>
    <n v="12"/>
    <n v="53"/>
    <s v="Normal"/>
    <s v="No"/>
    <s v="Standard"/>
    <s v="Afternoon"/>
    <x v="0"/>
    <n v="1.9444444444444444"/>
  </r>
  <r>
    <x v="631"/>
    <s v="Missing an important event due to unforeseen circumstances. A day filled with sadness."/>
    <s v="Sad"/>
    <d v="2023-09-21T16:45:00"/>
    <x v="1"/>
    <s v=" #MissedChances #HighSchoolRegret "/>
    <n v="20"/>
    <n v="39"/>
    <s v="Canada"/>
    <n v="2023"/>
    <n v="9"/>
    <n v="21"/>
    <n v="16"/>
    <n v="59"/>
    <s v="Normal"/>
    <s v="No"/>
    <s v="Standard"/>
    <s v="Afternoon"/>
    <x v="0"/>
    <n v="1.95"/>
  </r>
  <r>
    <x v="632"/>
    <s v="Dealing with unfounded rumors circulating about personal life. Rumors can be hurtful."/>
    <s v="Hate"/>
    <d v="2023-09-22T18:20:00"/>
    <x v="2"/>
    <s v=" #RumorMills #HighSchoolDrama "/>
    <n v="23"/>
    <n v="46"/>
    <s v="UK"/>
    <n v="2023"/>
    <n v="9"/>
    <n v="22"/>
    <n v="18"/>
    <n v="69"/>
    <s v="Popular"/>
    <s v="No"/>
    <s v="Wide Reach"/>
    <s v="Evening"/>
    <x v="1"/>
    <n v="2"/>
  </r>
  <r>
    <x v="633"/>
    <s v="Got a flat tire on the way to an important meeting. Talk about a series of bad events!"/>
    <s v="Bad"/>
    <d v="2023-09-23T14:15:00"/>
    <x v="0"/>
    <s v=" #BadLuckDay #HighSchoolStruggles "/>
    <n v="25"/>
    <n v="50"/>
    <s v="USA"/>
    <n v="2023"/>
    <n v="9"/>
    <n v="23"/>
    <n v="14"/>
    <n v="75"/>
    <s v="Popular"/>
    <s v="No"/>
    <s v="Wide Reach"/>
    <s v="Afternoon"/>
    <x v="0"/>
    <n v="2"/>
  </r>
  <r>
    <x v="634"/>
    <s v="Feeling a sense of emptiness after a close friend moves away. Farewells are always sad."/>
    <s v="Sad"/>
    <d v="2023-09-24T17:30:00"/>
    <x v="1"/>
    <s v=" #SayingGoodbye #HighSchoolEmotions "/>
    <n v="21"/>
    <n v="42"/>
    <s v="Canada"/>
    <n v="2023"/>
    <n v="9"/>
    <n v="24"/>
    <n v="17"/>
    <n v="63"/>
    <s v="Popular"/>
    <s v="No"/>
    <s v="Wide Reach"/>
    <s v="Afternoon"/>
    <x v="0"/>
    <n v="2"/>
  </r>
  <r>
    <x v="635"/>
    <s v="Facing rejection from a dream college. Disheartened but determined to explore other paths."/>
    <s v="Sad"/>
    <d v="2023-09-25T20:45:00"/>
    <x v="2"/>
    <s v=" #CollegeDreams #HighSchoolJourney "/>
    <n v="19"/>
    <n v="37"/>
    <s v="UK"/>
    <n v="2023"/>
    <n v="9"/>
    <n v="25"/>
    <n v="20"/>
    <n v="56"/>
    <s v="Normal"/>
    <s v="No"/>
    <s v="Standard"/>
    <s v="Evening"/>
    <x v="1"/>
    <n v="1.9473684210526316"/>
  </r>
  <r>
    <x v="636"/>
    <s v="Encountering online toxicity during a gaming session. Hateful comments can ruin the fun."/>
    <s v="Hate"/>
    <d v="2023-09-26T14:15:00"/>
    <x v="0"/>
    <s v=" #OnlineGaming #HighSchoolGamer "/>
    <n v="16"/>
    <n v="32"/>
    <s v="USA"/>
    <n v="2023"/>
    <n v="9"/>
    <n v="26"/>
    <n v="14"/>
    <n v="48"/>
    <s v="Normal"/>
    <s v="No"/>
    <s v="Standard"/>
    <s v="Afternoon"/>
    <x v="0"/>
    <n v="2"/>
  </r>
  <r>
    <x v="637"/>
    <s v="Having a bad hair day and feeling self-conscious. Bad hair days can affect confidence."/>
    <s v="Bad"/>
    <d v="2023-09-27T17:30:00"/>
    <x v="1"/>
    <s v=" #BadHairDay #HighSchoolConfidence "/>
    <n v="18"/>
    <n v="36"/>
    <s v="Canada"/>
    <n v="2023"/>
    <n v="9"/>
    <n v="27"/>
    <n v="17"/>
    <n v="54"/>
    <s v="Normal"/>
    <s v="No"/>
    <s v="Standard"/>
    <s v="Afternoon"/>
    <x v="0"/>
    <n v="2"/>
  </r>
  <r>
    <x v="638"/>
    <s v="Feeling a sense of despair after a major project failure. Hard work didn't pay off this time."/>
    <s v="Sad"/>
    <d v="2023-09-28T22:00:00"/>
    <x v="2"/>
    <s v=" #ProjectStruggles #HighSchoolHardships "/>
    <n v="21"/>
    <n v="41"/>
    <s v="UK"/>
    <n v="2023"/>
    <n v="9"/>
    <n v="28"/>
    <n v="22"/>
    <n v="62"/>
    <s v="Popular"/>
    <s v="No"/>
    <s v="Wide Reach"/>
    <s v="Evening"/>
    <x v="1"/>
    <n v="1.9523809523809523"/>
  </r>
  <r>
    <x v="639"/>
    <s v="Experiencing hate comments for expressing personal opinions. Online negativity prevails."/>
    <s v="Hate"/>
    <d v="2023-09-29T15:45:00"/>
    <x v="0"/>
    <s v=" #OnlineOpinions #HighSchoolCriticism "/>
    <n v="24"/>
    <n v="48"/>
    <s v="USA"/>
    <n v="2023"/>
    <n v="9"/>
    <n v="29"/>
    <n v="15"/>
    <n v="72"/>
    <s v="Popular"/>
    <s v="No"/>
    <s v="Wide Reach"/>
    <s v="Afternoon"/>
    <x v="0"/>
    <n v="2"/>
  </r>
  <r>
    <x v="640"/>
    <s v="Having a string of bad luck with constant technology malfunctions. Tech troubles galore!"/>
    <s v="Bad"/>
    <d v="2023-09-30T18:20:00"/>
    <x v="1"/>
    <s v=" #TechIssues #HighSchoolTech "/>
    <n v="22"/>
    <n v="43"/>
    <s v="Canada"/>
    <n v="2023"/>
    <n v="9"/>
    <n v="30"/>
    <n v="18"/>
    <n v="65"/>
    <s v="Popular"/>
    <s v="No"/>
    <s v="Wide Reach"/>
    <s v="Evening"/>
    <x v="0"/>
    <n v="1.9545454545454546"/>
  </r>
  <r>
    <x v="641"/>
    <s v="Missing out on a long-anticipated event due to unexpected circumstances. A day filled with sadness."/>
    <s v="Sad"/>
    <d v="2023-10-01T14:15:00"/>
    <x v="2"/>
    <s v=" #MissedMoments #HighSchoolRegret "/>
    <n v="20"/>
    <n v="39"/>
    <s v="UK"/>
    <n v="2023"/>
    <n v="10"/>
    <n v="1"/>
    <n v="14"/>
    <n v="59"/>
    <s v="Normal"/>
    <s v="No"/>
    <s v="Standard"/>
    <s v="Afternoon"/>
    <x v="1"/>
    <n v="1.95"/>
  </r>
  <r>
    <x v="642"/>
    <s v="Trying out a new study technique for upcoming exams. Exploring different learning strategies."/>
    <s v="Neutral"/>
    <d v="2023-10-02T16:45:00"/>
    <x v="1"/>
    <s v=" #StudyStrategies #HighSchoolExams "/>
    <n v="23"/>
    <n v="42"/>
    <s v="USA"/>
    <n v="2023"/>
    <n v="10"/>
    <n v="2"/>
    <n v="16"/>
    <n v="65"/>
    <s v="Popular"/>
    <s v="No"/>
    <s v="Wide Reach"/>
    <s v="Afternoon"/>
    <x v="0"/>
    <n v="1.826086956521739"/>
  </r>
  <r>
    <x v="643"/>
    <s v="Organizing a community cleanup event for a cleaner neighborhood. Promoting environmental awareness."/>
    <s v="Neutral"/>
    <d v="2023-10-03T12:30:00"/>
    <x v="0"/>
    <s v=" #EnvironmentalEfforts #HighSchoolCommunity "/>
    <n v="26"/>
    <n v="50"/>
    <s v="Canada"/>
    <n v="2023"/>
    <n v="10"/>
    <n v="3"/>
    <n v="12"/>
    <n v="76"/>
    <s v="Popular"/>
    <s v="No"/>
    <s v="Wide Reach"/>
    <s v="Afternoon"/>
    <x v="0"/>
    <n v="1.9230769230769231"/>
  </r>
  <r>
    <x v="644"/>
    <s v="Sharing favorite book recommendations with classmates. Building a mini book club."/>
    <s v="Neutral"/>
    <d v="2023-10-04T18:20:00"/>
    <x v="2"/>
    <s v=" #BookClub #HighSchoolReads "/>
    <n v="19"/>
    <n v="38"/>
    <s v="UK"/>
    <n v="2023"/>
    <n v="10"/>
    <n v="4"/>
    <n v="18"/>
    <n v="57"/>
    <s v="Normal"/>
    <s v="No"/>
    <s v="Standard"/>
    <s v="Evening"/>
    <x v="1"/>
    <n v="2"/>
  </r>
  <r>
    <x v="645"/>
    <s v="Experimenting with a new recipe for a school bake sale. Baking adventures in the kitchen."/>
    <s v="Neutral"/>
    <d v="2023-10-05T14:15:00"/>
    <x v="1"/>
    <s v=" #BakingAdventures #HighSchoolBakes "/>
    <n v="21"/>
    <n v="43"/>
    <s v="USA"/>
    <n v="2023"/>
    <n v="10"/>
    <n v="5"/>
    <n v="14"/>
    <n v="64"/>
    <s v="Popular"/>
    <s v="No"/>
    <s v="Wide Reach"/>
    <s v="Afternoon"/>
    <x v="0"/>
    <n v="2.0476190476190474"/>
  </r>
  <r>
    <x v="646"/>
    <s v="Collaborating on a school project with peers. Teamwork makes the dream work."/>
    <s v="Neutral"/>
    <d v="2023-10-06T17:30:00"/>
    <x v="0"/>
    <s v=" #Teamwork #HighSchoolProjects "/>
    <n v="18"/>
    <n v="36"/>
    <s v="Canada"/>
    <n v="2023"/>
    <n v="10"/>
    <n v="6"/>
    <n v="17"/>
    <n v="54"/>
    <s v="Normal"/>
    <s v="No"/>
    <s v="Standard"/>
    <s v="Afternoon"/>
    <x v="0"/>
    <n v="2"/>
  </r>
  <r>
    <x v="647"/>
    <s v="Attending a school club meeting to explore new interests. Dabbling in extracurricular activities."/>
    <s v="Neutral"/>
    <d v="2023-10-07T20:45:00"/>
    <x v="1"/>
    <s v=" #SchoolClubs #HighSchoolInterests "/>
    <n v="22"/>
    <n v="45"/>
    <s v="UK"/>
    <n v="2023"/>
    <n v="10"/>
    <n v="7"/>
    <n v="20"/>
    <n v="67"/>
    <s v="Popular"/>
    <s v="No"/>
    <s v="Wide Reach"/>
    <s v="Evening"/>
    <x v="1"/>
    <n v="2.0454545454545454"/>
  </r>
  <r>
    <x v="648"/>
    <s v="Exploring a new part-time job opportunity for gaining work experience. Career development in progress."/>
    <s v="Neutral"/>
    <d v="2023-10-08T15:15:00"/>
    <x v="2"/>
    <s v=" #CareerDevelopment #HighSchoolJobs "/>
    <n v="24"/>
    <n v="48"/>
    <s v="USA"/>
    <n v="2023"/>
    <n v="10"/>
    <n v="8"/>
    <n v="15"/>
    <n v="72"/>
    <s v="Popular"/>
    <s v="No"/>
    <s v="Wide Reach"/>
    <s v="Afternoon"/>
    <x v="0"/>
    <n v="2"/>
  </r>
  <r>
    <x v="649"/>
    <s v="Attending a school assembly to stay informed about upcoming events and announcements. Staying connected with school activities."/>
    <s v="Neutral"/>
    <d v="2023-10-09T22:00:00"/>
    <x v="0"/>
    <s v=" #SchoolEvents #HighSchoolConnectivity "/>
    <n v="20"/>
    <n v="40"/>
    <s v="Canada"/>
    <n v="2023"/>
    <n v="10"/>
    <n v="9"/>
    <n v="22"/>
    <n v="60"/>
    <s v="Normal"/>
    <s v="No"/>
    <s v="Standard"/>
    <s v="Evening"/>
    <x v="0"/>
    <n v="2"/>
  </r>
  <r>
    <x v="650"/>
    <s v="Exploring a new hobby of photography during free time. Capturing moments through a lens."/>
    <s v="Neutral"/>
    <d v="2023-10-10T14:15:00"/>
    <x v="1"/>
    <s v=" #PhotographyJourney #HighSchoolHobbies "/>
    <n v="25"/>
    <n v="49"/>
    <s v="UK"/>
    <n v="2023"/>
    <n v="10"/>
    <n v="10"/>
    <n v="14"/>
    <n v="74"/>
    <s v="Popular"/>
    <s v="No"/>
    <s v="Wide Reach"/>
    <s v="Afternoon"/>
    <x v="1"/>
    <n v="1.96"/>
  </r>
  <r>
    <x v="651"/>
    <s v="Participating in a science fair to showcase a unique experiment. Sharing knowledge with peers."/>
    <s v="Neutral"/>
    <d v="2023-10-11T16:45:00"/>
    <x v="2"/>
    <s v=" #ScienceFair #HighSchoolScience "/>
    <n v="19"/>
    <n v="37"/>
    <s v="USA"/>
    <n v="2023"/>
    <n v="10"/>
    <n v="11"/>
    <n v="16"/>
    <n v="56"/>
    <s v="Normal"/>
    <s v="No"/>
    <s v="Standard"/>
    <s v="Afternoon"/>
    <x v="0"/>
    <n v="1.9473684210526316"/>
  </r>
  <r>
    <x v="652"/>
    <s v="Attending a workshop on time management to enhance organizational skills. Striving for efficiency."/>
    <s v="Neutral"/>
    <d v="2023-10-12T18:20:00"/>
    <x v="0"/>
    <s v=" #EfficiencyGoals #HighSchoolSkills "/>
    <n v="23"/>
    <n v="44"/>
    <s v="Canada"/>
    <n v="2023"/>
    <n v="10"/>
    <n v="12"/>
    <n v="18"/>
    <n v="67"/>
    <s v="Popular"/>
    <s v="No"/>
    <s v="Wide Reach"/>
    <s v="Evening"/>
    <x v="0"/>
    <n v="1.9130434782608696"/>
  </r>
  <r>
    <x v="653"/>
    <s v="Volunteering at a local charity event to give back to the community. Contributing to social causes."/>
    <s v="Neutral"/>
    <d v="2023-10-13T12:30:00"/>
    <x v="1"/>
    <s v=" #CommunityService #HighSchoolVolunteer "/>
    <n v="20"/>
    <n v="39"/>
    <s v="UK"/>
    <n v="2023"/>
    <n v="10"/>
    <n v="13"/>
    <n v="12"/>
    <n v="59"/>
    <s v="Normal"/>
    <s v="No"/>
    <s v="Standard"/>
    <s v="Afternoon"/>
    <x v="1"/>
    <n v="1.95"/>
  </r>
  <r>
    <x v="654"/>
    <s v="Collaborating on a group project to promote teamwork and shared responsibilities. Group effort in action."/>
    <s v="Neutral"/>
    <d v="2023-10-14T17:30:00"/>
    <x v="2"/>
    <s v=" #TeamSpirit #HighSchoolProjects "/>
    <n v="18"/>
    <n v="35"/>
    <s v="USA"/>
    <n v="2023"/>
    <n v="10"/>
    <n v="14"/>
    <n v="17"/>
    <n v="53"/>
    <s v="Normal"/>
    <s v="No"/>
    <s v="Standard"/>
    <s v="Afternoon"/>
    <x v="0"/>
    <n v="1.9444444444444444"/>
  </r>
  <r>
    <x v="655"/>
    <s v="Participating in a debate club to enhance critical thinking and communication skills. Intellectual engagement in progress."/>
    <s v="Neutral"/>
    <d v="2023-10-15T20:45:00"/>
    <x v="0"/>
    <s v=" #DebateSkills #HighSchoolIntellect "/>
    <n v="22"/>
    <n v="43"/>
    <s v="Canada"/>
    <n v="2023"/>
    <n v="10"/>
    <n v="15"/>
    <n v="20"/>
    <n v="65"/>
    <s v="Popular"/>
    <s v="No"/>
    <s v="Wide Reach"/>
    <s v="Evening"/>
    <x v="0"/>
    <n v="1.9545454545454546"/>
  </r>
  <r>
    <x v="656"/>
    <s v="Celebrating a friend's birthday with a surprise party. Joyful moments and laughter all around!"/>
    <s v="Happy"/>
    <d v="2023-10-16T15:45:00"/>
    <x v="1"/>
    <s v=" #SurpriseParty #HighSchoolCelebration "/>
    <n v="27"/>
    <n v="52"/>
    <s v="UK"/>
    <n v="2023"/>
    <n v="10"/>
    <n v="16"/>
    <n v="15"/>
    <n v="79"/>
    <s v="Popular"/>
    <s v="Yes"/>
    <s v="Wide Reach"/>
    <s v="Afternoon"/>
    <x v="1"/>
    <n v="1.9259259259259258"/>
  </r>
  <r>
    <x v="657"/>
    <s v="Successfully completing a challenging coding project. Excitement for overcoming coding hurdles!"/>
    <s v="Happy"/>
    <d v="2023-10-17T12:30:00"/>
    <x v="0"/>
    <s v=" #CodingTriumph #HighSchoolTech "/>
    <n v="24"/>
    <n v="48"/>
    <s v="USA"/>
    <n v="2023"/>
    <n v="10"/>
    <n v="17"/>
    <n v="12"/>
    <n v="72"/>
    <s v="Popular"/>
    <s v="No"/>
    <s v="Wide Reach"/>
    <s v="Afternoon"/>
    <x v="0"/>
    <n v="2"/>
  </r>
  <r>
    <x v="658"/>
    <s v="Attending a school talent show to support classmates. Applauding the diverse talents on display!"/>
    <s v="Happy"/>
    <d v="2023-10-18T16:45:00"/>
    <x v="2"/>
    <s v=" #TalentShow #HighSchoolEntertainment "/>
    <n v="19"/>
    <n v="38"/>
    <s v="Canada"/>
    <n v="2023"/>
    <n v="10"/>
    <n v="18"/>
    <n v="16"/>
    <n v="57"/>
    <s v="Normal"/>
    <s v="No"/>
    <s v="Standard"/>
    <s v="Afternoon"/>
    <x v="0"/>
    <n v="2"/>
  </r>
  <r>
    <x v="659"/>
    <s v="Exploring a new hiking trail with friends over the weekend. Nature, laughter, and good vibes!"/>
    <s v="Happy"/>
    <d v="2023-10-19T18:20:00"/>
    <x v="1"/>
    <s v=" #NatureAdventures #HighSchoolFriends "/>
    <n v="21"/>
    <n v="42"/>
    <s v="UK"/>
    <n v="2023"/>
    <n v="10"/>
    <n v="19"/>
    <n v="18"/>
    <n v="63"/>
    <s v="Popular"/>
    <s v="No"/>
    <s v="Wide Reach"/>
    <s v="Evening"/>
    <x v="1"/>
    <n v="2"/>
  </r>
  <r>
    <x v="660"/>
    <s v="Winning a friendly sports competition against rival schools. Victory celebrations in full swing!"/>
    <s v="Happy"/>
    <d v="2023-10-20T14:15:00"/>
    <x v="0"/>
    <s v=" #SportsTriumph #HighSchoolAthletics "/>
    <n v="26"/>
    <n v="50"/>
    <s v="USA"/>
    <n v="2023"/>
    <n v="10"/>
    <n v="20"/>
    <n v="14"/>
    <n v="76"/>
    <s v="Popular"/>
    <s v="No"/>
    <s v="Wide Reach"/>
    <s v="Afternoon"/>
    <x v="0"/>
    <n v="1.9230769230769231"/>
  </r>
  <r>
    <x v="661"/>
    <s v="Receiving a heartfelt letter from a pen pal in another country. Connecting across the globe!"/>
    <s v="Happy"/>
    <d v="2023-10-21T17:30:00"/>
    <x v="2"/>
    <s v=" #GlobalFriendship #HighSchoolCorrespondence "/>
    <n v="23"/>
    <n v="45"/>
    <s v="Canada"/>
    <n v="2023"/>
    <n v="10"/>
    <n v="21"/>
    <n v="17"/>
    <n v="68"/>
    <s v="Popular"/>
    <s v="No"/>
    <s v="Wide Reach"/>
    <s v="Afternoon"/>
    <x v="0"/>
    <n v="1.9565217391304348"/>
  </r>
  <r>
    <x v="662"/>
    <s v="Creating a beautiful mural with fellow art enthusiasts. The power of collaboration and creativity!"/>
    <s v="Happy"/>
    <d v="2023-10-22T20:45:00"/>
    <x v="1"/>
    <s v=" #ArtCollaboration #HighSchoolCreativity "/>
    <n v="22"/>
    <n v="43"/>
    <s v="UK"/>
    <n v="2023"/>
    <n v="10"/>
    <n v="22"/>
    <n v="20"/>
    <n v="65"/>
    <s v="Popular"/>
    <s v="No"/>
    <s v="Wide Reach"/>
    <s v="Evening"/>
    <x v="1"/>
    <n v="1.9545454545454546"/>
  </r>
  <r>
    <x v="663"/>
    <s v="Participating in a school-wide art exhibition. Witnessing creativity and spreading positive vibes!"/>
    <s v="Happy"/>
    <d v="2015-11-10T16:45:00"/>
    <x v="1"/>
    <s v=" #ArtisticExpression #HighSchoolCreativity "/>
    <n v="23"/>
    <n v="44"/>
    <s v="USA"/>
    <n v="2015"/>
    <n v="11"/>
    <n v="10"/>
    <n v="16"/>
    <n v="67"/>
    <s v="Popular"/>
    <s v="No"/>
    <s v="Wide Reach"/>
    <s v="Afternoon"/>
    <x v="0"/>
    <n v="1.9130434782608696"/>
  </r>
  <r>
    <x v="664"/>
    <s v="Achieving a personal best in a track and field competition. The thrill of victory and self-improvement!"/>
    <s v="Happy"/>
    <d v="2016-09-14T12:30:00"/>
    <x v="0"/>
    <s v=" #AthleticAchievement #HighSchoolSports "/>
    <n v="26"/>
    <n v="51"/>
    <s v="Canada"/>
    <n v="2016"/>
    <n v="9"/>
    <n v="14"/>
    <n v="12"/>
    <n v="77"/>
    <s v="Popular"/>
    <s v="Yes"/>
    <s v="Wide Reach"/>
    <s v="Afternoon"/>
    <x v="0"/>
    <n v="1.9615384615384615"/>
  </r>
  <r>
    <x v="665"/>
    <s v="Collaborating on a science project that received recognition at a regional fair. Science triumphs and smiles!"/>
    <s v="Happy"/>
    <d v="2017-08-18T18:20:00"/>
    <x v="2"/>
    <s v=" #ScienceFairWinner #HighSchoolScience "/>
    <n v="20"/>
    <n v="39"/>
    <s v="UK"/>
    <n v="2017"/>
    <n v="8"/>
    <n v="18"/>
    <n v="18"/>
    <n v="59"/>
    <s v="Normal"/>
    <s v="No"/>
    <s v="Standard"/>
    <s v="Evening"/>
    <x v="1"/>
    <n v="1.95"/>
  </r>
  <r>
    <x v="666"/>
    <s v="Attending a surprise birthday party organized by friends. Surrounded by love, laughter, and good company!"/>
    <s v="Happy"/>
    <d v="2018-06-22T14:15:00"/>
    <x v="1"/>
    <s v=" #SurpriseCelebration #HighSchoolFriendship "/>
    <n v="25"/>
    <n v="48"/>
    <s v="USA"/>
    <n v="2018"/>
    <n v="6"/>
    <n v="22"/>
    <n v="14"/>
    <n v="73"/>
    <s v="Popular"/>
    <s v="No"/>
    <s v="Wide Reach"/>
    <s v="Afternoon"/>
    <x v="0"/>
    <n v="1.92"/>
  </r>
  <r>
    <x v="667"/>
    <s v="Successfully fundraising for a school charity initiative. The joy of giving back to the community!"/>
    <s v="Happy"/>
    <d v="2019-04-05T17:30:00"/>
    <x v="0"/>
    <s v=" #CommunityGiving #HighSchoolPhilanthropy "/>
    <n v="22"/>
    <n v="42"/>
    <s v="Canada"/>
    <n v="2019"/>
    <n v="4"/>
    <n v="5"/>
    <n v="17"/>
    <n v="64"/>
    <s v="Popular"/>
    <s v="No"/>
    <s v="Wide Reach"/>
    <s v="Afternoon"/>
    <x v="0"/>
    <n v="1.9090909090909092"/>
  </r>
  <r>
    <x v="668"/>
    <s v="Participating in a multicultural festival, celebrating diversity with music, dance, and delicious food!"/>
    <s v="Happy"/>
    <d v="2020-02-29T20:45:00"/>
    <x v="2"/>
    <s v=" #CulturalCelebration #HighSchoolUnity "/>
    <n v="21"/>
    <n v="43"/>
    <s v="UK"/>
    <n v="2020"/>
    <n v="2"/>
    <n v="29"/>
    <n v="20"/>
    <n v="64"/>
    <s v="Popular"/>
    <s v="No"/>
    <s v="Wide Reach"/>
    <s v="Evening"/>
    <x v="1"/>
    <n v="2.0476190476190474"/>
  </r>
  <r>
    <x v="669"/>
    <s v="Organizing a virtual talent show during challenging times, bringing smiles to classmates' faces!"/>
    <s v="Happy"/>
    <d v="2020-11-15T15:15:00"/>
    <x v="1"/>
    <s v=" #VirtualEntertainment #HighSchoolPositivity "/>
    <n v="24"/>
    <n v="47"/>
    <s v="USA"/>
    <n v="2020"/>
    <n v="11"/>
    <n v="15"/>
    <n v="15"/>
    <n v="71"/>
    <s v="Popular"/>
    <s v="No"/>
    <s v="Wide Reach"/>
    <s v="Afternoon"/>
    <x v="0"/>
    <n v="1.95833333333333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400DE9-7183-4956-8844-7234E517F3E1}" name="PivotTable4" cacheId="3" applyNumberFormats="0" applyBorderFormats="0" applyFontFormats="0" applyPatternFormats="0" applyAlignmentFormats="0" applyWidthHeightFormats="1" dataCaption="Values" tag="a6a4e92b-d9b8-4a54-ab6f-bc9d33b973a4" updatedVersion="8" minRefreshableVersion="3" useAutoFormatting="1" itemPrintTitles="1" createdVersion="5" indent="0" outline="1" outlineData="1" multipleFieldFilters="0">
  <location ref="B15:E28"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g Engagement Per Post" fld="2" subtotal="count" baseField="0" baseItem="0"/>
    <dataField name="Avg Engagement Per Post Goal" fld="0" subtotal="count" baseField="0" baseItem="0"/>
    <dataField name="Avg Engagement Per Post Status" fld="1" subtotal="count" baseField="0" baseItem="0"/>
  </dataFields>
  <conditionalFormats count="1">
    <conditionalFormat scope="data" priority="3">
      <pivotAreas count="1">
        <pivotArea outline="0" fieldPosition="0">
          <references count="1">
            <reference field="4294967294" count="1" selected="0">
              <x v="2"/>
            </reference>
          </references>
        </pivotArea>
      </pivotAreas>
    </conditionalFormat>
  </conditional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2DE56D-551D-4CB8-A4AB-3FEFE80BB124}" name="PivotTable2" cacheId="2" applyNumberFormats="0" applyBorderFormats="0" applyFontFormats="0" applyPatternFormats="0" applyAlignmentFormats="0" applyWidthHeightFormats="1" dataCaption="Values" tag="19b3869e-bf3b-4f62-8eaf-c2d6b291cd72" updatedVersion="8" minRefreshableVersion="3" useAutoFormatting="1" itemPrintTitles="1" createdVersion="5" indent="0" outline="1" outlineData="1" multipleFieldFilters="0">
  <location ref="B3:E7"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2"/>
  </colFields>
  <colItems count="3">
    <i>
      <x/>
    </i>
    <i i="1">
      <x v="1"/>
    </i>
    <i i="2">
      <x v="2"/>
    </i>
  </colItems>
  <dataFields count="3">
    <dataField name="Avg Engagement Per Post" fld="2" subtotal="count" baseField="0" baseItem="0"/>
    <dataField name="Avg Engagement Per Post Goal" fld="0" subtotal="count" baseField="0" baseItem="0"/>
    <dataField name="Avg Engagement Per Post Status" fld="1" subtotal="count" baseField="0" baseItem="0"/>
  </dataFields>
  <conditionalFormats count="1">
    <conditionalFormat scope="data" priority="4">
      <pivotAreas count="1">
        <pivotArea outline="0" fieldPosition="0">
          <references count="1">
            <reference field="4294967294" count="1" selected="0">
              <x v="2"/>
            </reference>
          </references>
        </pivotArea>
      </pivotAreas>
    </conditionalFormat>
  </conditional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9343E-AD54-41D5-B992-E0DFDA203924}" name="PivotTable6" cacheId="4" applyNumberFormats="0" applyBorderFormats="0" applyFontFormats="0" applyPatternFormats="0" applyAlignmentFormats="0" applyWidthHeightFormats="1" dataCaption="Values" tag="5f4f73d5-811b-484d-a810-00f052e409f7" updatedVersion="8" minRefreshableVersion="3" useAutoFormatting="1" itemPrintTitles="1" createdVersion="5" indent="0" outline="1" outlineData="1" multipleFieldFilters="0">
  <location ref="I3:L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Positive Post %" fld="1" subtotal="count" baseField="0" baseItem="0"/>
    <dataField name="Positive Post % Goal" fld="3" subtotal="count" baseField="0" baseItem="0"/>
    <dataField name="Positive Post %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EEA0D-11D4-4FF1-BAA6-69FB7F143A7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7" firstHeaderRow="0" firstDataRow="1" firstDataCol="1"/>
  <pivotFields count="21">
    <pivotField showAll="0"/>
    <pivotField showAll="0"/>
    <pivotField dataField="1" showAll="0"/>
    <pivotField showAll="0"/>
    <pivotField numFmtId="22" showAll="0"/>
    <pivotField axis="axisRow" showAll="0">
      <items count="4">
        <item x="2"/>
        <item x="1"/>
        <item x="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5" showAll="0"/>
  </pivotFields>
  <rowFields count="1">
    <field x="5"/>
  </rowFields>
  <rowItems count="4">
    <i>
      <x/>
    </i>
    <i>
      <x v="1"/>
    </i>
    <i>
      <x v="2"/>
    </i>
    <i t="grand">
      <x/>
    </i>
  </rowItems>
  <colFields count="1">
    <field x="-2"/>
  </colFields>
  <colItems count="3">
    <i>
      <x/>
    </i>
    <i i="1">
      <x v="1"/>
    </i>
    <i i="2">
      <x v="2"/>
    </i>
  </colItems>
  <dataFields count="3">
    <dataField name="Count of Text" fld="2" subtotal="count" baseField="0" baseItem="0"/>
    <dataField name="Sum of Likes" fld="8" baseField="0" baseItem="0"/>
    <dataField name="Sum of Retweets" fld="7"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704952-8FB5-47A1-A3E1-BD69B4255E6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38" firstHeaderRow="1" firstDataRow="2" firstDataCol="1" rowPageCount="1" colPageCount="1"/>
  <pivotFields count="21">
    <pivotField showAll="0"/>
    <pivotField showAll="0"/>
    <pivotField showAll="0"/>
    <pivotField showAll="0"/>
    <pivotField numFmtId="22" showAll="0"/>
    <pivotField axis="axisCol" showAll="0">
      <items count="4">
        <item x="2"/>
        <item x="1"/>
        <item x="0"/>
        <item t="default"/>
      </items>
    </pivotField>
    <pivotField showAll="0"/>
    <pivotField showAll="0"/>
    <pivotField dataField="1"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axis="axisPage" showAll="0">
      <items count="15">
        <item x="1"/>
        <item x="3"/>
        <item x="5"/>
        <item x="6"/>
        <item x="7"/>
        <item x="8"/>
        <item x="9"/>
        <item x="10"/>
        <item x="11"/>
        <item x="12"/>
        <item x="13"/>
        <item x="2"/>
        <item x="4"/>
        <item x="0"/>
        <item t="default"/>
      </items>
    </pivotField>
    <pivotField showAll="0"/>
    <pivotField showAll="0"/>
    <pivotField showAll="0"/>
    <pivotField showAll="0"/>
    <pivotField showAll="0"/>
    <pivotField showAll="0"/>
    <pivotField showAll="0"/>
    <pivotField showAll="0"/>
    <pivotField showAll="0"/>
    <pivotField numFmtId="165" showAll="0"/>
  </pivotFields>
  <rowFields count="1">
    <field x="9"/>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5"/>
  </colFields>
  <colItems count="4">
    <i>
      <x/>
    </i>
    <i>
      <x v="1"/>
    </i>
    <i>
      <x v="2"/>
    </i>
    <i t="grand">
      <x/>
    </i>
  </colItems>
  <pageFields count="1">
    <pageField fld="10" hier="-1"/>
  </pageFields>
  <dataFields count="1">
    <dataField name="Sum of Likes" fld="8" baseField="0" baseItem="0"/>
  </dataFields>
  <conditionalFormats count="4">
    <conditionalFormat type="all" priority="1">
      <pivotAreas count="1">
        <pivotArea type="data" grandCol="1" collapsedLevelsAreSubtotals="1" fieldPosition="0">
          <references count="2">
            <reference field="4294967294" count="1" selected="0">
              <x v="0"/>
            </reference>
            <reference field="9"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2">
      <pivotAreas count="1">
        <pivotArea type="data" collapsedLevelsAreSubtotals="1" fieldPosition="0">
          <references count="3">
            <reference field="4294967294" count="1" selected="0">
              <x v="0"/>
            </reference>
            <reference field="5" count="1" selected="0">
              <x v="2"/>
            </reference>
            <reference field="9"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3">
      <pivotAreas count="1">
        <pivotArea type="data" collapsedLevelsAreSubtotals="1" fieldPosition="0">
          <references count="3">
            <reference field="4294967294" count="1" selected="0">
              <x v="0"/>
            </reference>
            <reference field="5" count="1" selected="0">
              <x v="1"/>
            </reference>
            <reference field="9"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4">
      <pivotAreas count="1">
        <pivotArea type="data" collapsedLevelsAreSubtotals="1" fieldPosition="0">
          <references count="3">
            <reference field="4294967294" count="1" selected="0">
              <x v="0"/>
            </reference>
            <reference field="5" count="1" selected="0">
              <x v="0"/>
            </reference>
            <reference field="9" count="33">
              <x v="0"/>
              <x v="1"/>
              <x v="2"/>
              <x v="3"/>
              <x v="4"/>
              <x v="5"/>
              <x v="6"/>
              <x v="7"/>
              <x v="8"/>
              <x v="9"/>
              <x v="10"/>
              <x v="11"/>
              <x v="12"/>
              <x v="13"/>
              <x v="14"/>
              <x v="15"/>
              <x v="16"/>
              <x v="17"/>
              <x v="18"/>
              <x v="19"/>
              <x v="20"/>
              <x v="21"/>
              <x v="22"/>
              <x v="23"/>
              <x v="24"/>
              <x v="25"/>
              <x v="26"/>
              <x v="27"/>
              <x v="28"/>
              <x v="29"/>
              <x v="30"/>
              <x v="31"/>
              <x v="32"/>
            </reference>
          </references>
        </pivotArea>
      </pivotAreas>
    </conditionalFormat>
  </conditional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44A6B-F271-444E-A6E3-16EC49AF4BC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17" firstHeaderRow="1" firstDataRow="2" firstDataCol="1" rowPageCount="1" colPageCount="1"/>
  <pivotFields count="21">
    <pivotField showAll="0"/>
    <pivotField showAll="0"/>
    <pivotField showAll="0"/>
    <pivotField axis="axisPage" showAll="0">
      <items count="192">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pivotField axis="axisCol" showAll="0">
      <items count="4">
        <item x="2"/>
        <item x="1"/>
        <item x="0"/>
        <item t="default"/>
      </items>
    </pivotField>
    <pivotField showAll="0"/>
    <pivotField showAll="0"/>
    <pivotField dataField="1" showAll="0"/>
    <pivotField showAll="0"/>
    <pivotField showAll="0"/>
    <pivotField axis="axisRow" showAll="0">
      <items count="13">
        <item x="0"/>
        <item x="1"/>
        <item x="2"/>
        <item x="7"/>
        <item x="3"/>
        <item x="5"/>
        <item x="9"/>
        <item x="4"/>
        <item x="8"/>
        <item x="10"/>
        <item x="6"/>
        <item x="11"/>
        <item t="default"/>
      </items>
    </pivotField>
    <pivotField showAll="0"/>
    <pivotField showAll="0"/>
    <pivotField showAll="0"/>
    <pivotField showAll="0"/>
    <pivotField showAll="0"/>
    <pivotField showAll="0"/>
    <pivotField showAll="0"/>
    <pivotField showAll="0"/>
    <pivotField numFmtId="165" showAll="0"/>
  </pivotFields>
  <rowFields count="1">
    <field x="11"/>
  </rowFields>
  <rowItems count="13">
    <i>
      <x/>
    </i>
    <i>
      <x v="1"/>
    </i>
    <i>
      <x v="2"/>
    </i>
    <i>
      <x v="3"/>
    </i>
    <i>
      <x v="4"/>
    </i>
    <i>
      <x v="5"/>
    </i>
    <i>
      <x v="6"/>
    </i>
    <i>
      <x v="7"/>
    </i>
    <i>
      <x v="8"/>
    </i>
    <i>
      <x v="9"/>
    </i>
    <i>
      <x v="10"/>
    </i>
    <i>
      <x v="11"/>
    </i>
    <i t="grand">
      <x/>
    </i>
  </rowItems>
  <colFields count="1">
    <field x="5"/>
  </colFields>
  <colItems count="4">
    <i>
      <x/>
    </i>
    <i>
      <x v="1"/>
    </i>
    <i>
      <x v="2"/>
    </i>
    <i t="grand">
      <x/>
    </i>
  </colItems>
  <pageFields count="1">
    <pageField fld="3" hier="-1"/>
  </pageFields>
  <dataFields count="1">
    <dataField name="Sum of Likes" fld="8"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C788FC-A053-4996-8D00-C9AEF988A91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8" firstHeaderRow="0" firstDataRow="1" firstDataCol="1"/>
  <pivotFields count="21">
    <pivotField showAll="0"/>
    <pivotField showAll="0"/>
    <pivotField dataField="1" showAll="0"/>
    <pivotField showAll="0"/>
    <pivotField numFmtId="22"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0"/>
        <item x="2"/>
        <item x="1"/>
        <item x="3"/>
        <item t="default"/>
      </items>
    </pivotField>
    <pivotField showAll="0"/>
    <pivotField numFmtId="165" showAll="0"/>
  </pivotFields>
  <rowFields count="1">
    <field x="18"/>
  </rowFields>
  <rowItems count="5">
    <i>
      <x/>
    </i>
    <i>
      <x v="1"/>
    </i>
    <i>
      <x v="2"/>
    </i>
    <i>
      <x v="3"/>
    </i>
    <i t="grand">
      <x/>
    </i>
  </rowItems>
  <colFields count="1">
    <field x="-2"/>
  </colFields>
  <colItems count="2">
    <i>
      <x/>
    </i>
    <i i="1">
      <x v="1"/>
    </i>
  </colItems>
  <dataFields count="2">
    <dataField name="Count of Text" fld="2" subtotal="count" baseField="0" baseItem="0"/>
    <dataField name="Sum of Engagement"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D2E125-C61D-4536-A93D-B78CEFA5C9F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9" firstHeaderRow="1" firstDataRow="2" firstDataCol="1"/>
  <pivotFields count="21">
    <pivotField showAll="0"/>
    <pivotField showAll="0"/>
    <pivotField showAll="0"/>
    <pivotField showAll="0"/>
    <pivotField numFmtId="22"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numFmtId="165" showAll="0"/>
  </pivotFields>
  <rowFields count="1">
    <field x="18"/>
  </rowFields>
  <rowItems count="5">
    <i>
      <x/>
    </i>
    <i>
      <x v="1"/>
    </i>
    <i>
      <x v="2"/>
    </i>
    <i>
      <x v="3"/>
    </i>
    <i t="grand">
      <x/>
    </i>
  </rowItems>
  <colFields count="1">
    <field x="5"/>
  </colFields>
  <colItems count="4">
    <i>
      <x/>
    </i>
    <i>
      <x v="1"/>
    </i>
    <i>
      <x v="2"/>
    </i>
    <i t="grand">
      <x/>
    </i>
  </colItems>
  <dataFields count="1">
    <dataField name="Count of Time_Of_Day" fld="18" subtotal="count"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37E537-C7E5-4AD2-B89D-5552BE6FAFEA}"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45" firstHeaderRow="0" firstDataRow="1" firstDataCol="1"/>
  <pivotFields count="21">
    <pivotField showAll="0"/>
    <pivotField showAll="0"/>
    <pivotField dataField="1" showAll="0"/>
    <pivotField showAll="0"/>
    <pivotField numFmtId="22" showAll="0"/>
    <pivotField axis="axisRow" showAll="0">
      <items count="4">
        <item x="2"/>
        <item x="1"/>
        <item x="0"/>
        <item t="default"/>
      </items>
    </pivotField>
    <pivotField showAll="0"/>
    <pivotField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axis="axisRow" showAll="0">
      <items count="15">
        <item x="1"/>
        <item x="3"/>
        <item x="5"/>
        <item x="6"/>
        <item x="7"/>
        <item x="8"/>
        <item x="9"/>
        <item x="10"/>
        <item x="11"/>
        <item x="12"/>
        <item x="13"/>
        <item x="2"/>
        <item x="4"/>
        <item x="0"/>
        <item t="default"/>
      </items>
    </pivotField>
    <pivotField showAll="0"/>
    <pivotField showAll="0"/>
    <pivotField showAll="0"/>
    <pivotField dataField="1" showAll="0">
      <items count="46">
        <item x="1"/>
        <item x="10"/>
        <item x="3"/>
        <item x="25"/>
        <item x="12"/>
        <item x="6"/>
        <item x="16"/>
        <item x="18"/>
        <item x="4"/>
        <item x="14"/>
        <item x="38"/>
        <item x="13"/>
        <item x="36"/>
        <item x="0"/>
        <item x="37"/>
        <item x="21"/>
        <item x="31"/>
        <item x="19"/>
        <item x="8"/>
        <item x="15"/>
        <item x="32"/>
        <item x="20"/>
        <item x="29"/>
        <item x="35"/>
        <item x="2"/>
        <item x="28"/>
        <item x="22"/>
        <item x="40"/>
        <item x="34"/>
        <item x="17"/>
        <item x="9"/>
        <item x="41"/>
        <item x="23"/>
        <item x="44"/>
        <item x="24"/>
        <item x="43"/>
        <item x="30"/>
        <item x="5"/>
        <item x="39"/>
        <item x="42"/>
        <item x="33"/>
        <item x="11"/>
        <item x="7"/>
        <item x="27"/>
        <item x="26"/>
        <item t="default"/>
      </items>
    </pivotField>
    <pivotField showAll="0"/>
    <pivotField showAll="0"/>
    <pivotField showAll="0"/>
    <pivotField showAll="0"/>
    <pivotField showAll="0"/>
    <pivotField numFmtId="165" showAll="0"/>
  </pivotFields>
  <rowFields count="2">
    <field x="5"/>
    <field x="10"/>
  </rowFields>
  <rowItems count="42">
    <i>
      <x/>
    </i>
    <i r="1">
      <x v="1"/>
    </i>
    <i r="1">
      <x v="2"/>
    </i>
    <i r="1">
      <x v="3"/>
    </i>
    <i r="1">
      <x v="5"/>
    </i>
    <i r="1">
      <x v="6"/>
    </i>
    <i r="1">
      <x v="7"/>
    </i>
    <i r="1">
      <x v="8"/>
    </i>
    <i r="1">
      <x v="9"/>
    </i>
    <i r="1">
      <x v="10"/>
    </i>
    <i r="1">
      <x v="11"/>
    </i>
    <i r="1">
      <x v="12"/>
    </i>
    <i r="1">
      <x v="13"/>
    </i>
    <i>
      <x v="1"/>
    </i>
    <i r="1">
      <x v="1"/>
    </i>
    <i r="1">
      <x v="2"/>
    </i>
    <i r="1">
      <x v="3"/>
    </i>
    <i r="1">
      <x v="4"/>
    </i>
    <i r="1">
      <x v="5"/>
    </i>
    <i r="1">
      <x v="6"/>
    </i>
    <i r="1">
      <x v="7"/>
    </i>
    <i r="1">
      <x v="8"/>
    </i>
    <i r="1">
      <x v="9"/>
    </i>
    <i r="1">
      <x v="10"/>
    </i>
    <i r="1">
      <x v="11"/>
    </i>
    <i r="1">
      <x v="12"/>
    </i>
    <i r="1">
      <x v="13"/>
    </i>
    <i>
      <x v="2"/>
    </i>
    <i r="1">
      <x/>
    </i>
    <i r="1">
      <x v="2"/>
    </i>
    <i r="1">
      <x v="3"/>
    </i>
    <i r="1">
      <x v="4"/>
    </i>
    <i r="1">
      <x v="5"/>
    </i>
    <i r="1">
      <x v="6"/>
    </i>
    <i r="1">
      <x v="7"/>
    </i>
    <i r="1">
      <x v="8"/>
    </i>
    <i r="1">
      <x v="9"/>
    </i>
    <i r="1">
      <x v="10"/>
    </i>
    <i r="1">
      <x v="11"/>
    </i>
    <i r="1">
      <x v="12"/>
    </i>
    <i r="1">
      <x v="13"/>
    </i>
    <i t="grand">
      <x/>
    </i>
  </rowItems>
  <colFields count="1">
    <field x="-2"/>
  </colFields>
  <colItems count="2">
    <i>
      <x/>
    </i>
    <i i="1">
      <x v="1"/>
    </i>
  </colItems>
  <dataFields count="2">
    <dataField name="Count of Text" fld="2" subtotal="count" baseField="0" baseItem="0"/>
    <dataField name="Sum of Engagement"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5224C6-1F04-400B-91F5-EDDF1C498939}"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10" firstHeaderRow="0" firstDataRow="1" firstDataCol="1" rowPageCount="1" colPageCount="1"/>
  <pivotFields count="20">
    <pivotField axis="axisRow" showAll="0">
      <items count="671">
        <item x="377"/>
        <item x="66"/>
        <item x="454"/>
        <item x="466"/>
        <item x="68"/>
        <item x="537"/>
        <item x="3"/>
        <item x="62"/>
        <item x="205"/>
        <item x="451"/>
        <item x="447"/>
        <item x="59"/>
        <item x="450"/>
        <item x="76"/>
        <item x="79"/>
        <item x="195"/>
        <item x="334"/>
        <item x="472"/>
        <item x="543"/>
        <item x="133"/>
        <item x="336"/>
        <item x="507"/>
        <item x="663"/>
        <item x="44"/>
        <item x="565"/>
        <item x="553"/>
        <item x="145"/>
        <item x="29"/>
        <item x="519"/>
        <item x="280"/>
        <item x="526"/>
        <item x="479"/>
        <item x="63"/>
        <item x="637"/>
        <item x="645"/>
        <item x="500"/>
        <item x="489"/>
        <item x="9"/>
        <item x="455"/>
        <item x="464"/>
        <item x="51"/>
        <item x="41"/>
        <item x="96"/>
        <item x="136"/>
        <item x="666"/>
        <item x="590"/>
        <item x="656"/>
        <item x="165"/>
        <item x="166"/>
        <item x="10"/>
        <item x="27"/>
        <item x="125"/>
        <item x="60"/>
        <item x="644"/>
        <item x="20"/>
        <item x="512"/>
        <item x="101"/>
        <item x="45"/>
        <item x="167"/>
        <item x="496"/>
        <item x="614"/>
        <item x="360"/>
        <item x="257"/>
        <item x="293"/>
        <item x="178"/>
        <item x="25"/>
        <item x="610"/>
        <item x="625"/>
        <item x="94"/>
        <item x="227"/>
        <item x="439"/>
        <item x="332"/>
        <item x="24"/>
        <item x="561"/>
        <item x="263"/>
        <item x="353"/>
        <item x="615"/>
        <item x="352"/>
        <item x="320"/>
        <item x="85"/>
        <item x="653"/>
        <item x="667"/>
        <item x="116"/>
        <item x="155"/>
        <item x="48"/>
        <item x="4"/>
        <item x="589"/>
        <item x="160"/>
        <item x="324"/>
        <item x="530"/>
        <item x="550"/>
        <item x="329"/>
        <item x="619"/>
        <item x="249"/>
        <item x="429"/>
        <item x="355"/>
        <item x="32"/>
        <item x="581"/>
        <item x="657"/>
        <item x="316"/>
        <item x="520"/>
        <item x="277"/>
        <item x="463"/>
        <item x="635"/>
        <item x="425"/>
        <item x="445"/>
        <item x="57"/>
        <item x="611"/>
        <item x="430"/>
        <item x="643"/>
        <item x="321"/>
        <item x="115"/>
        <item x="139"/>
        <item x="1"/>
        <item x="216"/>
        <item x="71"/>
        <item x="95"/>
        <item x="104"/>
        <item x="186"/>
        <item x="347"/>
        <item x="171"/>
        <item x="313"/>
        <item x="131"/>
        <item x="486"/>
        <item x="482"/>
        <item x="239"/>
        <item x="229"/>
        <item x="524"/>
        <item x="599"/>
        <item x="350"/>
        <item x="307"/>
        <item x="325"/>
        <item x="401"/>
        <item x="295"/>
        <item x="93"/>
        <item x="629"/>
        <item x="497"/>
        <item x="492"/>
        <item x="340"/>
        <item x="514"/>
        <item x="564"/>
        <item x="420"/>
        <item x="269"/>
        <item x="288"/>
        <item x="262"/>
        <item x="622"/>
        <item x="655"/>
        <item x="8"/>
        <item x="582"/>
        <item x="220"/>
        <item x="276"/>
        <item x="38"/>
        <item x="228"/>
        <item x="173"/>
        <item x="435"/>
        <item x="100"/>
        <item x="158"/>
        <item x="480"/>
        <item x="593"/>
        <item x="591"/>
        <item x="478"/>
        <item x="411"/>
        <item x="212"/>
        <item x="386"/>
        <item x="208"/>
        <item x="400"/>
        <item x="286"/>
        <item x="246"/>
        <item x="241"/>
        <item x="385"/>
        <item x="267"/>
        <item x="395"/>
        <item x="187"/>
        <item x="415"/>
        <item x="396"/>
        <item x="374"/>
        <item x="189"/>
        <item x="55"/>
        <item x="304"/>
        <item x="197"/>
        <item x="433"/>
        <item x="54"/>
        <item x="398"/>
        <item x="140"/>
        <item x="164"/>
        <item x="204"/>
        <item x="118"/>
        <item x="531"/>
        <item x="179"/>
        <item x="647"/>
        <item x="491"/>
        <item x="357"/>
        <item x="341"/>
        <item x="327"/>
        <item x="556"/>
        <item x="349"/>
        <item x="362"/>
        <item x="563"/>
        <item x="86"/>
        <item x="35"/>
        <item x="592"/>
        <item x="78"/>
        <item x="311"/>
        <item x="528"/>
        <item x="521"/>
        <item x="77"/>
        <item x="182"/>
        <item x="169"/>
        <item x="243"/>
        <item x="436"/>
        <item x="157"/>
        <item x="481"/>
        <item x="483"/>
        <item x="475"/>
        <item x="431"/>
        <item x="98"/>
        <item x="13"/>
        <item x="132"/>
        <item x="148"/>
        <item x="50"/>
        <item x="2"/>
        <item x="315"/>
        <item x="23"/>
        <item x="633"/>
        <item x="296"/>
        <item x="64"/>
        <item x="515"/>
        <item x="484"/>
        <item x="223"/>
        <item x="292"/>
        <item x="634"/>
        <item x="423"/>
        <item x="319"/>
        <item x="369"/>
        <item x="449"/>
        <item x="331"/>
        <item x="465"/>
        <item x="17"/>
        <item x="39"/>
        <item x="636"/>
        <item x="322"/>
        <item x="518"/>
        <item x="417"/>
        <item x="40"/>
        <item x="284"/>
        <item x="419"/>
        <item x="107"/>
        <item x="134"/>
        <item x="305"/>
        <item x="499"/>
        <item x="490"/>
        <item x="5"/>
        <item x="448"/>
        <item x="184"/>
        <item x="281"/>
        <item x="562"/>
        <item x="605"/>
        <item x="529"/>
        <item x="654"/>
        <item x="153"/>
        <item x="128"/>
        <item x="471"/>
        <item x="498"/>
        <item x="608"/>
        <item x="617"/>
        <item x="594"/>
        <item x="65"/>
        <item x="413"/>
        <item x="248"/>
        <item x="146"/>
        <item x="317"/>
        <item x="147"/>
        <item x="511"/>
        <item x="555"/>
        <item x="312"/>
        <item x="523"/>
        <item x="121"/>
        <item x="493"/>
        <item x="129"/>
        <item x="510"/>
        <item x="137"/>
        <item x="544"/>
        <item x="539"/>
        <item x="174"/>
        <item x="391"/>
        <item x="214"/>
        <item x="297"/>
        <item x="221"/>
        <item x="477"/>
        <item x="285"/>
        <item x="393"/>
        <item x="194"/>
        <item x="176"/>
        <item x="468"/>
        <item x="558"/>
        <item x="209"/>
        <item x="127"/>
        <item x="244"/>
        <item x="152"/>
        <item x="89"/>
        <item x="122"/>
        <item x="388"/>
        <item x="271"/>
        <item x="601"/>
        <item x="467"/>
        <item x="437"/>
        <item x="142"/>
        <item x="97"/>
        <item x="73"/>
        <item x="106"/>
        <item x="318"/>
        <item x="303"/>
        <item x="256"/>
        <item x="588"/>
        <item x="438"/>
        <item x="452"/>
        <item x="366"/>
        <item x="26"/>
        <item x="266"/>
        <item x="421"/>
        <item x="432"/>
        <item x="533"/>
        <item x="69"/>
        <item x="90"/>
        <item x="310"/>
        <item x="328"/>
        <item x="373"/>
        <item x="289"/>
        <item x="545"/>
        <item x="628"/>
        <item x="370"/>
        <item x="367"/>
        <item x="143"/>
        <item x="612"/>
        <item x="82"/>
        <item x="406"/>
        <item x="58"/>
        <item x="150"/>
        <item x="117"/>
        <item x="443"/>
        <item x="606"/>
        <item x="446"/>
        <item x="487"/>
        <item x="365"/>
        <item x="473"/>
        <item x="459"/>
        <item x="356"/>
        <item x="428"/>
        <item x="300"/>
        <item x="225"/>
        <item x="402"/>
        <item x="259"/>
        <item x="551"/>
        <item x="424"/>
        <item x="527"/>
        <item x="554"/>
        <item x="306"/>
        <item x="199"/>
        <item x="28"/>
        <item x="141"/>
        <item x="462"/>
        <item x="120"/>
        <item x="354"/>
        <item x="103"/>
        <item x="37"/>
        <item x="641"/>
        <item x="631"/>
        <item x="200"/>
        <item x="460"/>
        <item x="407"/>
        <item x="242"/>
        <item x="240"/>
        <item x="230"/>
        <item x="162"/>
        <item x="7"/>
        <item x="92"/>
        <item x="474"/>
        <item x="616"/>
        <item x="43"/>
        <item x="668"/>
        <item x="180"/>
        <item x="662"/>
        <item x="536"/>
        <item x="535"/>
        <item x="546"/>
        <item x="123"/>
        <item x="344"/>
        <item x="36"/>
        <item x="138"/>
        <item x="509"/>
        <item x="517"/>
        <item x="61"/>
        <item x="504"/>
        <item x="47"/>
        <item x="111"/>
        <item x="557"/>
        <item x="361"/>
        <item x="203"/>
        <item x="80"/>
        <item x="278"/>
        <item x="532"/>
        <item x="255"/>
        <item x="335"/>
        <item x="363"/>
        <item x="287"/>
        <item x="215"/>
        <item x="234"/>
        <item x="453"/>
        <item x="538"/>
        <item x="109"/>
        <item x="541"/>
        <item x="247"/>
        <item x="392"/>
        <item x="213"/>
        <item x="485"/>
        <item x="639"/>
        <item x="49"/>
        <item x="114"/>
        <item x="607"/>
        <item x="585"/>
        <item x="170"/>
        <item x="621"/>
        <item x="183"/>
        <item x="586"/>
        <item x="390"/>
        <item x="600"/>
        <item x="434"/>
        <item x="648"/>
        <item x="231"/>
        <item x="261"/>
        <item x="661"/>
        <item x="74"/>
        <item x="309"/>
        <item x="627"/>
        <item x="16"/>
        <item x="67"/>
        <item x="83"/>
        <item x="156"/>
        <item x="441"/>
        <item x="252"/>
        <item x="583"/>
        <item x="513"/>
        <item x="650"/>
        <item x="547"/>
        <item x="580"/>
        <item x="337"/>
        <item x="380"/>
        <item x="190"/>
        <item x="397"/>
        <item x="22"/>
        <item x="42"/>
        <item x="149"/>
        <item x="119"/>
        <item x="638"/>
        <item x="626"/>
        <item x="88"/>
        <item x="584"/>
        <item x="414"/>
        <item x="56"/>
        <item x="326"/>
        <item x="91"/>
        <item x="283"/>
        <item x="159"/>
        <item x="351"/>
        <item x="457"/>
        <item x="410"/>
        <item x="422"/>
        <item x="330"/>
        <item x="604"/>
        <item x="250"/>
        <item x="232"/>
        <item x="260"/>
        <item x="308"/>
        <item x="630"/>
        <item x="6"/>
        <item x="15"/>
        <item x="75"/>
        <item x="99"/>
        <item x="108"/>
        <item x="185"/>
        <item x="412"/>
        <item x="172"/>
        <item x="387"/>
        <item x="226"/>
        <item x="202"/>
        <item x="181"/>
        <item x="265"/>
        <item x="399"/>
        <item x="30"/>
        <item x="105"/>
        <item x="549"/>
        <item x="343"/>
        <item x="302"/>
        <item x="342"/>
        <item x="632"/>
        <item x="254"/>
        <item x="440"/>
        <item x="603"/>
        <item x="649"/>
        <item x="646"/>
        <item x="508"/>
        <item x="613"/>
        <item x="651"/>
        <item x="665"/>
        <item x="348"/>
        <item x="609"/>
        <item x="233"/>
        <item x="196"/>
        <item x="177"/>
        <item x="525"/>
        <item x="211"/>
        <item x="568"/>
        <item x="573"/>
        <item x="566"/>
        <item x="579"/>
        <item x="571"/>
        <item x="569"/>
        <item x="577"/>
        <item x="575"/>
        <item x="574"/>
        <item x="570"/>
        <item x="567"/>
        <item x="576"/>
        <item x="572"/>
        <item x="559"/>
        <item x="379"/>
        <item x="245"/>
        <item x="235"/>
        <item x="469"/>
        <item x="274"/>
        <item x="376"/>
        <item x="458"/>
        <item x="217"/>
        <item x="224"/>
        <item x="371"/>
        <item x="124"/>
        <item x="461"/>
        <item x="587"/>
        <item x="154"/>
        <item x="264"/>
        <item x="339"/>
        <item x="251"/>
        <item x="596"/>
        <item x="620"/>
        <item x="602"/>
        <item x="595"/>
        <item x="359"/>
        <item x="516"/>
        <item x="494"/>
        <item x="503"/>
        <item x="52"/>
        <item x="598"/>
        <item x="378"/>
        <item x="298"/>
        <item x="163"/>
        <item x="389"/>
        <item x="368"/>
        <item x="560"/>
        <item x="383"/>
        <item x="110"/>
        <item x="624"/>
        <item x="660"/>
        <item x="346"/>
        <item x="193"/>
        <item x="81"/>
        <item x="87"/>
        <item x="258"/>
        <item x="418"/>
        <item x="272"/>
        <item x="207"/>
        <item x="403"/>
        <item x="282"/>
        <item x="372"/>
        <item x="188"/>
        <item x="382"/>
        <item x="161"/>
        <item x="345"/>
        <item x="642"/>
        <item x="294"/>
        <item x="333"/>
        <item x="253"/>
        <item x="268"/>
        <item x="198"/>
        <item x="31"/>
        <item x="151"/>
        <item x="416"/>
        <item x="126"/>
        <item x="522"/>
        <item x="456"/>
        <item x="501"/>
        <item x="426"/>
        <item x="408"/>
        <item x="218"/>
        <item x="658"/>
        <item x="238"/>
        <item x="404"/>
        <item x="364"/>
        <item x="175"/>
        <item x="548"/>
        <item x="18"/>
        <item x="14"/>
        <item x="640"/>
        <item x="290"/>
        <item x="488"/>
        <item x="495"/>
        <item x="113"/>
        <item x="206"/>
        <item x="540"/>
        <item x="210"/>
        <item x="53"/>
        <item x="358"/>
        <item x="192"/>
        <item x="279"/>
        <item x="597"/>
        <item x="618"/>
        <item x="652"/>
        <item x="444"/>
        <item x="623"/>
        <item x="664"/>
        <item x="505"/>
        <item x="144"/>
        <item x="84"/>
        <item x="534"/>
        <item x="394"/>
        <item x="236"/>
        <item x="470"/>
        <item x="191"/>
        <item x="12"/>
        <item x="135"/>
        <item x="506"/>
        <item x="0"/>
        <item x="72"/>
        <item x="299"/>
        <item x="442"/>
        <item x="409"/>
        <item x="291"/>
        <item x="275"/>
        <item x="669"/>
        <item x="222"/>
        <item x="21"/>
        <item x="46"/>
        <item x="323"/>
        <item x="273"/>
        <item x="381"/>
        <item x="476"/>
        <item x="659"/>
        <item x="502"/>
        <item x="11"/>
        <item x="384"/>
        <item x="270"/>
        <item x="552"/>
        <item x="19"/>
        <item x="314"/>
        <item x="375"/>
        <item x="34"/>
        <item x="130"/>
        <item x="578"/>
        <item x="542"/>
        <item x="237"/>
        <item x="405"/>
        <item x="102"/>
        <item x="33"/>
        <item x="168"/>
        <item x="301"/>
        <item x="427"/>
        <item x="219"/>
        <item x="201"/>
        <item x="70"/>
        <item x="112"/>
        <item x="338"/>
        <item t="default"/>
      </items>
    </pivotField>
    <pivotField dataField="1" showAll="0"/>
    <pivotField showAll="0"/>
    <pivotField numFmtId="22" showAll="0"/>
    <pivotField axis="axisPage" showAll="0">
      <items count="4">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sd="0" x="5"/>
        <item sd="0" x="3"/>
        <item sd="0" x="1"/>
        <item sd="0" x="0"/>
        <item sd="0" x="2"/>
        <item sd="0" x="4"/>
        <item t="default" sd="0"/>
      </items>
    </pivotField>
    <pivotField numFmtId="165" showAll="0"/>
  </pivotFields>
  <rowFields count="2">
    <field x="18"/>
    <field x="0"/>
  </rowFields>
  <rowItems count="7">
    <i>
      <x/>
    </i>
    <i>
      <x v="1"/>
    </i>
    <i>
      <x v="2"/>
    </i>
    <i>
      <x v="3"/>
    </i>
    <i>
      <x v="4"/>
    </i>
    <i>
      <x v="5"/>
    </i>
    <i t="grand">
      <x/>
    </i>
  </rowItems>
  <colFields count="1">
    <field x="-2"/>
  </colFields>
  <colItems count="2">
    <i>
      <x/>
    </i>
    <i i="1">
      <x v="1"/>
    </i>
  </colItems>
  <pageFields count="1">
    <pageField fld="4" hier="-1"/>
  </pageFields>
  <dataFields count="2">
    <dataField name="Count of Text(Post)" fld="1" subtotal="count" baseField="0" baseItem="0"/>
    <dataField name="Sum of Engagement" fld="13"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8" count="1" selected="0">
            <x v="5"/>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2">
          <reference field="4294967294" count="1" selected="0">
            <x v="1"/>
          </reference>
          <reference field="18" count="1" selected="0">
            <x v="5"/>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FFE0-F86D-407C-9ADC-A0D17F5F00AB}" name="Table1" displayName="Table1" ref="A2:T734" totalsRowShown="0" headerRowDxfId="10" dataDxfId="9">
  <autoFilter ref="A2:T734" xr:uid="{D0CDFFE0-F86D-407C-9ADC-A0D17F5F00AB}"/>
  <tableColumns count="20">
    <tableColumn id="1" xr3:uid="{50FF5B3C-2ACC-4974-AA38-7C531FF3BB75}" name="User"/>
    <tableColumn id="2" xr3:uid="{5E6E63F2-62A2-4C1F-8730-6397D0A01417}" name="Text(Post)"/>
    <tableColumn id="3" xr3:uid="{1CE0C2ED-75A3-41C2-BCD7-251A76311BAD}" name="Sentiment"/>
    <tableColumn id="4" xr3:uid="{F11C0EF0-DC3C-48F3-BE82-C28F710EFBEF}" name="Timestamp" dataDxfId="8"/>
    <tableColumn id="5" xr3:uid="{C2FE5AB7-9639-4181-96BD-29D73A743FFE}" name="Platform"/>
    <tableColumn id="6" xr3:uid="{50E2A89F-3E13-4D93-95A9-CEA11A5753EC}" name="Hashtags"/>
    <tableColumn id="7" xr3:uid="{CA68AF31-BF38-4119-8887-F7459B286041}" name="Retweets"/>
    <tableColumn id="8" xr3:uid="{82279278-AFA7-4FD1-AD98-4DC97C3F4C2B}" name="Likes"/>
    <tableColumn id="9" xr3:uid="{541934A8-A007-474D-95CA-B4E4BD0A5EE8}" name="Country"/>
    <tableColumn id="10" xr3:uid="{79AD61EB-2F2F-4F9D-A59D-DBD8C91CCB4A}" name="Year"/>
    <tableColumn id="11" xr3:uid="{C2379AE1-530E-46E6-B778-CA7E8A297F6A}" name="Month"/>
    <tableColumn id="12" xr3:uid="{B9C6A5D8-65F0-4CD0-87ED-1B04FE5ED64F}" name="Day"/>
    <tableColumn id="13" xr3:uid="{25D5C2DC-85E5-45D3-B453-0F87D13E71BF}" name="Hour"/>
    <tableColumn id="14" xr3:uid="{80AAC810-2997-450F-8B86-87A88E9900ED}" name="Engagement" dataDxfId="7">
      <calculatedColumnFormula>SUM(G3,H3)</calculatedColumnFormula>
    </tableColumn>
    <tableColumn id="15" xr3:uid="{9311C65B-46DC-4D2E-A2E0-997C493E1D2C}" name="Popularity" dataDxfId="6">
      <calculatedColumnFormula>IF(N3&gt;60, "Popular", "Normal")</calculatedColumnFormula>
    </tableColumn>
    <tableColumn id="16" xr3:uid="{DED0AF7A-2364-48E7-B49A-87635C95B597}" name="High_Engagement" dataDxfId="5">
      <calculatedColumnFormula>IF(AND(G3&gt;25, H3&gt;50), "Yes", "No")</calculatedColumnFormula>
    </tableColumn>
    <tableColumn id="17" xr3:uid="{DD093AA0-48AB-41DE-B630-1D40974D5CB1}" name="Wide_Reach" dataDxfId="4">
      <calculatedColumnFormula>IF(OR(H3&gt;40,G3&gt;20),"Wide Reach","Standard")</calculatedColumnFormula>
    </tableColumn>
    <tableColumn id="18" xr3:uid="{108AC36D-0580-4D38-BE7D-04E8870BB104}" name="Time_Of_Day" dataDxfId="3">
      <calculatedColumnFormula>IF(M3&gt;17,"Evening",IF(M3&gt;11,"Afternoon",IF(M3&gt;5,"Morning","Night")))</calculatedColumnFormula>
    </tableColumn>
    <tableColumn id="19" xr3:uid="{5C12F3E2-ECC7-4DC5-B73B-AB86818F85C0}" name="Continent " dataDxfId="2">
      <calculatedColumnFormula>_xlfn.SWITCH(I3,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calculatedColumnFormula>
    </tableColumn>
    <tableColumn id="20" xr3:uid="{EF2F865E-84D5-4F48-90A2-A32CCAE8F18D}" name="Engagement_Ratio" dataDxfId="1">
      <calculatedColumnFormula>IFERROR(H3/G3,"Error")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34"/>
  <sheetViews>
    <sheetView topLeftCell="D22" zoomScale="85" zoomScaleNormal="85" workbookViewId="0">
      <selection activeCell="X13" sqref="X13"/>
    </sheetView>
  </sheetViews>
  <sheetFormatPr defaultRowHeight="14.4" x14ac:dyDescent="0.3"/>
  <cols>
    <col min="1" max="1" width="20.21875" customWidth="1"/>
    <col min="2" max="2" width="42" customWidth="1"/>
    <col min="3" max="3" width="20" customWidth="1"/>
    <col min="4" max="4" width="29.109375" customWidth="1"/>
    <col min="5" max="5" width="17.6640625" customWidth="1"/>
    <col min="6" max="6" width="32.44140625" customWidth="1"/>
    <col min="7" max="7" width="11.6640625" customWidth="1"/>
    <col min="8" max="8" width="10.5546875" customWidth="1"/>
    <col min="9" max="9" width="15.88671875" customWidth="1"/>
    <col min="14" max="14" width="16.77734375" customWidth="1"/>
    <col min="15" max="15" width="15.33203125" customWidth="1"/>
    <col min="16" max="16" width="22.109375" customWidth="1"/>
    <col min="17" max="17" width="16.5546875" customWidth="1"/>
    <col min="18" max="18" width="14.6640625" customWidth="1"/>
    <col min="19" max="19" width="18.21875" customWidth="1"/>
    <col min="20" max="22" width="20" customWidth="1"/>
    <col min="23" max="23" width="23.109375" customWidth="1"/>
    <col min="24" max="24" width="19.5546875" customWidth="1"/>
    <col min="25" max="25" width="15.33203125" customWidth="1"/>
    <col min="27" max="27" width="18" customWidth="1"/>
  </cols>
  <sheetData>
    <row r="1" spans="1:26" x14ac:dyDescent="0.3">
      <c r="A1" t="s">
        <v>1625</v>
      </c>
      <c r="N1" s="34" t="s">
        <v>1622</v>
      </c>
      <c r="O1" s="34"/>
      <c r="P1" s="34"/>
      <c r="Q1" s="34"/>
      <c r="R1" s="34"/>
      <c r="S1" s="34"/>
      <c r="T1" s="34"/>
    </row>
    <row r="2" spans="1:26" x14ac:dyDescent="0.3">
      <c r="A2" t="s">
        <v>2</v>
      </c>
      <c r="B2" t="s">
        <v>2342</v>
      </c>
      <c r="C2" t="s">
        <v>0</v>
      </c>
      <c r="D2" t="s">
        <v>1</v>
      </c>
      <c r="E2" t="s">
        <v>3</v>
      </c>
      <c r="F2" t="s">
        <v>4</v>
      </c>
      <c r="G2" t="s">
        <v>5</v>
      </c>
      <c r="H2" t="s">
        <v>6</v>
      </c>
      <c r="I2" t="s">
        <v>7</v>
      </c>
      <c r="J2" t="s">
        <v>8</v>
      </c>
      <c r="K2" t="s">
        <v>9</v>
      </c>
      <c r="L2" t="s">
        <v>10</v>
      </c>
      <c r="M2" t="s">
        <v>11</v>
      </c>
      <c r="N2" s="29" t="s">
        <v>12</v>
      </c>
      <c r="O2" s="29" t="s">
        <v>1624</v>
      </c>
      <c r="P2" s="29" t="s">
        <v>13</v>
      </c>
      <c r="Q2" s="29" t="s">
        <v>14</v>
      </c>
      <c r="R2" s="29" t="s">
        <v>15</v>
      </c>
      <c r="S2" s="29" t="s">
        <v>2360</v>
      </c>
      <c r="T2" s="29" t="s">
        <v>1623</v>
      </c>
    </row>
    <row r="3" spans="1:26" x14ac:dyDescent="0.3">
      <c r="A3" t="s">
        <v>954</v>
      </c>
      <c r="B3" t="s">
        <v>1627</v>
      </c>
      <c r="C3" t="s">
        <v>764</v>
      </c>
      <c r="D3" s="1">
        <v>44941.520833333336</v>
      </c>
      <c r="E3" t="s">
        <v>761</v>
      </c>
      <c r="F3" t="s">
        <v>16</v>
      </c>
      <c r="G3">
        <v>15</v>
      </c>
      <c r="H3">
        <v>30</v>
      </c>
      <c r="I3" t="s">
        <v>30</v>
      </c>
      <c r="J3">
        <v>2023</v>
      </c>
      <c r="K3">
        <v>1</v>
      </c>
      <c r="L3">
        <v>15</v>
      </c>
      <c r="M3">
        <v>12</v>
      </c>
      <c r="N3" s="7">
        <f t="shared" ref="N3:N66" si="0">SUM(G3,H3)</f>
        <v>45</v>
      </c>
      <c r="O3" s="7" t="str">
        <f>IF(N3&gt;60, "Popular", "Normal")</f>
        <v>Normal</v>
      </c>
      <c r="P3" s="7" t="str">
        <f t="shared" ref="P3:P66" si="1">IF(AND(G3&gt;25, H3&gt;50), "Yes", "No")</f>
        <v>No</v>
      </c>
      <c r="Q3" s="7" t="str">
        <f t="shared" ref="Q3:Q66" si="2">IF(OR(H3&gt;40,G3&gt;20),"Wide Reach","Standard")</f>
        <v>Standard</v>
      </c>
      <c r="R3" s="7" t="str">
        <f>IF(M3&gt;17,"Evening",IF(M3&gt;11,"Afternoon",IF(M3&gt;5,"Morning","Night")))</f>
        <v>Afternoon</v>
      </c>
      <c r="S3" s="7" t="str">
        <f>_xlfn.SWITCH(I3,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3" s="30">
        <f>IFERROR(H3/G3,"Error")</f>
        <v>2</v>
      </c>
      <c r="U3" s="6"/>
      <c r="V3" s="6"/>
      <c r="W3" s="32" t="s">
        <v>728</v>
      </c>
      <c r="X3" s="32"/>
      <c r="Z3" s="6"/>
    </row>
    <row r="4" spans="1:26" x14ac:dyDescent="0.3">
      <c r="A4" t="s">
        <v>955</v>
      </c>
      <c r="B4" t="s">
        <v>1628</v>
      </c>
      <c r="C4" t="s">
        <v>765</v>
      </c>
      <c r="D4" s="1">
        <v>44941.364583333336</v>
      </c>
      <c r="E4" t="s">
        <v>761</v>
      </c>
      <c r="F4" t="s">
        <v>18</v>
      </c>
      <c r="G4">
        <v>5</v>
      </c>
      <c r="H4">
        <v>10</v>
      </c>
      <c r="I4" t="s">
        <v>720</v>
      </c>
      <c r="J4">
        <v>2023</v>
      </c>
      <c r="K4">
        <v>1</v>
      </c>
      <c r="L4">
        <v>15</v>
      </c>
      <c r="M4">
        <v>8</v>
      </c>
      <c r="N4" s="7">
        <f t="shared" si="0"/>
        <v>15</v>
      </c>
      <c r="O4" s="7" t="str">
        <f t="shared" ref="O4:O67" si="3">IF(N4&gt;60, "Popular", "Normal")</f>
        <v>Normal</v>
      </c>
      <c r="P4" s="7" t="str">
        <f t="shared" si="1"/>
        <v>No</v>
      </c>
      <c r="Q4" s="7" t="str">
        <f t="shared" si="2"/>
        <v>Standard</v>
      </c>
      <c r="R4" s="7" t="str">
        <f t="shared" ref="R4:R67" si="4">IF(M4&gt;17,"Evening",IF(M4&gt;11,"Afternoon",IF(M4&gt;5,"Morning","Night")))</f>
        <v>Morning</v>
      </c>
      <c r="S4" s="7" t="str">
        <f t="shared" ref="S4:S67" si="5">_xlfn.SWITCH(I4,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4" s="30">
        <f t="shared" ref="T4:T67" si="6">IFERROR(H4/G4,"Error")</f>
        <v>2</v>
      </c>
      <c r="U4" s="6"/>
      <c r="V4" s="6"/>
      <c r="W4" s="2" t="s">
        <v>724</v>
      </c>
      <c r="X4" s="2" t="s">
        <v>1380</v>
      </c>
    </row>
    <row r="5" spans="1:26" x14ac:dyDescent="0.3">
      <c r="A5" t="s">
        <v>956</v>
      </c>
      <c r="B5" t="s">
        <v>1629</v>
      </c>
      <c r="C5" t="s">
        <v>764</v>
      </c>
      <c r="D5" s="1">
        <v>44941.65625</v>
      </c>
      <c r="E5" t="s">
        <v>762</v>
      </c>
      <c r="F5" t="s">
        <v>20</v>
      </c>
      <c r="G5">
        <v>20</v>
      </c>
      <c r="H5">
        <v>40</v>
      </c>
      <c r="I5" t="s">
        <v>30</v>
      </c>
      <c r="J5">
        <v>2023</v>
      </c>
      <c r="K5">
        <v>1</v>
      </c>
      <c r="L5">
        <v>15</v>
      </c>
      <c r="M5">
        <v>15</v>
      </c>
      <c r="N5" s="7">
        <f t="shared" si="0"/>
        <v>60</v>
      </c>
      <c r="O5" s="7" t="str">
        <f t="shared" si="3"/>
        <v>Normal</v>
      </c>
      <c r="P5" s="7" t="str">
        <f t="shared" si="1"/>
        <v>No</v>
      </c>
      <c r="Q5" s="7" t="str">
        <f t="shared" si="2"/>
        <v>Standard</v>
      </c>
      <c r="R5" s="7" t="str">
        <f t="shared" si="4"/>
        <v>Afternoon</v>
      </c>
      <c r="S5" s="7" t="str">
        <f t="shared" si="5"/>
        <v>North America</v>
      </c>
      <c r="T5" s="30">
        <f t="shared" si="6"/>
        <v>2</v>
      </c>
      <c r="U5" s="6"/>
      <c r="V5" s="6"/>
      <c r="W5" t="s">
        <v>726</v>
      </c>
      <c r="X5">
        <f>VLOOKUP(X4,A3:R734, 8,FALSE)</f>
        <v>45</v>
      </c>
    </row>
    <row r="6" spans="1:26" x14ac:dyDescent="0.3">
      <c r="A6" t="s">
        <v>957</v>
      </c>
      <c r="B6" t="s">
        <v>1630</v>
      </c>
      <c r="C6" t="s">
        <v>764</v>
      </c>
      <c r="D6" s="1">
        <v>44941.763888888891</v>
      </c>
      <c r="E6" t="s">
        <v>763</v>
      </c>
      <c r="F6" t="s">
        <v>21</v>
      </c>
      <c r="G6">
        <v>8</v>
      </c>
      <c r="H6">
        <v>15</v>
      </c>
      <c r="I6" t="s">
        <v>722</v>
      </c>
      <c r="J6">
        <v>2023</v>
      </c>
      <c r="K6">
        <v>1</v>
      </c>
      <c r="L6">
        <v>15</v>
      </c>
      <c r="M6">
        <v>18</v>
      </c>
      <c r="N6" s="7">
        <f t="shared" si="0"/>
        <v>23</v>
      </c>
      <c r="O6" s="7" t="str">
        <f t="shared" si="3"/>
        <v>Normal</v>
      </c>
      <c r="P6" s="7" t="str">
        <f t="shared" si="1"/>
        <v>No</v>
      </c>
      <c r="Q6" s="7" t="str">
        <f t="shared" si="2"/>
        <v>Standard</v>
      </c>
      <c r="R6" s="7" t="str">
        <f t="shared" si="4"/>
        <v>Evening</v>
      </c>
      <c r="S6" s="7" t="str">
        <f t="shared" si="5"/>
        <v>Europe</v>
      </c>
      <c r="T6" s="30">
        <f t="shared" si="6"/>
        <v>1.875</v>
      </c>
      <c r="U6" s="6"/>
      <c r="V6" s="6"/>
      <c r="W6" t="s">
        <v>725</v>
      </c>
      <c r="X6" t="str">
        <f>VLOOKUP(X4,A3:R734,18,FALSE)</f>
        <v>Afternoon</v>
      </c>
      <c r="Y6" t="s">
        <v>1625</v>
      </c>
    </row>
    <row r="7" spans="1:26" x14ac:dyDescent="0.3">
      <c r="A7" t="s">
        <v>958</v>
      </c>
      <c r="B7" t="s">
        <v>1631</v>
      </c>
      <c r="C7" t="s">
        <v>766</v>
      </c>
      <c r="D7" s="1">
        <v>44941.829861111109</v>
      </c>
      <c r="E7" t="s">
        <v>762</v>
      </c>
      <c r="F7" t="s">
        <v>23</v>
      </c>
      <c r="G7">
        <v>12</v>
      </c>
      <c r="H7">
        <v>25</v>
      </c>
      <c r="I7" t="s">
        <v>731</v>
      </c>
      <c r="J7">
        <v>2023</v>
      </c>
      <c r="K7">
        <v>1</v>
      </c>
      <c r="L7">
        <v>15</v>
      </c>
      <c r="M7">
        <v>19</v>
      </c>
      <c r="N7" s="7">
        <f t="shared" si="0"/>
        <v>37</v>
      </c>
      <c r="O7" s="7" t="str">
        <f t="shared" si="3"/>
        <v>Normal</v>
      </c>
      <c r="P7" s="7" t="str">
        <f t="shared" si="1"/>
        <v>No</v>
      </c>
      <c r="Q7" s="7" t="str">
        <f t="shared" si="2"/>
        <v>Standard</v>
      </c>
      <c r="R7" s="7" t="str">
        <f t="shared" si="4"/>
        <v>Evening</v>
      </c>
      <c r="S7" s="7" t="str">
        <f t="shared" si="5"/>
        <v>Oceania</v>
      </c>
      <c r="T7" s="30">
        <f t="shared" si="6"/>
        <v>2.0833333333333335</v>
      </c>
      <c r="U7" s="6"/>
      <c r="V7" s="6"/>
      <c r="W7" t="s">
        <v>727</v>
      </c>
      <c r="X7" t="str">
        <f>VLOOKUP(X4,A3:R734,3,FALSE)</f>
        <v>Curiosity</v>
      </c>
    </row>
    <row r="8" spans="1:26" x14ac:dyDescent="0.3">
      <c r="A8" t="s">
        <v>959</v>
      </c>
      <c r="B8" t="s">
        <v>1632</v>
      </c>
      <c r="C8" t="s">
        <v>764</v>
      </c>
      <c r="D8" s="1">
        <v>44942.381944444445</v>
      </c>
      <c r="E8" t="s">
        <v>761</v>
      </c>
      <c r="F8" t="s">
        <v>24</v>
      </c>
      <c r="G8">
        <v>25</v>
      </c>
      <c r="H8">
        <v>50</v>
      </c>
      <c r="I8" t="s">
        <v>732</v>
      </c>
      <c r="J8">
        <v>2023</v>
      </c>
      <c r="K8">
        <v>1</v>
      </c>
      <c r="L8">
        <v>16</v>
      </c>
      <c r="M8">
        <v>9</v>
      </c>
      <c r="N8" s="7">
        <f t="shared" si="0"/>
        <v>75</v>
      </c>
      <c r="O8" s="7" t="str">
        <f t="shared" si="3"/>
        <v>Popular</v>
      </c>
      <c r="P8" s="7" t="str">
        <f t="shared" si="1"/>
        <v>No</v>
      </c>
      <c r="Q8" s="7" t="str">
        <f t="shared" si="2"/>
        <v>Wide Reach</v>
      </c>
      <c r="R8" s="7" t="str">
        <f t="shared" si="4"/>
        <v>Morning</v>
      </c>
      <c r="S8" s="7" t="str">
        <f t="shared" si="5"/>
        <v>Asia</v>
      </c>
      <c r="T8" s="30">
        <f t="shared" si="6"/>
        <v>2</v>
      </c>
      <c r="U8" s="6"/>
      <c r="V8" s="6"/>
    </row>
    <row r="9" spans="1:26" x14ac:dyDescent="0.3">
      <c r="A9" t="s">
        <v>960</v>
      </c>
      <c r="B9" t="s">
        <v>1633</v>
      </c>
      <c r="C9" t="s">
        <v>764</v>
      </c>
      <c r="D9" s="1">
        <v>44942.614583333336</v>
      </c>
      <c r="E9" t="s">
        <v>763</v>
      </c>
      <c r="F9" t="s">
        <v>25</v>
      </c>
      <c r="G9">
        <v>10</v>
      </c>
      <c r="H9">
        <v>20</v>
      </c>
      <c r="I9" t="s">
        <v>720</v>
      </c>
      <c r="J9">
        <v>2023</v>
      </c>
      <c r="K9">
        <v>1</v>
      </c>
      <c r="L9">
        <v>16</v>
      </c>
      <c r="M9">
        <v>14</v>
      </c>
      <c r="N9" s="7">
        <f t="shared" si="0"/>
        <v>30</v>
      </c>
      <c r="O9" s="7" t="str">
        <f t="shared" si="3"/>
        <v>Normal</v>
      </c>
      <c r="P9" s="7" t="str">
        <f t="shared" si="1"/>
        <v>No</v>
      </c>
      <c r="Q9" s="7" t="str">
        <f t="shared" si="2"/>
        <v>Standard</v>
      </c>
      <c r="R9" s="7" t="str">
        <f t="shared" si="4"/>
        <v>Afternoon</v>
      </c>
      <c r="S9" s="7" t="str">
        <f t="shared" si="5"/>
        <v>North America</v>
      </c>
      <c r="T9" s="30">
        <f t="shared" si="6"/>
        <v>2</v>
      </c>
      <c r="U9" s="6"/>
      <c r="V9" s="6" t="s">
        <v>1625</v>
      </c>
    </row>
    <row r="10" spans="1:26" x14ac:dyDescent="0.3">
      <c r="A10" t="s">
        <v>961</v>
      </c>
      <c r="B10" t="s">
        <v>1634</v>
      </c>
      <c r="C10" t="s">
        <v>764</v>
      </c>
      <c r="D10" s="1">
        <v>44942.8125</v>
      </c>
      <c r="E10" t="s">
        <v>762</v>
      </c>
      <c r="F10" t="s">
        <v>26</v>
      </c>
      <c r="G10">
        <v>15</v>
      </c>
      <c r="H10">
        <v>30</v>
      </c>
      <c r="I10" t="s">
        <v>30</v>
      </c>
      <c r="J10">
        <v>2023</v>
      </c>
      <c r="K10">
        <v>1</v>
      </c>
      <c r="L10">
        <v>16</v>
      </c>
      <c r="M10">
        <v>19</v>
      </c>
      <c r="N10" s="7">
        <f t="shared" si="0"/>
        <v>45</v>
      </c>
      <c r="O10" s="7" t="str">
        <f t="shared" si="3"/>
        <v>Normal</v>
      </c>
      <c r="P10" s="7" t="str">
        <f t="shared" si="1"/>
        <v>No</v>
      </c>
      <c r="Q10" s="7" t="str">
        <f t="shared" si="2"/>
        <v>Standard</v>
      </c>
      <c r="R10" s="7" t="str">
        <f t="shared" si="4"/>
        <v>Evening</v>
      </c>
      <c r="S10" s="7" t="str">
        <f t="shared" si="5"/>
        <v>North America</v>
      </c>
      <c r="T10" s="30">
        <f t="shared" si="6"/>
        <v>2</v>
      </c>
      <c r="U10" s="6"/>
      <c r="V10" s="6"/>
    </row>
    <row r="11" spans="1:26" x14ac:dyDescent="0.3">
      <c r="A11" t="s">
        <v>962</v>
      </c>
      <c r="B11" t="s">
        <v>1635</v>
      </c>
      <c r="C11" t="s">
        <v>765</v>
      </c>
      <c r="D11" s="1">
        <v>44943.333333333336</v>
      </c>
      <c r="E11" t="s">
        <v>761</v>
      </c>
      <c r="F11" t="s">
        <v>27</v>
      </c>
      <c r="G11">
        <v>30</v>
      </c>
      <c r="H11">
        <v>60</v>
      </c>
      <c r="I11" t="s">
        <v>30</v>
      </c>
      <c r="J11">
        <v>2023</v>
      </c>
      <c r="K11">
        <v>1</v>
      </c>
      <c r="L11">
        <v>17</v>
      </c>
      <c r="M11">
        <v>8</v>
      </c>
      <c r="N11" s="7">
        <f t="shared" si="0"/>
        <v>90</v>
      </c>
      <c r="O11" s="7" t="str">
        <f t="shared" si="3"/>
        <v>Popular</v>
      </c>
      <c r="P11" s="7" t="str">
        <f t="shared" si="1"/>
        <v>Yes</v>
      </c>
      <c r="Q11" s="7" t="str">
        <f t="shared" si="2"/>
        <v>Wide Reach</v>
      </c>
      <c r="R11" s="7" t="str">
        <f t="shared" si="4"/>
        <v>Morning</v>
      </c>
      <c r="S11" s="7" t="str">
        <f t="shared" si="5"/>
        <v>North America</v>
      </c>
      <c r="T11" s="30">
        <f t="shared" si="6"/>
        <v>2</v>
      </c>
      <c r="U11" s="6"/>
      <c r="V11" s="6"/>
    </row>
    <row r="12" spans="1:26" x14ac:dyDescent="0.3">
      <c r="A12" t="s">
        <v>963</v>
      </c>
      <c r="B12" t="s">
        <v>1636</v>
      </c>
      <c r="C12" t="s">
        <v>766</v>
      </c>
      <c r="D12" s="1">
        <v>44943.513888888891</v>
      </c>
      <c r="E12" t="s">
        <v>763</v>
      </c>
      <c r="F12" t="s">
        <v>28</v>
      </c>
      <c r="G12">
        <v>18</v>
      </c>
      <c r="H12">
        <v>35</v>
      </c>
      <c r="I12" t="s">
        <v>731</v>
      </c>
      <c r="J12">
        <v>2023</v>
      </c>
      <c r="K12">
        <v>1</v>
      </c>
      <c r="L12">
        <v>17</v>
      </c>
      <c r="M12">
        <v>12</v>
      </c>
      <c r="N12" s="7">
        <f t="shared" si="0"/>
        <v>53</v>
      </c>
      <c r="O12" s="7" t="str">
        <f t="shared" si="3"/>
        <v>Normal</v>
      </c>
      <c r="P12" s="7" t="str">
        <f t="shared" si="1"/>
        <v>No</v>
      </c>
      <c r="Q12" s="7" t="str">
        <f t="shared" si="2"/>
        <v>Standard</v>
      </c>
      <c r="R12" s="7" t="str">
        <f t="shared" si="4"/>
        <v>Afternoon</v>
      </c>
      <c r="S12" s="7" t="str">
        <f t="shared" si="5"/>
        <v>Oceania</v>
      </c>
      <c r="T12" s="30">
        <f t="shared" si="6"/>
        <v>1.9444444444444444</v>
      </c>
      <c r="U12" s="6"/>
      <c r="V12" s="6"/>
      <c r="W12" s="33" t="s">
        <v>729</v>
      </c>
      <c r="X12" s="33"/>
    </row>
    <row r="13" spans="1:26" x14ac:dyDescent="0.3">
      <c r="A13" t="s">
        <v>964</v>
      </c>
      <c r="B13" t="s">
        <v>1637</v>
      </c>
      <c r="C13" t="s">
        <v>764</v>
      </c>
      <c r="D13" s="1">
        <v>44943.635416666664</v>
      </c>
      <c r="E13" t="s">
        <v>762</v>
      </c>
      <c r="F13" t="s">
        <v>29</v>
      </c>
      <c r="G13">
        <v>22</v>
      </c>
      <c r="H13">
        <v>45</v>
      </c>
      <c r="I13" t="s">
        <v>30</v>
      </c>
      <c r="J13">
        <v>2023</v>
      </c>
      <c r="K13">
        <v>1</v>
      </c>
      <c r="L13">
        <v>17</v>
      </c>
      <c r="M13">
        <v>15</v>
      </c>
      <c r="N13" s="7">
        <f t="shared" si="0"/>
        <v>67</v>
      </c>
      <c r="O13" s="7" t="str">
        <f t="shared" si="3"/>
        <v>Popular</v>
      </c>
      <c r="P13" s="7" t="str">
        <f t="shared" si="1"/>
        <v>No</v>
      </c>
      <c r="Q13" s="7" t="str">
        <f t="shared" si="2"/>
        <v>Wide Reach</v>
      </c>
      <c r="R13" s="7" t="str">
        <f t="shared" si="4"/>
        <v>Afternoon</v>
      </c>
      <c r="S13" s="7" t="str">
        <f t="shared" si="5"/>
        <v>North America</v>
      </c>
      <c r="T13" s="30">
        <f t="shared" si="6"/>
        <v>2.0454545454545454</v>
      </c>
      <c r="U13" s="6"/>
      <c r="V13" s="6"/>
      <c r="W13" t="s">
        <v>724</v>
      </c>
      <c r="X13" t="s">
        <v>992</v>
      </c>
    </row>
    <row r="14" spans="1:26" x14ac:dyDescent="0.3">
      <c r="A14" t="s">
        <v>965</v>
      </c>
      <c r="B14" t="s">
        <v>1638</v>
      </c>
      <c r="C14" t="s">
        <v>765</v>
      </c>
      <c r="D14" s="1">
        <v>44944.4375</v>
      </c>
      <c r="E14" t="s">
        <v>761</v>
      </c>
      <c r="F14" t="s">
        <v>31</v>
      </c>
      <c r="G14">
        <v>7</v>
      </c>
      <c r="H14">
        <v>15</v>
      </c>
      <c r="I14" t="s">
        <v>720</v>
      </c>
      <c r="J14">
        <v>2023</v>
      </c>
      <c r="K14">
        <v>1</v>
      </c>
      <c r="L14">
        <v>18</v>
      </c>
      <c r="M14">
        <v>10</v>
      </c>
      <c r="N14" s="7">
        <f t="shared" si="0"/>
        <v>22</v>
      </c>
      <c r="O14" s="7" t="str">
        <f t="shared" si="3"/>
        <v>Normal</v>
      </c>
      <c r="P14" s="7" t="str">
        <f t="shared" si="1"/>
        <v>No</v>
      </c>
      <c r="Q14" s="7" t="str">
        <f t="shared" si="2"/>
        <v>Standard</v>
      </c>
      <c r="R14" s="7" t="str">
        <f t="shared" si="4"/>
        <v>Morning</v>
      </c>
      <c r="S14" s="7" t="str">
        <f t="shared" si="5"/>
        <v>North America</v>
      </c>
      <c r="T14" s="30">
        <f t="shared" si="6"/>
        <v>2.1428571428571428</v>
      </c>
      <c r="U14" s="6"/>
      <c r="V14" s="6"/>
      <c r="W14" t="s">
        <v>730</v>
      </c>
      <c r="X14" t="str">
        <f>INDEX(E3:E734, MATCH(X13,A3:A734))</f>
        <v>Instagram</v>
      </c>
    </row>
    <row r="15" spans="1:26" x14ac:dyDescent="0.3">
      <c r="A15" t="s">
        <v>966</v>
      </c>
      <c r="B15" t="s">
        <v>1639</v>
      </c>
      <c r="C15" t="s">
        <v>764</v>
      </c>
      <c r="D15" s="1">
        <v>44944.618055555555</v>
      </c>
      <c r="E15" t="s">
        <v>763</v>
      </c>
      <c r="F15" t="s">
        <v>32</v>
      </c>
      <c r="G15">
        <v>12</v>
      </c>
      <c r="H15">
        <v>25</v>
      </c>
      <c r="I15" t="s">
        <v>722</v>
      </c>
      <c r="J15">
        <v>2023</v>
      </c>
      <c r="K15">
        <v>1</v>
      </c>
      <c r="L15">
        <v>18</v>
      </c>
      <c r="M15">
        <v>14</v>
      </c>
      <c r="N15" s="7">
        <f t="shared" si="0"/>
        <v>37</v>
      </c>
      <c r="O15" s="7" t="str">
        <f t="shared" si="3"/>
        <v>Normal</v>
      </c>
      <c r="P15" s="7" t="str">
        <f t="shared" si="1"/>
        <v>No</v>
      </c>
      <c r="Q15" s="7" t="str">
        <f t="shared" si="2"/>
        <v>Standard</v>
      </c>
      <c r="R15" s="7" t="str">
        <f t="shared" si="4"/>
        <v>Afternoon</v>
      </c>
      <c r="S15" s="7" t="str">
        <f t="shared" si="5"/>
        <v>Europe</v>
      </c>
      <c r="T15" s="30">
        <f t="shared" si="6"/>
        <v>2.0833333333333335</v>
      </c>
      <c r="U15" s="6"/>
      <c r="V15" s="6"/>
    </row>
    <row r="16" spans="1:26" x14ac:dyDescent="0.3">
      <c r="A16" t="s">
        <v>967</v>
      </c>
      <c r="B16" t="s">
        <v>1640</v>
      </c>
      <c r="C16" t="s">
        <v>764</v>
      </c>
      <c r="D16" s="1">
        <v>44944.75</v>
      </c>
      <c r="E16" t="s">
        <v>762</v>
      </c>
      <c r="F16" t="s">
        <v>33</v>
      </c>
      <c r="G16">
        <v>28</v>
      </c>
      <c r="H16">
        <v>55</v>
      </c>
      <c r="I16" t="s">
        <v>30</v>
      </c>
      <c r="J16">
        <v>2023</v>
      </c>
      <c r="K16">
        <v>1</v>
      </c>
      <c r="L16">
        <v>18</v>
      </c>
      <c r="M16">
        <v>18</v>
      </c>
      <c r="N16" s="7">
        <f t="shared" si="0"/>
        <v>83</v>
      </c>
      <c r="O16" s="7" t="str">
        <f t="shared" si="3"/>
        <v>Popular</v>
      </c>
      <c r="P16" s="7" t="str">
        <f t="shared" si="1"/>
        <v>Yes</v>
      </c>
      <c r="Q16" s="7" t="str">
        <f t="shared" si="2"/>
        <v>Wide Reach</v>
      </c>
      <c r="R16" s="7" t="str">
        <f t="shared" si="4"/>
        <v>Evening</v>
      </c>
      <c r="S16" s="7" t="str">
        <f t="shared" si="5"/>
        <v>North America</v>
      </c>
      <c r="T16" s="30">
        <f t="shared" si="6"/>
        <v>1.9642857142857142</v>
      </c>
      <c r="U16" s="6"/>
      <c r="V16" s="6"/>
      <c r="X16" t="s">
        <v>2357</v>
      </c>
    </row>
    <row r="17" spans="1:25" x14ac:dyDescent="0.3">
      <c r="A17" t="s">
        <v>968</v>
      </c>
      <c r="B17" t="s">
        <v>1641</v>
      </c>
      <c r="C17" t="s">
        <v>766</v>
      </c>
      <c r="D17" s="1">
        <v>44945.40625</v>
      </c>
      <c r="E17" t="s">
        <v>761</v>
      </c>
      <c r="F17" t="s">
        <v>34</v>
      </c>
      <c r="G17">
        <v>15</v>
      </c>
      <c r="H17">
        <v>30</v>
      </c>
      <c r="I17" t="s">
        <v>732</v>
      </c>
      <c r="J17">
        <v>2023</v>
      </c>
      <c r="K17">
        <v>1</v>
      </c>
      <c r="L17">
        <v>19</v>
      </c>
      <c r="M17">
        <v>9</v>
      </c>
      <c r="N17" s="7">
        <f t="shared" si="0"/>
        <v>45</v>
      </c>
      <c r="O17" s="7" t="str">
        <f t="shared" si="3"/>
        <v>Normal</v>
      </c>
      <c r="P17" s="7" t="str">
        <f t="shared" si="1"/>
        <v>No</v>
      </c>
      <c r="Q17" s="7" t="str">
        <f t="shared" si="2"/>
        <v>Standard</v>
      </c>
      <c r="R17" s="7" t="str">
        <f t="shared" si="4"/>
        <v>Morning</v>
      </c>
      <c r="S17" s="7" t="str">
        <f t="shared" si="5"/>
        <v>Asia</v>
      </c>
      <c r="T17" s="30">
        <f t="shared" si="6"/>
        <v>2</v>
      </c>
      <c r="U17" s="6"/>
      <c r="V17" s="6"/>
    </row>
    <row r="18" spans="1:25" x14ac:dyDescent="0.3">
      <c r="A18" t="s">
        <v>969</v>
      </c>
      <c r="B18" t="s">
        <v>1642</v>
      </c>
      <c r="C18" t="s">
        <v>764</v>
      </c>
      <c r="D18" s="1">
        <v>44945.555555555555</v>
      </c>
      <c r="E18" t="s">
        <v>763</v>
      </c>
      <c r="F18" t="s">
        <v>35</v>
      </c>
      <c r="G18">
        <v>20</v>
      </c>
      <c r="H18">
        <v>40</v>
      </c>
      <c r="I18" t="s">
        <v>30</v>
      </c>
      <c r="J18">
        <v>2023</v>
      </c>
      <c r="K18">
        <v>1</v>
      </c>
      <c r="L18">
        <v>19</v>
      </c>
      <c r="M18">
        <v>13</v>
      </c>
      <c r="N18" s="7">
        <f t="shared" si="0"/>
        <v>60</v>
      </c>
      <c r="O18" s="7" t="str">
        <f t="shared" si="3"/>
        <v>Normal</v>
      </c>
      <c r="P18" s="7" t="str">
        <f t="shared" si="1"/>
        <v>No</v>
      </c>
      <c r="Q18" s="7" t="str">
        <f t="shared" si="2"/>
        <v>Standard</v>
      </c>
      <c r="R18" s="7" t="str">
        <f t="shared" si="4"/>
        <v>Afternoon</v>
      </c>
      <c r="S18" s="7" t="str">
        <f t="shared" si="5"/>
        <v>North America</v>
      </c>
      <c r="T18" s="30">
        <f t="shared" si="6"/>
        <v>2</v>
      </c>
      <c r="U18" s="6"/>
      <c r="V18" s="6"/>
    </row>
    <row r="19" spans="1:25" x14ac:dyDescent="0.3">
      <c r="A19" t="s">
        <v>970</v>
      </c>
      <c r="B19" t="s">
        <v>1643</v>
      </c>
      <c r="C19" t="s">
        <v>764</v>
      </c>
      <c r="D19" s="1">
        <v>44945.715277777781</v>
      </c>
      <c r="E19" t="s">
        <v>762</v>
      </c>
      <c r="F19" t="s">
        <v>36</v>
      </c>
      <c r="G19">
        <v>15</v>
      </c>
      <c r="H19">
        <v>30</v>
      </c>
      <c r="I19" t="s">
        <v>720</v>
      </c>
      <c r="J19">
        <v>2023</v>
      </c>
      <c r="K19">
        <v>1</v>
      </c>
      <c r="L19">
        <v>19</v>
      </c>
      <c r="M19">
        <v>17</v>
      </c>
      <c r="N19" s="7">
        <f t="shared" si="0"/>
        <v>45</v>
      </c>
      <c r="O19" s="7" t="str">
        <f t="shared" si="3"/>
        <v>Normal</v>
      </c>
      <c r="P19" s="7" t="str">
        <f t="shared" si="1"/>
        <v>No</v>
      </c>
      <c r="Q19" s="7" t="str">
        <f t="shared" si="2"/>
        <v>Standard</v>
      </c>
      <c r="R19" s="7" t="str">
        <f t="shared" si="4"/>
        <v>Afternoon</v>
      </c>
      <c r="S19" s="7" t="str">
        <f t="shared" si="5"/>
        <v>North America</v>
      </c>
      <c r="T19" s="30">
        <f t="shared" si="6"/>
        <v>2</v>
      </c>
      <c r="U19" s="6"/>
      <c r="V19" s="6"/>
    </row>
    <row r="20" spans="1:25" x14ac:dyDescent="0.3">
      <c r="A20" t="s">
        <v>971</v>
      </c>
      <c r="B20" t="s">
        <v>1644</v>
      </c>
      <c r="C20" t="s">
        <v>764</v>
      </c>
      <c r="D20" s="1">
        <v>44946.003472222219</v>
      </c>
      <c r="E20" t="s">
        <v>761</v>
      </c>
      <c r="F20" t="s">
        <v>37</v>
      </c>
      <c r="G20">
        <v>18</v>
      </c>
      <c r="H20">
        <v>35</v>
      </c>
      <c r="I20" t="s">
        <v>722</v>
      </c>
      <c r="J20">
        <v>2023</v>
      </c>
      <c r="K20">
        <v>1</v>
      </c>
      <c r="L20">
        <v>20</v>
      </c>
      <c r="M20">
        <v>0</v>
      </c>
      <c r="N20" s="7">
        <f t="shared" si="0"/>
        <v>53</v>
      </c>
      <c r="O20" s="7" t="str">
        <f t="shared" si="3"/>
        <v>Normal</v>
      </c>
      <c r="P20" s="7" t="str">
        <f t="shared" si="1"/>
        <v>No</v>
      </c>
      <c r="Q20" s="7" t="str">
        <f t="shared" si="2"/>
        <v>Standard</v>
      </c>
      <c r="R20" s="7" t="str">
        <f t="shared" si="4"/>
        <v>Night</v>
      </c>
      <c r="S20" s="7" t="str">
        <f t="shared" si="5"/>
        <v>Europe</v>
      </c>
      <c r="T20" s="30">
        <f t="shared" si="6"/>
        <v>1.9444444444444444</v>
      </c>
      <c r="U20" s="6"/>
      <c r="V20" s="6"/>
    </row>
    <row r="21" spans="1:25" x14ac:dyDescent="0.3">
      <c r="A21" t="s">
        <v>972</v>
      </c>
      <c r="B21" t="s">
        <v>1645</v>
      </c>
      <c r="C21" t="s">
        <v>766</v>
      </c>
      <c r="D21" s="1">
        <v>44946.479166666664</v>
      </c>
      <c r="E21" t="s">
        <v>763</v>
      </c>
      <c r="F21" t="s">
        <v>39</v>
      </c>
      <c r="G21">
        <v>25</v>
      </c>
      <c r="H21">
        <v>50</v>
      </c>
      <c r="I21" t="s">
        <v>30</v>
      </c>
      <c r="J21">
        <v>2023</v>
      </c>
      <c r="K21">
        <v>1</v>
      </c>
      <c r="L21">
        <v>20</v>
      </c>
      <c r="M21">
        <v>11</v>
      </c>
      <c r="N21" s="7">
        <f t="shared" si="0"/>
        <v>75</v>
      </c>
      <c r="O21" s="7" t="str">
        <f t="shared" si="3"/>
        <v>Popular</v>
      </c>
      <c r="P21" s="7" t="str">
        <f t="shared" si="1"/>
        <v>No</v>
      </c>
      <c r="Q21" s="7" t="str">
        <f t="shared" si="2"/>
        <v>Wide Reach</v>
      </c>
      <c r="R21" s="7" t="str">
        <f t="shared" si="4"/>
        <v>Morning</v>
      </c>
      <c r="S21" s="7" t="str">
        <f t="shared" si="5"/>
        <v>North America</v>
      </c>
      <c r="T21" s="30">
        <f t="shared" si="6"/>
        <v>2</v>
      </c>
      <c r="U21" s="6"/>
      <c r="V21" s="6"/>
    </row>
    <row r="22" spans="1:25" x14ac:dyDescent="0.3">
      <c r="A22" t="s">
        <v>973</v>
      </c>
      <c r="B22" t="s">
        <v>1646</v>
      </c>
      <c r="C22" t="s">
        <v>765</v>
      </c>
      <c r="D22" s="1">
        <v>44946.635416666664</v>
      </c>
      <c r="E22" t="s">
        <v>762</v>
      </c>
      <c r="F22" t="s">
        <v>40</v>
      </c>
      <c r="G22">
        <v>8</v>
      </c>
      <c r="H22">
        <v>15</v>
      </c>
      <c r="I22" t="s">
        <v>30</v>
      </c>
      <c r="J22">
        <v>2023</v>
      </c>
      <c r="K22">
        <v>1</v>
      </c>
      <c r="L22">
        <v>20</v>
      </c>
      <c r="M22">
        <v>15</v>
      </c>
      <c r="N22" s="7">
        <f t="shared" si="0"/>
        <v>23</v>
      </c>
      <c r="O22" s="7" t="str">
        <f t="shared" si="3"/>
        <v>Normal</v>
      </c>
      <c r="P22" s="7" t="str">
        <f t="shared" si="1"/>
        <v>No</v>
      </c>
      <c r="Q22" s="7" t="str">
        <f t="shared" si="2"/>
        <v>Standard</v>
      </c>
      <c r="R22" s="7" t="str">
        <f t="shared" si="4"/>
        <v>Afternoon</v>
      </c>
      <c r="S22" s="7" t="str">
        <f t="shared" si="5"/>
        <v>North America</v>
      </c>
      <c r="T22" s="30">
        <f t="shared" si="6"/>
        <v>1.875</v>
      </c>
      <c r="U22" s="6"/>
      <c r="V22" s="6"/>
      <c r="W22" t="s">
        <v>2358</v>
      </c>
      <c r="X22">
        <f ca="1">SUM(INDIRECT(W22))</f>
        <v>0</v>
      </c>
    </row>
    <row r="23" spans="1:25" x14ac:dyDescent="0.3">
      <c r="A23" t="s">
        <v>974</v>
      </c>
      <c r="B23" t="s">
        <v>1647</v>
      </c>
      <c r="C23" t="s">
        <v>764</v>
      </c>
      <c r="D23" s="1">
        <v>44947.361111111109</v>
      </c>
      <c r="E23" t="s">
        <v>761</v>
      </c>
      <c r="F23" t="s">
        <v>41</v>
      </c>
      <c r="G23">
        <v>22</v>
      </c>
      <c r="H23">
        <v>45</v>
      </c>
      <c r="I23" t="s">
        <v>732</v>
      </c>
      <c r="J23">
        <v>2023</v>
      </c>
      <c r="K23">
        <v>1</v>
      </c>
      <c r="L23">
        <v>21</v>
      </c>
      <c r="M23">
        <v>8</v>
      </c>
      <c r="N23" s="7">
        <f t="shared" si="0"/>
        <v>67</v>
      </c>
      <c r="O23" s="7" t="str">
        <f t="shared" si="3"/>
        <v>Popular</v>
      </c>
      <c r="P23" s="7" t="str">
        <f t="shared" si="1"/>
        <v>No</v>
      </c>
      <c r="Q23" s="7" t="str">
        <f t="shared" si="2"/>
        <v>Wide Reach</v>
      </c>
      <c r="R23" s="7" t="str">
        <f t="shared" si="4"/>
        <v>Morning</v>
      </c>
      <c r="S23" s="7" t="str">
        <f t="shared" si="5"/>
        <v>Asia</v>
      </c>
      <c r="T23" s="30">
        <f t="shared" si="6"/>
        <v>2.0454545454545454</v>
      </c>
      <c r="U23" s="6"/>
      <c r="V23" s="6"/>
      <c r="W23" t="s">
        <v>1625</v>
      </c>
    </row>
    <row r="24" spans="1:25" x14ac:dyDescent="0.3">
      <c r="A24" t="s">
        <v>975</v>
      </c>
      <c r="B24" t="s">
        <v>1648</v>
      </c>
      <c r="C24" t="s">
        <v>764</v>
      </c>
      <c r="D24" s="1">
        <v>44947.555555555555</v>
      </c>
      <c r="E24" t="s">
        <v>763</v>
      </c>
      <c r="F24" t="s">
        <v>42</v>
      </c>
      <c r="G24">
        <v>15</v>
      </c>
      <c r="H24">
        <v>30</v>
      </c>
      <c r="I24" t="s">
        <v>30</v>
      </c>
      <c r="J24">
        <v>2023</v>
      </c>
      <c r="K24">
        <v>1</v>
      </c>
      <c r="L24">
        <v>21</v>
      </c>
      <c r="M24">
        <v>13</v>
      </c>
      <c r="N24" s="7">
        <f t="shared" si="0"/>
        <v>45</v>
      </c>
      <c r="O24" s="7" t="str">
        <f t="shared" si="3"/>
        <v>Normal</v>
      </c>
      <c r="P24" s="7" t="str">
        <f t="shared" si="1"/>
        <v>No</v>
      </c>
      <c r="Q24" s="7" t="str">
        <f t="shared" si="2"/>
        <v>Standard</v>
      </c>
      <c r="R24" s="7" t="str">
        <f t="shared" si="4"/>
        <v>Afternoon</v>
      </c>
      <c r="S24" s="7" t="str">
        <f t="shared" si="5"/>
        <v>North America</v>
      </c>
      <c r="T24" s="30">
        <f t="shared" si="6"/>
        <v>2</v>
      </c>
      <c r="U24" s="6"/>
      <c r="V24" s="6"/>
    </row>
    <row r="25" spans="1:25" x14ac:dyDescent="0.3">
      <c r="A25" t="s">
        <v>976</v>
      </c>
      <c r="B25" t="s">
        <v>1649</v>
      </c>
      <c r="C25" t="s">
        <v>764</v>
      </c>
      <c r="D25" s="1">
        <v>44947.697916666664</v>
      </c>
      <c r="E25" t="s">
        <v>762</v>
      </c>
      <c r="F25" t="s">
        <v>43</v>
      </c>
      <c r="G25">
        <v>30</v>
      </c>
      <c r="H25">
        <v>60</v>
      </c>
      <c r="I25" t="s">
        <v>30</v>
      </c>
      <c r="J25">
        <v>2023</v>
      </c>
      <c r="K25">
        <v>1</v>
      </c>
      <c r="L25">
        <v>21</v>
      </c>
      <c r="M25">
        <v>16</v>
      </c>
      <c r="N25" s="7">
        <f t="shared" si="0"/>
        <v>90</v>
      </c>
      <c r="O25" s="7" t="str">
        <f t="shared" si="3"/>
        <v>Popular</v>
      </c>
      <c r="P25" s="7" t="str">
        <f t="shared" si="1"/>
        <v>Yes</v>
      </c>
      <c r="Q25" s="7" t="str">
        <f t="shared" si="2"/>
        <v>Wide Reach</v>
      </c>
      <c r="R25" s="7" t="str">
        <f t="shared" si="4"/>
        <v>Afternoon</v>
      </c>
      <c r="S25" s="7" t="str">
        <f t="shared" si="5"/>
        <v>North America</v>
      </c>
      <c r="T25" s="30">
        <f t="shared" si="6"/>
        <v>2</v>
      </c>
      <c r="U25" s="6"/>
      <c r="V25" s="6"/>
    </row>
    <row r="26" spans="1:25" ht="15" thickBot="1" x14ac:dyDescent="0.35">
      <c r="A26" t="s">
        <v>977</v>
      </c>
      <c r="B26" t="s">
        <v>1650</v>
      </c>
      <c r="C26" t="s">
        <v>764</v>
      </c>
      <c r="D26" s="1">
        <v>44948.385416666664</v>
      </c>
      <c r="E26" t="s">
        <v>761</v>
      </c>
      <c r="F26" t="s">
        <v>44</v>
      </c>
      <c r="G26">
        <v>20</v>
      </c>
      <c r="H26">
        <v>40</v>
      </c>
      <c r="I26" t="s">
        <v>722</v>
      </c>
      <c r="J26">
        <v>2023</v>
      </c>
      <c r="K26">
        <v>1</v>
      </c>
      <c r="L26">
        <v>22</v>
      </c>
      <c r="M26">
        <v>9</v>
      </c>
      <c r="N26" s="7">
        <f t="shared" si="0"/>
        <v>60</v>
      </c>
      <c r="O26" s="7" t="str">
        <f t="shared" si="3"/>
        <v>Normal</v>
      </c>
      <c r="P26" s="7" t="str">
        <f t="shared" si="1"/>
        <v>No</v>
      </c>
      <c r="Q26" s="7" t="str">
        <f t="shared" si="2"/>
        <v>Standard</v>
      </c>
      <c r="R26" s="7" t="str">
        <f t="shared" si="4"/>
        <v>Morning</v>
      </c>
      <c r="S26" s="7" t="str">
        <f t="shared" si="5"/>
        <v>Europe</v>
      </c>
      <c r="T26" s="30">
        <f t="shared" si="6"/>
        <v>2</v>
      </c>
      <c r="U26" s="6"/>
      <c r="V26" s="6"/>
      <c r="W26" s="8" t="s">
        <v>1626</v>
      </c>
    </row>
    <row r="27" spans="1:25" ht="15" thickBot="1" x14ac:dyDescent="0.35">
      <c r="A27" t="s">
        <v>978</v>
      </c>
      <c r="B27" t="s">
        <v>1651</v>
      </c>
      <c r="C27" t="s">
        <v>764</v>
      </c>
      <c r="D27" s="1">
        <v>44948.604166666664</v>
      </c>
      <c r="E27" t="s">
        <v>763</v>
      </c>
      <c r="F27" t="s">
        <v>45</v>
      </c>
      <c r="G27">
        <v>12</v>
      </c>
      <c r="H27">
        <v>25</v>
      </c>
      <c r="I27" t="s">
        <v>720</v>
      </c>
      <c r="J27">
        <v>2023</v>
      </c>
      <c r="K27">
        <v>1</v>
      </c>
      <c r="L27">
        <v>22</v>
      </c>
      <c r="M27">
        <v>14</v>
      </c>
      <c r="N27" s="7">
        <f t="shared" si="0"/>
        <v>37</v>
      </c>
      <c r="O27" s="7" t="str">
        <f t="shared" si="3"/>
        <v>Normal</v>
      </c>
      <c r="P27" s="7" t="str">
        <f t="shared" si="1"/>
        <v>No</v>
      </c>
      <c r="Q27" s="7" t="str">
        <f t="shared" si="2"/>
        <v>Standard</v>
      </c>
      <c r="R27" s="7" t="str">
        <f t="shared" si="4"/>
        <v>Afternoon</v>
      </c>
      <c r="S27" s="7" t="str">
        <f t="shared" si="5"/>
        <v>North America</v>
      </c>
      <c r="T27" s="30">
        <f t="shared" si="6"/>
        <v>2.0833333333333335</v>
      </c>
      <c r="U27" s="6"/>
      <c r="V27" s="6"/>
      <c r="W27" s="9">
        <f ca="1">AVERAGE(OFFSET(H2,COUNTA(H3:H775),0,-10,1))</f>
        <v>45.2</v>
      </c>
    </row>
    <row r="28" spans="1:25" x14ac:dyDescent="0.3">
      <c r="A28" t="s">
        <v>979</v>
      </c>
      <c r="B28" t="s">
        <v>1652</v>
      </c>
      <c r="C28" t="s">
        <v>764</v>
      </c>
      <c r="D28" s="1">
        <v>44948.5</v>
      </c>
      <c r="E28" t="s">
        <v>762</v>
      </c>
      <c r="F28" t="s">
        <v>46</v>
      </c>
      <c r="G28">
        <v>15</v>
      </c>
      <c r="H28">
        <v>30</v>
      </c>
      <c r="I28" t="s">
        <v>722</v>
      </c>
      <c r="J28">
        <v>2023</v>
      </c>
      <c r="K28">
        <v>1</v>
      </c>
      <c r="L28">
        <v>22</v>
      </c>
      <c r="M28">
        <v>12</v>
      </c>
      <c r="N28" s="7">
        <f t="shared" si="0"/>
        <v>45</v>
      </c>
      <c r="O28" s="7" t="str">
        <f t="shared" si="3"/>
        <v>Normal</v>
      </c>
      <c r="P28" s="7" t="str">
        <f t="shared" si="1"/>
        <v>No</v>
      </c>
      <c r="Q28" s="7" t="str">
        <f t="shared" si="2"/>
        <v>Standard</v>
      </c>
      <c r="R28" s="7" t="str">
        <f t="shared" si="4"/>
        <v>Afternoon</v>
      </c>
      <c r="S28" s="7" t="str">
        <f t="shared" si="5"/>
        <v>Europe</v>
      </c>
      <c r="T28" s="30">
        <f t="shared" si="6"/>
        <v>2</v>
      </c>
      <c r="U28" s="6"/>
      <c r="V28" s="6"/>
      <c r="X28" t="s">
        <v>1625</v>
      </c>
    </row>
    <row r="29" spans="1:25" x14ac:dyDescent="0.3">
      <c r="A29" t="s">
        <v>980</v>
      </c>
      <c r="B29" t="s">
        <v>1653</v>
      </c>
      <c r="C29" t="s">
        <v>764</v>
      </c>
      <c r="D29" s="1">
        <v>44949.680555555555</v>
      </c>
      <c r="E29" t="s">
        <v>763</v>
      </c>
      <c r="F29" t="s">
        <v>47</v>
      </c>
      <c r="G29">
        <v>25</v>
      </c>
      <c r="H29">
        <v>50</v>
      </c>
      <c r="I29" t="s">
        <v>732</v>
      </c>
      <c r="J29">
        <v>2023</v>
      </c>
      <c r="K29">
        <v>1</v>
      </c>
      <c r="L29">
        <v>23</v>
      </c>
      <c r="M29">
        <v>16</v>
      </c>
      <c r="N29" s="7">
        <f t="shared" si="0"/>
        <v>75</v>
      </c>
      <c r="O29" s="7" t="str">
        <f t="shared" si="3"/>
        <v>Popular</v>
      </c>
      <c r="P29" s="7" t="str">
        <f t="shared" si="1"/>
        <v>No</v>
      </c>
      <c r="Q29" s="7" t="str">
        <f t="shared" si="2"/>
        <v>Wide Reach</v>
      </c>
      <c r="R29" s="7" t="str">
        <f t="shared" si="4"/>
        <v>Afternoon</v>
      </c>
      <c r="S29" s="7" t="str">
        <f t="shared" si="5"/>
        <v>Asia</v>
      </c>
      <c r="T29" s="30">
        <f t="shared" si="6"/>
        <v>2</v>
      </c>
      <c r="U29" s="6"/>
      <c r="V29" s="6"/>
    </row>
    <row r="30" spans="1:25" x14ac:dyDescent="0.3">
      <c r="A30" t="s">
        <v>981</v>
      </c>
      <c r="B30" t="s">
        <v>1654</v>
      </c>
      <c r="C30" t="s">
        <v>764</v>
      </c>
      <c r="D30" s="1">
        <v>44949.822916666664</v>
      </c>
      <c r="E30" t="s">
        <v>762</v>
      </c>
      <c r="F30" t="s">
        <v>48</v>
      </c>
      <c r="G30">
        <v>15</v>
      </c>
      <c r="H30">
        <v>30</v>
      </c>
      <c r="I30" t="s">
        <v>731</v>
      </c>
      <c r="J30">
        <v>2023</v>
      </c>
      <c r="K30">
        <v>1</v>
      </c>
      <c r="L30">
        <v>23</v>
      </c>
      <c r="M30">
        <v>19</v>
      </c>
      <c r="N30" s="7">
        <f t="shared" si="0"/>
        <v>45</v>
      </c>
      <c r="O30" s="7" t="str">
        <f t="shared" si="3"/>
        <v>Normal</v>
      </c>
      <c r="P30" s="7" t="str">
        <f t="shared" si="1"/>
        <v>No</v>
      </c>
      <c r="Q30" s="7" t="str">
        <f t="shared" si="2"/>
        <v>Standard</v>
      </c>
      <c r="R30" s="7" t="str">
        <f t="shared" si="4"/>
        <v>Evening</v>
      </c>
      <c r="S30" s="7" t="str">
        <f t="shared" si="5"/>
        <v>Oceania</v>
      </c>
      <c r="T30" s="30">
        <f t="shared" si="6"/>
        <v>2</v>
      </c>
      <c r="U30" s="6"/>
      <c r="V30" s="6"/>
    </row>
    <row r="31" spans="1:25" x14ac:dyDescent="0.3">
      <c r="A31" t="s">
        <v>982</v>
      </c>
      <c r="B31" t="s">
        <v>1655</v>
      </c>
      <c r="C31" t="s">
        <v>764</v>
      </c>
      <c r="D31" s="1">
        <v>44950.479166666664</v>
      </c>
      <c r="E31" t="s">
        <v>761</v>
      </c>
      <c r="F31" t="s">
        <v>49</v>
      </c>
      <c r="G31">
        <v>22</v>
      </c>
      <c r="H31">
        <v>45</v>
      </c>
      <c r="I31" t="s">
        <v>30</v>
      </c>
      <c r="J31">
        <v>2023</v>
      </c>
      <c r="K31">
        <v>1</v>
      </c>
      <c r="L31">
        <v>24</v>
      </c>
      <c r="M31">
        <v>11</v>
      </c>
      <c r="N31" s="7">
        <f t="shared" si="0"/>
        <v>67</v>
      </c>
      <c r="O31" s="7" t="str">
        <f t="shared" si="3"/>
        <v>Popular</v>
      </c>
      <c r="P31" s="7" t="str">
        <f t="shared" si="1"/>
        <v>No</v>
      </c>
      <c r="Q31" s="7" t="str">
        <f t="shared" si="2"/>
        <v>Wide Reach</v>
      </c>
      <c r="R31" s="7" t="str">
        <f t="shared" si="4"/>
        <v>Morning</v>
      </c>
      <c r="S31" s="7" t="str">
        <f t="shared" si="5"/>
        <v>North America</v>
      </c>
      <c r="T31" s="30">
        <f t="shared" si="6"/>
        <v>2.0454545454545454</v>
      </c>
      <c r="U31" s="6"/>
      <c r="V31" s="6"/>
    </row>
    <row r="32" spans="1:25" x14ac:dyDescent="0.3">
      <c r="A32" t="s">
        <v>983</v>
      </c>
      <c r="B32" t="s">
        <v>1656</v>
      </c>
      <c r="C32" t="s">
        <v>764</v>
      </c>
      <c r="D32" s="1">
        <v>44950.625</v>
      </c>
      <c r="E32" t="s">
        <v>763</v>
      </c>
      <c r="F32" t="s">
        <v>50</v>
      </c>
      <c r="G32">
        <v>12</v>
      </c>
      <c r="H32">
        <v>25</v>
      </c>
      <c r="I32" t="s">
        <v>720</v>
      </c>
      <c r="J32">
        <v>2023</v>
      </c>
      <c r="K32">
        <v>1</v>
      </c>
      <c r="L32">
        <v>24</v>
      </c>
      <c r="M32">
        <v>15</v>
      </c>
      <c r="N32" s="7">
        <f t="shared" si="0"/>
        <v>37</v>
      </c>
      <c r="O32" s="7" t="str">
        <f t="shared" si="3"/>
        <v>Normal</v>
      </c>
      <c r="P32" s="7" t="str">
        <f t="shared" si="1"/>
        <v>No</v>
      </c>
      <c r="Q32" s="7" t="str">
        <f t="shared" si="2"/>
        <v>Standard</v>
      </c>
      <c r="R32" s="7" t="str">
        <f t="shared" si="4"/>
        <v>Afternoon</v>
      </c>
      <c r="S32" s="7" t="str">
        <f t="shared" si="5"/>
        <v>North America</v>
      </c>
      <c r="T32" s="30">
        <f t="shared" si="6"/>
        <v>2.0833333333333335</v>
      </c>
      <c r="U32" s="6"/>
      <c r="V32" s="6"/>
      <c r="W32" s="33" t="s">
        <v>2352</v>
      </c>
      <c r="X32" s="33"/>
      <c r="Y32" s="33"/>
    </row>
    <row r="33" spans="1:25" x14ac:dyDescent="0.3">
      <c r="A33" t="s">
        <v>984</v>
      </c>
      <c r="B33" t="s">
        <v>1657</v>
      </c>
      <c r="C33" t="s">
        <v>764</v>
      </c>
      <c r="D33" s="1">
        <v>44950.729166666664</v>
      </c>
      <c r="E33" t="s">
        <v>762</v>
      </c>
      <c r="F33" t="s">
        <v>51</v>
      </c>
      <c r="G33">
        <v>18</v>
      </c>
      <c r="H33">
        <v>35</v>
      </c>
      <c r="I33" t="s">
        <v>722</v>
      </c>
      <c r="J33">
        <v>2023</v>
      </c>
      <c r="K33">
        <v>1</v>
      </c>
      <c r="L33">
        <v>24</v>
      </c>
      <c r="M33">
        <v>17</v>
      </c>
      <c r="N33" s="7">
        <f t="shared" si="0"/>
        <v>53</v>
      </c>
      <c r="O33" s="7" t="str">
        <f t="shared" si="3"/>
        <v>Normal</v>
      </c>
      <c r="P33" s="7" t="str">
        <f t="shared" si="1"/>
        <v>No</v>
      </c>
      <c r="Q33" s="7" t="str">
        <f t="shared" si="2"/>
        <v>Standard</v>
      </c>
      <c r="R33" s="7" t="str">
        <f t="shared" si="4"/>
        <v>Afternoon</v>
      </c>
      <c r="S33" s="7" t="str">
        <f t="shared" si="5"/>
        <v>Europe</v>
      </c>
      <c r="T33" s="30">
        <f t="shared" si="6"/>
        <v>1.9444444444444444</v>
      </c>
      <c r="U33" s="6"/>
      <c r="V33" s="6"/>
      <c r="W33" s="7" t="s">
        <v>2343</v>
      </c>
      <c r="X33" s="7" t="s">
        <v>5</v>
      </c>
      <c r="Y33" s="7" t="s">
        <v>6</v>
      </c>
    </row>
    <row r="34" spans="1:25" x14ac:dyDescent="0.3">
      <c r="A34" t="s">
        <v>985</v>
      </c>
      <c r="B34" t="s">
        <v>1658</v>
      </c>
      <c r="C34" t="s">
        <v>764</v>
      </c>
      <c r="D34" s="1">
        <v>44951.75</v>
      </c>
      <c r="E34" t="s">
        <v>761</v>
      </c>
      <c r="F34" t="s">
        <v>52</v>
      </c>
      <c r="G34">
        <v>15</v>
      </c>
      <c r="H34">
        <v>30</v>
      </c>
      <c r="I34" t="s">
        <v>732</v>
      </c>
      <c r="J34">
        <v>2023</v>
      </c>
      <c r="K34">
        <v>1</v>
      </c>
      <c r="L34">
        <v>25</v>
      </c>
      <c r="M34">
        <v>18</v>
      </c>
      <c r="N34" s="7">
        <f t="shared" si="0"/>
        <v>45</v>
      </c>
      <c r="O34" s="7" t="str">
        <f t="shared" si="3"/>
        <v>Normal</v>
      </c>
      <c r="P34" s="7" t="str">
        <f t="shared" si="1"/>
        <v>No</v>
      </c>
      <c r="Q34" s="7" t="str">
        <f t="shared" si="2"/>
        <v>Standard</v>
      </c>
      <c r="R34" s="7" t="str">
        <f t="shared" si="4"/>
        <v>Evening</v>
      </c>
      <c r="S34" s="7" t="str">
        <f t="shared" si="5"/>
        <v>Asia</v>
      </c>
      <c r="T34" s="30">
        <f t="shared" si="6"/>
        <v>2</v>
      </c>
      <c r="U34" s="6"/>
      <c r="V34" s="6"/>
      <c r="W34" t="s">
        <v>2344</v>
      </c>
      <c r="X34" s="5">
        <f>AVERAGE(G2:G734)</f>
        <v>21.508196721311474</v>
      </c>
      <c r="Y34" s="5">
        <f>AVERAGE(H2:H734)</f>
        <v>42.901639344262293</v>
      </c>
    </row>
    <row r="35" spans="1:25" x14ac:dyDescent="0.3">
      <c r="A35" t="s">
        <v>986</v>
      </c>
      <c r="B35" t="s">
        <v>1659</v>
      </c>
      <c r="C35" t="s">
        <v>764</v>
      </c>
      <c r="D35" s="1">
        <v>44951.552083333336</v>
      </c>
      <c r="E35" t="s">
        <v>763</v>
      </c>
      <c r="F35" t="s">
        <v>53</v>
      </c>
      <c r="G35">
        <v>30</v>
      </c>
      <c r="H35">
        <v>60</v>
      </c>
      <c r="I35" t="s">
        <v>30</v>
      </c>
      <c r="J35">
        <v>2023</v>
      </c>
      <c r="K35">
        <v>1</v>
      </c>
      <c r="L35">
        <v>25</v>
      </c>
      <c r="M35">
        <v>13</v>
      </c>
      <c r="N35" s="7">
        <f t="shared" si="0"/>
        <v>90</v>
      </c>
      <c r="O35" s="7" t="str">
        <f t="shared" si="3"/>
        <v>Popular</v>
      </c>
      <c r="P35" s="7" t="str">
        <f t="shared" si="1"/>
        <v>Yes</v>
      </c>
      <c r="Q35" s="7" t="str">
        <f t="shared" si="2"/>
        <v>Wide Reach</v>
      </c>
      <c r="R35" s="7" t="str">
        <f t="shared" si="4"/>
        <v>Afternoon</v>
      </c>
      <c r="S35" s="7" t="str">
        <f t="shared" si="5"/>
        <v>North America</v>
      </c>
      <c r="T35" s="30">
        <f t="shared" si="6"/>
        <v>2</v>
      </c>
      <c r="U35" s="6"/>
      <c r="V35" s="6"/>
      <c r="W35" t="s">
        <v>2345</v>
      </c>
      <c r="X35">
        <f>MEDIAN(G2:G734)</f>
        <v>22</v>
      </c>
      <c r="Y35">
        <f>MEDIAN(H2:H734)</f>
        <v>43</v>
      </c>
    </row>
    <row r="36" spans="1:25" x14ac:dyDescent="0.3">
      <c r="A36" t="s">
        <v>987</v>
      </c>
      <c r="B36" t="s">
        <v>1660</v>
      </c>
      <c r="C36" t="s">
        <v>764</v>
      </c>
      <c r="D36" s="1">
        <v>44952.40625</v>
      </c>
      <c r="E36" t="s">
        <v>762</v>
      </c>
      <c r="F36" t="s">
        <v>54</v>
      </c>
      <c r="G36">
        <v>25</v>
      </c>
      <c r="H36">
        <v>50</v>
      </c>
      <c r="I36" t="s">
        <v>30</v>
      </c>
      <c r="J36">
        <v>2023</v>
      </c>
      <c r="K36">
        <v>1</v>
      </c>
      <c r="L36">
        <v>26</v>
      </c>
      <c r="M36">
        <v>9</v>
      </c>
      <c r="N36" s="7">
        <f t="shared" si="0"/>
        <v>75</v>
      </c>
      <c r="O36" s="7" t="str">
        <f t="shared" si="3"/>
        <v>Popular</v>
      </c>
      <c r="P36" s="7" t="str">
        <f t="shared" si="1"/>
        <v>No</v>
      </c>
      <c r="Q36" s="7" t="str">
        <f t="shared" si="2"/>
        <v>Wide Reach</v>
      </c>
      <c r="R36" s="7" t="str">
        <f t="shared" si="4"/>
        <v>Morning</v>
      </c>
      <c r="S36" s="7" t="str">
        <f t="shared" si="5"/>
        <v>North America</v>
      </c>
      <c r="T36" s="30">
        <f t="shared" si="6"/>
        <v>2</v>
      </c>
      <c r="U36" s="6"/>
      <c r="V36" s="6"/>
      <c r="W36" s="12" t="s">
        <v>2346</v>
      </c>
      <c r="X36">
        <f>_xlfn.MODE.SNGL(G2:G734)</f>
        <v>22</v>
      </c>
      <c r="Y36">
        <f>_xlfn.MODE.SNGL(H2:H734)</f>
        <v>45</v>
      </c>
    </row>
    <row r="37" spans="1:25" x14ac:dyDescent="0.3">
      <c r="A37" t="s">
        <v>988</v>
      </c>
      <c r="B37" t="s">
        <v>1661</v>
      </c>
      <c r="C37" t="s">
        <v>764</v>
      </c>
      <c r="D37" s="1">
        <v>44952.597222222219</v>
      </c>
      <c r="E37" t="s">
        <v>761</v>
      </c>
      <c r="F37" t="s">
        <v>55</v>
      </c>
      <c r="G37">
        <v>15</v>
      </c>
      <c r="H37">
        <v>30</v>
      </c>
      <c r="I37" t="s">
        <v>720</v>
      </c>
      <c r="J37">
        <v>2023</v>
      </c>
      <c r="K37">
        <v>1</v>
      </c>
      <c r="L37">
        <v>26</v>
      </c>
      <c r="M37">
        <v>14</v>
      </c>
      <c r="N37" s="7">
        <f t="shared" si="0"/>
        <v>45</v>
      </c>
      <c r="O37" s="7" t="str">
        <f t="shared" si="3"/>
        <v>Normal</v>
      </c>
      <c r="P37" s="7" t="str">
        <f t="shared" si="1"/>
        <v>No</v>
      </c>
      <c r="Q37" s="7" t="str">
        <f t="shared" si="2"/>
        <v>Standard</v>
      </c>
      <c r="R37" s="7" t="str">
        <f t="shared" si="4"/>
        <v>Afternoon</v>
      </c>
      <c r="S37" s="7" t="str">
        <f t="shared" si="5"/>
        <v>North America</v>
      </c>
      <c r="T37" s="30">
        <f t="shared" si="6"/>
        <v>2</v>
      </c>
      <c r="U37" s="6"/>
      <c r="V37" s="6"/>
      <c r="W37" t="s">
        <v>2347</v>
      </c>
      <c r="X37">
        <f>MIN(G2:G734)</f>
        <v>5</v>
      </c>
      <c r="Y37">
        <f>MIN(H2:H734)</f>
        <v>10</v>
      </c>
    </row>
    <row r="38" spans="1:25" x14ac:dyDescent="0.3">
      <c r="A38" t="s">
        <v>989</v>
      </c>
      <c r="B38" t="s">
        <v>1662</v>
      </c>
      <c r="C38" t="s">
        <v>764</v>
      </c>
      <c r="D38" s="1">
        <v>44952.736111111109</v>
      </c>
      <c r="E38" t="s">
        <v>763</v>
      </c>
      <c r="F38" t="s">
        <v>56</v>
      </c>
      <c r="G38">
        <v>22</v>
      </c>
      <c r="H38">
        <v>45</v>
      </c>
      <c r="I38" t="s">
        <v>722</v>
      </c>
      <c r="J38">
        <v>2023</v>
      </c>
      <c r="K38">
        <v>1</v>
      </c>
      <c r="L38">
        <v>26</v>
      </c>
      <c r="M38">
        <v>17</v>
      </c>
      <c r="N38" s="7">
        <f t="shared" si="0"/>
        <v>67</v>
      </c>
      <c r="O38" s="7" t="str">
        <f t="shared" si="3"/>
        <v>Popular</v>
      </c>
      <c r="P38" s="7" t="str">
        <f t="shared" si="1"/>
        <v>No</v>
      </c>
      <c r="Q38" s="7" t="str">
        <f t="shared" si="2"/>
        <v>Wide Reach</v>
      </c>
      <c r="R38" s="7" t="str">
        <f t="shared" si="4"/>
        <v>Afternoon</v>
      </c>
      <c r="S38" s="7" t="str">
        <f t="shared" si="5"/>
        <v>Europe</v>
      </c>
      <c r="T38" s="30">
        <f t="shared" si="6"/>
        <v>2.0454545454545454</v>
      </c>
      <c r="U38" s="6"/>
      <c r="V38" s="6"/>
      <c r="W38" t="s">
        <v>2348</v>
      </c>
      <c r="X38">
        <f>MAX(G2:G734)</f>
        <v>40</v>
      </c>
      <c r="Y38">
        <f>MAX(H2:H734)</f>
        <v>80</v>
      </c>
    </row>
    <row r="39" spans="1:25" x14ac:dyDescent="0.3">
      <c r="A39" t="s">
        <v>990</v>
      </c>
      <c r="B39" t="s">
        <v>1663</v>
      </c>
      <c r="C39" t="s">
        <v>764</v>
      </c>
      <c r="D39" s="1">
        <v>44953.833333333336</v>
      </c>
      <c r="E39" t="s">
        <v>762</v>
      </c>
      <c r="F39" t="s">
        <v>57</v>
      </c>
      <c r="G39">
        <v>18</v>
      </c>
      <c r="H39">
        <v>35</v>
      </c>
      <c r="I39" t="s">
        <v>30</v>
      </c>
      <c r="J39">
        <v>2023</v>
      </c>
      <c r="K39">
        <v>1</v>
      </c>
      <c r="L39">
        <v>27</v>
      </c>
      <c r="M39">
        <v>20</v>
      </c>
      <c r="N39" s="7">
        <f t="shared" si="0"/>
        <v>53</v>
      </c>
      <c r="O39" s="7" t="str">
        <f t="shared" si="3"/>
        <v>Normal</v>
      </c>
      <c r="P39" s="7" t="str">
        <f t="shared" si="1"/>
        <v>No</v>
      </c>
      <c r="Q39" s="7" t="str">
        <f t="shared" si="2"/>
        <v>Standard</v>
      </c>
      <c r="R39" s="7" t="str">
        <f t="shared" si="4"/>
        <v>Evening</v>
      </c>
      <c r="S39" s="7" t="str">
        <f t="shared" si="5"/>
        <v>North America</v>
      </c>
      <c r="T39" s="30">
        <f t="shared" si="6"/>
        <v>1.9444444444444444</v>
      </c>
      <c r="U39" s="6"/>
      <c r="V39" s="6"/>
      <c r="W39" t="s">
        <v>2349</v>
      </c>
      <c r="X39" s="5">
        <f>_xlfn.VAR.S(G2:G734)</f>
        <v>49.861765827184875</v>
      </c>
      <c r="Y39" s="5">
        <f>_xlfn.VAR.S(H2:H734)</f>
        <v>198.52382767823093</v>
      </c>
    </row>
    <row r="40" spans="1:25" x14ac:dyDescent="0.3">
      <c r="A40" t="s">
        <v>991</v>
      </c>
      <c r="B40" t="s">
        <v>1664</v>
      </c>
      <c r="C40" t="s">
        <v>764</v>
      </c>
      <c r="D40" s="1">
        <v>44953.520833333336</v>
      </c>
      <c r="E40" t="s">
        <v>761</v>
      </c>
      <c r="F40" t="s">
        <v>58</v>
      </c>
      <c r="G40">
        <v>15</v>
      </c>
      <c r="H40">
        <v>30</v>
      </c>
      <c r="I40" t="s">
        <v>732</v>
      </c>
      <c r="J40">
        <v>2023</v>
      </c>
      <c r="K40">
        <v>1</v>
      </c>
      <c r="L40">
        <v>27</v>
      </c>
      <c r="M40">
        <v>12</v>
      </c>
      <c r="N40" s="7">
        <f t="shared" si="0"/>
        <v>45</v>
      </c>
      <c r="O40" s="7" t="str">
        <f t="shared" si="3"/>
        <v>Normal</v>
      </c>
      <c r="P40" s="7" t="str">
        <f t="shared" si="1"/>
        <v>No</v>
      </c>
      <c r="Q40" s="7" t="str">
        <f t="shared" si="2"/>
        <v>Standard</v>
      </c>
      <c r="R40" s="7" t="str">
        <f t="shared" si="4"/>
        <v>Afternoon</v>
      </c>
      <c r="S40" s="7" t="str">
        <f t="shared" si="5"/>
        <v>Asia</v>
      </c>
      <c r="T40" s="30">
        <f t="shared" si="6"/>
        <v>2</v>
      </c>
      <c r="U40" s="6"/>
      <c r="V40" s="6"/>
      <c r="W40" t="s">
        <v>2350</v>
      </c>
      <c r="X40" s="5">
        <f>_xlfn.STDEV.S(G2:G734)</f>
        <v>7.0612864144704455</v>
      </c>
      <c r="Y40" s="5">
        <f>_xlfn.STDEV.S(H2:H734)</f>
        <v>14.089848390888772</v>
      </c>
    </row>
    <row r="41" spans="1:25" x14ac:dyDescent="0.3">
      <c r="A41" t="s">
        <v>992</v>
      </c>
      <c r="B41" t="s">
        <v>1665</v>
      </c>
      <c r="C41" t="s">
        <v>764</v>
      </c>
      <c r="D41" s="1">
        <v>44953.673611111109</v>
      </c>
      <c r="E41" t="s">
        <v>763</v>
      </c>
      <c r="F41" t="s">
        <v>59</v>
      </c>
      <c r="G41">
        <v>12</v>
      </c>
      <c r="H41">
        <v>25</v>
      </c>
      <c r="I41" t="s">
        <v>720</v>
      </c>
      <c r="J41">
        <v>2023</v>
      </c>
      <c r="K41">
        <v>1</v>
      </c>
      <c r="L41">
        <v>27</v>
      </c>
      <c r="M41">
        <v>16</v>
      </c>
      <c r="N41" s="7">
        <f t="shared" si="0"/>
        <v>37</v>
      </c>
      <c r="O41" s="7" t="str">
        <f t="shared" si="3"/>
        <v>Normal</v>
      </c>
      <c r="P41" s="7" t="str">
        <f t="shared" si="1"/>
        <v>No</v>
      </c>
      <c r="Q41" s="7" t="str">
        <f t="shared" si="2"/>
        <v>Standard</v>
      </c>
      <c r="R41" s="7" t="str">
        <f t="shared" si="4"/>
        <v>Afternoon</v>
      </c>
      <c r="S41" s="7" t="str">
        <f t="shared" si="5"/>
        <v>North America</v>
      </c>
      <c r="T41" s="30">
        <f t="shared" si="6"/>
        <v>2.0833333333333335</v>
      </c>
      <c r="U41" s="6"/>
      <c r="V41" s="6"/>
      <c r="W41" t="s">
        <v>2351</v>
      </c>
      <c r="X41">
        <f>COUNT(G2:G734)</f>
        <v>732</v>
      </c>
      <c r="Y41">
        <f>COUNT(H2:H734)</f>
        <v>732</v>
      </c>
    </row>
    <row r="42" spans="1:25" x14ac:dyDescent="0.3">
      <c r="A42" t="s">
        <v>993</v>
      </c>
      <c r="B42" t="s">
        <v>1666</v>
      </c>
      <c r="C42" t="s">
        <v>764</v>
      </c>
      <c r="D42" s="1">
        <v>44954.375</v>
      </c>
      <c r="E42" t="s">
        <v>762</v>
      </c>
      <c r="F42" t="s">
        <v>60</v>
      </c>
      <c r="G42">
        <v>30</v>
      </c>
      <c r="H42">
        <v>60</v>
      </c>
      <c r="I42" t="s">
        <v>30</v>
      </c>
      <c r="J42">
        <v>2023</v>
      </c>
      <c r="K42">
        <v>1</v>
      </c>
      <c r="L42">
        <v>28</v>
      </c>
      <c r="M42">
        <v>9</v>
      </c>
      <c r="N42" s="7">
        <f t="shared" si="0"/>
        <v>90</v>
      </c>
      <c r="O42" s="7" t="str">
        <f t="shared" si="3"/>
        <v>Popular</v>
      </c>
      <c r="P42" s="7" t="str">
        <f t="shared" si="1"/>
        <v>Yes</v>
      </c>
      <c r="Q42" s="7" t="str">
        <f t="shared" si="2"/>
        <v>Wide Reach</v>
      </c>
      <c r="R42" s="7" t="str">
        <f t="shared" si="4"/>
        <v>Morning</v>
      </c>
      <c r="S42" s="7" t="str">
        <f t="shared" si="5"/>
        <v>North America</v>
      </c>
      <c r="T42" s="30">
        <f t="shared" si="6"/>
        <v>2</v>
      </c>
      <c r="U42" s="6"/>
      <c r="V42" s="6"/>
    </row>
    <row r="43" spans="1:25" x14ac:dyDescent="0.3">
      <c r="A43" t="s">
        <v>994</v>
      </c>
      <c r="B43" t="s">
        <v>1667</v>
      </c>
      <c r="C43" t="s">
        <v>764</v>
      </c>
      <c r="D43" s="1">
        <v>44954.614583333336</v>
      </c>
      <c r="E43" t="s">
        <v>761</v>
      </c>
      <c r="F43" t="s">
        <v>61</v>
      </c>
      <c r="G43">
        <v>25</v>
      </c>
      <c r="H43">
        <v>50</v>
      </c>
      <c r="I43" t="s">
        <v>30</v>
      </c>
      <c r="J43">
        <v>2023</v>
      </c>
      <c r="K43">
        <v>1</v>
      </c>
      <c r="L43">
        <v>28</v>
      </c>
      <c r="M43">
        <v>14</v>
      </c>
      <c r="N43" s="7">
        <f t="shared" si="0"/>
        <v>75</v>
      </c>
      <c r="O43" s="7" t="str">
        <f t="shared" si="3"/>
        <v>Popular</v>
      </c>
      <c r="P43" s="7" t="str">
        <f t="shared" si="1"/>
        <v>No</v>
      </c>
      <c r="Q43" s="7" t="str">
        <f t="shared" si="2"/>
        <v>Wide Reach</v>
      </c>
      <c r="R43" s="7" t="str">
        <f t="shared" si="4"/>
        <v>Afternoon</v>
      </c>
      <c r="S43" s="7" t="str">
        <f t="shared" si="5"/>
        <v>North America</v>
      </c>
      <c r="T43" s="30">
        <f t="shared" si="6"/>
        <v>2</v>
      </c>
      <c r="U43" s="6"/>
      <c r="V43" s="6"/>
    </row>
    <row r="44" spans="1:25" x14ac:dyDescent="0.3">
      <c r="A44" t="s">
        <v>995</v>
      </c>
      <c r="B44" t="s">
        <v>1668</v>
      </c>
      <c r="C44" t="s">
        <v>764</v>
      </c>
      <c r="D44" s="1">
        <v>44954.8125</v>
      </c>
      <c r="E44" t="s">
        <v>763</v>
      </c>
      <c r="F44" t="s">
        <v>62</v>
      </c>
      <c r="G44">
        <v>15</v>
      </c>
      <c r="H44">
        <v>30</v>
      </c>
      <c r="I44" t="s">
        <v>722</v>
      </c>
      <c r="J44">
        <v>2023</v>
      </c>
      <c r="K44">
        <v>1</v>
      </c>
      <c r="L44">
        <v>28</v>
      </c>
      <c r="M44">
        <v>19</v>
      </c>
      <c r="N44" s="7">
        <f t="shared" si="0"/>
        <v>45</v>
      </c>
      <c r="O44" s="7" t="str">
        <f t="shared" si="3"/>
        <v>Normal</v>
      </c>
      <c r="P44" s="7" t="str">
        <f t="shared" si="1"/>
        <v>No</v>
      </c>
      <c r="Q44" s="7" t="str">
        <f t="shared" si="2"/>
        <v>Standard</v>
      </c>
      <c r="R44" s="7" t="str">
        <f t="shared" si="4"/>
        <v>Evening</v>
      </c>
      <c r="S44" s="7" t="str">
        <f t="shared" si="5"/>
        <v>Europe</v>
      </c>
      <c r="T44" s="30">
        <f t="shared" si="6"/>
        <v>2</v>
      </c>
      <c r="U44" s="6"/>
      <c r="V44" s="6"/>
    </row>
    <row r="45" spans="1:25" x14ac:dyDescent="0.3">
      <c r="A45" t="s">
        <v>996</v>
      </c>
      <c r="B45" t="s">
        <v>1669</v>
      </c>
      <c r="C45" t="s">
        <v>764</v>
      </c>
      <c r="D45" s="1">
        <v>44955.708333333336</v>
      </c>
      <c r="E45" t="s">
        <v>762</v>
      </c>
      <c r="F45" t="s">
        <v>63</v>
      </c>
      <c r="G45">
        <v>22</v>
      </c>
      <c r="H45">
        <v>45</v>
      </c>
      <c r="I45" t="s">
        <v>732</v>
      </c>
      <c r="J45">
        <v>2023</v>
      </c>
      <c r="K45">
        <v>1</v>
      </c>
      <c r="L45">
        <v>29</v>
      </c>
      <c r="M45">
        <v>17</v>
      </c>
      <c r="N45" s="7">
        <f t="shared" si="0"/>
        <v>67</v>
      </c>
      <c r="O45" s="7" t="str">
        <f t="shared" si="3"/>
        <v>Popular</v>
      </c>
      <c r="P45" s="7" t="str">
        <f t="shared" si="1"/>
        <v>No</v>
      </c>
      <c r="Q45" s="7" t="str">
        <f t="shared" si="2"/>
        <v>Wide Reach</v>
      </c>
      <c r="R45" s="7" t="str">
        <f t="shared" si="4"/>
        <v>Afternoon</v>
      </c>
      <c r="S45" s="7" t="str">
        <f t="shared" si="5"/>
        <v>Asia</v>
      </c>
      <c r="T45" s="30">
        <f t="shared" si="6"/>
        <v>2.0454545454545454</v>
      </c>
      <c r="U45" s="6"/>
      <c r="V45" s="6"/>
    </row>
    <row r="46" spans="1:25" x14ac:dyDescent="0.3">
      <c r="A46" t="s">
        <v>997</v>
      </c>
      <c r="B46" t="s">
        <v>1670</v>
      </c>
      <c r="C46" t="s">
        <v>764</v>
      </c>
      <c r="D46" s="1">
        <v>44955.847222222219</v>
      </c>
      <c r="E46" t="s">
        <v>761</v>
      </c>
      <c r="F46" t="s">
        <v>64</v>
      </c>
      <c r="G46">
        <v>18</v>
      </c>
      <c r="H46">
        <v>35</v>
      </c>
      <c r="I46" t="s">
        <v>720</v>
      </c>
      <c r="J46">
        <v>2023</v>
      </c>
      <c r="K46">
        <v>1</v>
      </c>
      <c r="L46">
        <v>29</v>
      </c>
      <c r="M46">
        <v>20</v>
      </c>
      <c r="N46" s="7">
        <f t="shared" si="0"/>
        <v>53</v>
      </c>
      <c r="O46" s="7" t="str">
        <f t="shared" si="3"/>
        <v>Normal</v>
      </c>
      <c r="P46" s="7" t="str">
        <f t="shared" si="1"/>
        <v>No</v>
      </c>
      <c r="Q46" s="7" t="str">
        <f t="shared" si="2"/>
        <v>Standard</v>
      </c>
      <c r="R46" s="7" t="str">
        <f t="shared" si="4"/>
        <v>Evening</v>
      </c>
      <c r="S46" s="7" t="str">
        <f t="shared" si="5"/>
        <v>North America</v>
      </c>
      <c r="T46" s="30">
        <f t="shared" si="6"/>
        <v>1.9444444444444444</v>
      </c>
      <c r="U46" s="6"/>
      <c r="V46" s="6"/>
      <c r="W46" s="31" t="s">
        <v>2353</v>
      </c>
      <c r="X46" s="31"/>
    </row>
    <row r="47" spans="1:25" x14ac:dyDescent="0.3">
      <c r="A47" t="s">
        <v>998</v>
      </c>
      <c r="B47" t="s">
        <v>1671</v>
      </c>
      <c r="C47" t="s">
        <v>764</v>
      </c>
      <c r="D47" s="1">
        <v>44956.479166666664</v>
      </c>
      <c r="E47" t="s">
        <v>763</v>
      </c>
      <c r="F47" t="s">
        <v>65</v>
      </c>
      <c r="G47">
        <v>15</v>
      </c>
      <c r="H47">
        <v>30</v>
      </c>
      <c r="I47" t="s">
        <v>30</v>
      </c>
      <c r="J47">
        <v>2023</v>
      </c>
      <c r="K47">
        <v>1</v>
      </c>
      <c r="L47">
        <v>30</v>
      </c>
      <c r="M47">
        <v>11</v>
      </c>
      <c r="N47" s="7">
        <f t="shared" si="0"/>
        <v>45</v>
      </c>
      <c r="O47" s="7" t="str">
        <f t="shared" si="3"/>
        <v>Normal</v>
      </c>
      <c r="P47" s="7" t="str">
        <f t="shared" si="1"/>
        <v>No</v>
      </c>
      <c r="Q47" s="7" t="str">
        <f t="shared" si="2"/>
        <v>Standard</v>
      </c>
      <c r="R47" s="7" t="str">
        <f t="shared" si="4"/>
        <v>Morning</v>
      </c>
      <c r="S47" s="7" t="str">
        <f t="shared" si="5"/>
        <v>North America</v>
      </c>
      <c r="T47" s="30">
        <f t="shared" si="6"/>
        <v>2</v>
      </c>
      <c r="U47" s="6"/>
      <c r="V47" s="6"/>
      <c r="W47" t="s">
        <v>2354</v>
      </c>
      <c r="X47" t="s">
        <v>2359</v>
      </c>
    </row>
    <row r="48" spans="1:25" x14ac:dyDescent="0.3">
      <c r="A48" t="s">
        <v>999</v>
      </c>
      <c r="B48" t="s">
        <v>1672</v>
      </c>
      <c r="C48" t="s">
        <v>764</v>
      </c>
      <c r="D48" s="1">
        <v>44956.65625</v>
      </c>
      <c r="E48" t="s">
        <v>762</v>
      </c>
      <c r="F48" t="s">
        <v>66</v>
      </c>
      <c r="G48">
        <v>12</v>
      </c>
      <c r="H48">
        <v>25</v>
      </c>
      <c r="I48" t="s">
        <v>722</v>
      </c>
      <c r="J48">
        <v>2023</v>
      </c>
      <c r="K48">
        <v>1</v>
      </c>
      <c r="L48">
        <v>30</v>
      </c>
      <c r="M48">
        <v>15</v>
      </c>
      <c r="N48" s="7">
        <f t="shared" si="0"/>
        <v>37</v>
      </c>
      <c r="O48" s="7" t="str">
        <f t="shared" si="3"/>
        <v>Normal</v>
      </c>
      <c r="P48" s="7" t="str">
        <f t="shared" si="1"/>
        <v>No</v>
      </c>
      <c r="Q48" s="7" t="str">
        <f t="shared" si="2"/>
        <v>Standard</v>
      </c>
      <c r="R48" s="7" t="str">
        <f t="shared" si="4"/>
        <v>Afternoon</v>
      </c>
      <c r="S48" s="7" t="str">
        <f t="shared" si="5"/>
        <v>Europe</v>
      </c>
      <c r="T48" s="30">
        <f t="shared" si="6"/>
        <v>2.0833333333333335</v>
      </c>
      <c r="U48" s="6"/>
      <c r="V48" s="6"/>
      <c r="W48" t="s">
        <v>2355</v>
      </c>
      <c r="X48" s="4">
        <f>CORREL(G2:G734, H2:H734)</f>
        <v>0.99848211191769021</v>
      </c>
    </row>
    <row r="49" spans="1:24" x14ac:dyDescent="0.3">
      <c r="A49" t="s">
        <v>1000</v>
      </c>
      <c r="B49" t="s">
        <v>1673</v>
      </c>
      <c r="C49" t="s">
        <v>764</v>
      </c>
      <c r="D49" s="1">
        <v>44956.770833333336</v>
      </c>
      <c r="E49" t="s">
        <v>761</v>
      </c>
      <c r="F49" t="s">
        <v>67</v>
      </c>
      <c r="G49">
        <v>28</v>
      </c>
      <c r="H49">
        <v>55</v>
      </c>
      <c r="I49" t="s">
        <v>732</v>
      </c>
      <c r="J49">
        <v>2023</v>
      </c>
      <c r="K49">
        <v>1</v>
      </c>
      <c r="L49">
        <v>30</v>
      </c>
      <c r="M49">
        <v>18</v>
      </c>
      <c r="N49" s="7">
        <f t="shared" si="0"/>
        <v>83</v>
      </c>
      <c r="O49" s="7" t="str">
        <f t="shared" si="3"/>
        <v>Popular</v>
      </c>
      <c r="P49" s="7" t="str">
        <f t="shared" si="1"/>
        <v>Yes</v>
      </c>
      <c r="Q49" s="7" t="str">
        <f t="shared" si="2"/>
        <v>Wide Reach</v>
      </c>
      <c r="R49" s="7" t="str">
        <f t="shared" si="4"/>
        <v>Evening</v>
      </c>
      <c r="S49" s="7" t="str">
        <f t="shared" si="5"/>
        <v>Asia</v>
      </c>
      <c r="T49" s="30">
        <f t="shared" si="6"/>
        <v>1.9642857142857142</v>
      </c>
      <c r="U49" s="6"/>
      <c r="V49" s="6"/>
      <c r="W49" t="s">
        <v>2356</v>
      </c>
      <c r="X49" s="5">
        <f>_xlfn.COVARIANCE.S(G2:G734,H2:H734)</f>
        <v>99.341436612769343</v>
      </c>
    </row>
    <row r="50" spans="1:24" x14ac:dyDescent="0.3">
      <c r="A50" t="s">
        <v>1001</v>
      </c>
      <c r="B50" t="s">
        <v>1674</v>
      </c>
      <c r="C50" t="s">
        <v>764</v>
      </c>
      <c r="D50" s="1">
        <v>44957.447916666664</v>
      </c>
      <c r="E50" t="s">
        <v>763</v>
      </c>
      <c r="F50" t="s">
        <v>68</v>
      </c>
      <c r="G50">
        <v>15</v>
      </c>
      <c r="H50">
        <v>30</v>
      </c>
      <c r="I50" t="s">
        <v>731</v>
      </c>
      <c r="J50">
        <v>2023</v>
      </c>
      <c r="K50">
        <v>1</v>
      </c>
      <c r="L50">
        <v>31</v>
      </c>
      <c r="M50">
        <v>10</v>
      </c>
      <c r="N50" s="7">
        <f t="shared" si="0"/>
        <v>45</v>
      </c>
      <c r="O50" s="7" t="str">
        <f t="shared" si="3"/>
        <v>Normal</v>
      </c>
      <c r="P50" s="7" t="str">
        <f t="shared" si="1"/>
        <v>No</v>
      </c>
      <c r="Q50" s="7" t="str">
        <f t="shared" si="2"/>
        <v>Standard</v>
      </c>
      <c r="R50" s="7" t="str">
        <f t="shared" si="4"/>
        <v>Morning</v>
      </c>
      <c r="S50" s="7" t="str">
        <f t="shared" si="5"/>
        <v>Oceania</v>
      </c>
      <c r="T50" s="30">
        <f t="shared" si="6"/>
        <v>2</v>
      </c>
      <c r="U50" s="6"/>
      <c r="V50" s="6"/>
    </row>
    <row r="51" spans="1:24" x14ac:dyDescent="0.3">
      <c r="A51" t="s">
        <v>1002</v>
      </c>
      <c r="B51" t="s">
        <v>1675</v>
      </c>
      <c r="C51" t="s">
        <v>764</v>
      </c>
      <c r="D51" s="1">
        <v>44957.791666666664</v>
      </c>
      <c r="E51" t="s">
        <v>762</v>
      </c>
      <c r="F51" t="s">
        <v>69</v>
      </c>
      <c r="G51">
        <v>20</v>
      </c>
      <c r="H51">
        <v>40</v>
      </c>
      <c r="I51" t="s">
        <v>30</v>
      </c>
      <c r="J51">
        <v>2023</v>
      </c>
      <c r="K51">
        <v>1</v>
      </c>
      <c r="L51">
        <v>31</v>
      </c>
      <c r="M51">
        <v>19</v>
      </c>
      <c r="N51" s="7">
        <f t="shared" si="0"/>
        <v>60</v>
      </c>
      <c r="O51" s="7" t="str">
        <f t="shared" si="3"/>
        <v>Normal</v>
      </c>
      <c r="P51" s="7" t="str">
        <f t="shared" si="1"/>
        <v>No</v>
      </c>
      <c r="Q51" s="7" t="str">
        <f t="shared" si="2"/>
        <v>Standard</v>
      </c>
      <c r="R51" s="7" t="str">
        <f t="shared" si="4"/>
        <v>Evening</v>
      </c>
      <c r="S51" s="7" t="str">
        <f t="shared" si="5"/>
        <v>North America</v>
      </c>
      <c r="T51" s="30">
        <f t="shared" si="6"/>
        <v>2</v>
      </c>
      <c r="U51" s="6"/>
      <c r="V51" s="6"/>
    </row>
    <row r="52" spans="1:24" x14ac:dyDescent="0.3">
      <c r="A52" t="s">
        <v>1003</v>
      </c>
      <c r="B52" t="s">
        <v>1676</v>
      </c>
      <c r="C52" t="s">
        <v>764</v>
      </c>
      <c r="D52" s="1">
        <v>44957.680555555555</v>
      </c>
      <c r="E52" t="s">
        <v>761</v>
      </c>
      <c r="F52" t="s">
        <v>70</v>
      </c>
      <c r="G52">
        <v>15</v>
      </c>
      <c r="H52">
        <v>30</v>
      </c>
      <c r="I52" t="s">
        <v>720</v>
      </c>
      <c r="J52">
        <v>2023</v>
      </c>
      <c r="K52">
        <v>1</v>
      </c>
      <c r="L52">
        <v>31</v>
      </c>
      <c r="M52">
        <v>16</v>
      </c>
      <c r="N52" s="7">
        <f t="shared" si="0"/>
        <v>45</v>
      </c>
      <c r="O52" s="7" t="str">
        <f t="shared" si="3"/>
        <v>Normal</v>
      </c>
      <c r="P52" s="7" t="str">
        <f t="shared" si="1"/>
        <v>No</v>
      </c>
      <c r="Q52" s="7" t="str">
        <f t="shared" si="2"/>
        <v>Standard</v>
      </c>
      <c r="R52" s="7" t="str">
        <f t="shared" si="4"/>
        <v>Afternoon</v>
      </c>
      <c r="S52" s="7" t="str">
        <f t="shared" si="5"/>
        <v>North America</v>
      </c>
      <c r="T52" s="30">
        <f t="shared" si="6"/>
        <v>2</v>
      </c>
      <c r="U52" s="6"/>
      <c r="V52" s="6"/>
    </row>
    <row r="53" spans="1:24" x14ac:dyDescent="0.3">
      <c r="A53" t="s">
        <v>1004</v>
      </c>
      <c r="B53" t="s">
        <v>1677</v>
      </c>
      <c r="C53" t="s">
        <v>764</v>
      </c>
      <c r="D53" s="1">
        <v>44958.333333333336</v>
      </c>
      <c r="E53" t="s">
        <v>763</v>
      </c>
      <c r="F53" t="s">
        <v>71</v>
      </c>
      <c r="G53">
        <v>22</v>
      </c>
      <c r="H53">
        <v>45</v>
      </c>
      <c r="I53" t="s">
        <v>722</v>
      </c>
      <c r="J53">
        <v>2023</v>
      </c>
      <c r="K53">
        <v>2</v>
      </c>
      <c r="L53">
        <v>1</v>
      </c>
      <c r="M53">
        <v>8</v>
      </c>
      <c r="N53" s="7">
        <f t="shared" si="0"/>
        <v>67</v>
      </c>
      <c r="O53" s="7" t="str">
        <f t="shared" si="3"/>
        <v>Popular</v>
      </c>
      <c r="P53" s="7" t="str">
        <f t="shared" si="1"/>
        <v>No</v>
      </c>
      <c r="Q53" s="7" t="str">
        <f t="shared" si="2"/>
        <v>Wide Reach</v>
      </c>
      <c r="R53" s="7" t="str">
        <f t="shared" si="4"/>
        <v>Morning</v>
      </c>
      <c r="S53" s="7" t="str">
        <f t="shared" si="5"/>
        <v>Europe</v>
      </c>
      <c r="T53" s="30">
        <f t="shared" si="6"/>
        <v>2.0454545454545454</v>
      </c>
      <c r="U53" s="6"/>
      <c r="V53" s="6"/>
    </row>
    <row r="54" spans="1:24" x14ac:dyDescent="0.3">
      <c r="A54" t="s">
        <v>1005</v>
      </c>
      <c r="B54" t="s">
        <v>1678</v>
      </c>
      <c r="C54" t="s">
        <v>764</v>
      </c>
      <c r="D54" s="1">
        <v>44958.5625</v>
      </c>
      <c r="E54" t="s">
        <v>762</v>
      </c>
      <c r="F54" t="s">
        <v>72</v>
      </c>
      <c r="G54">
        <v>18</v>
      </c>
      <c r="H54">
        <v>35</v>
      </c>
      <c r="I54" t="s">
        <v>30</v>
      </c>
      <c r="J54">
        <v>2023</v>
      </c>
      <c r="K54">
        <v>2</v>
      </c>
      <c r="L54">
        <v>1</v>
      </c>
      <c r="M54">
        <v>13</v>
      </c>
      <c r="N54" s="7">
        <f t="shared" si="0"/>
        <v>53</v>
      </c>
      <c r="O54" s="7" t="str">
        <f t="shared" si="3"/>
        <v>Normal</v>
      </c>
      <c r="P54" s="7" t="str">
        <f t="shared" si="1"/>
        <v>No</v>
      </c>
      <c r="Q54" s="7" t="str">
        <f t="shared" si="2"/>
        <v>Standard</v>
      </c>
      <c r="R54" s="7" t="str">
        <f t="shared" si="4"/>
        <v>Afternoon</v>
      </c>
      <c r="S54" s="7" t="str">
        <f t="shared" si="5"/>
        <v>North America</v>
      </c>
      <c r="T54" s="30">
        <f t="shared" si="6"/>
        <v>1.9444444444444444</v>
      </c>
      <c r="U54" s="6"/>
      <c r="V54" s="6"/>
    </row>
    <row r="55" spans="1:24" x14ac:dyDescent="0.3">
      <c r="A55" t="s">
        <v>1006</v>
      </c>
      <c r="B55" t="s">
        <v>1679</v>
      </c>
      <c r="C55" t="s">
        <v>767</v>
      </c>
      <c r="D55" s="1">
        <v>44968.395833333336</v>
      </c>
      <c r="E55" t="s">
        <v>761</v>
      </c>
      <c r="F55" t="s">
        <v>73</v>
      </c>
      <c r="G55">
        <v>20</v>
      </c>
      <c r="H55">
        <v>40</v>
      </c>
      <c r="I55" t="s">
        <v>720</v>
      </c>
      <c r="J55">
        <v>2023</v>
      </c>
      <c r="K55">
        <v>2</v>
      </c>
      <c r="L55">
        <v>11</v>
      </c>
      <c r="M55">
        <v>9</v>
      </c>
      <c r="N55" s="7">
        <f t="shared" si="0"/>
        <v>60</v>
      </c>
      <c r="O55" s="7" t="str">
        <f t="shared" si="3"/>
        <v>Normal</v>
      </c>
      <c r="P55" s="7" t="str">
        <f t="shared" si="1"/>
        <v>No</v>
      </c>
      <c r="Q55" s="7" t="str">
        <f t="shared" si="2"/>
        <v>Standard</v>
      </c>
      <c r="R55" s="7" t="str">
        <f t="shared" si="4"/>
        <v>Morning</v>
      </c>
      <c r="S55" s="7" t="str">
        <f t="shared" si="5"/>
        <v>North America</v>
      </c>
      <c r="T55" s="30">
        <f t="shared" si="6"/>
        <v>2</v>
      </c>
      <c r="U55" s="6"/>
      <c r="V55" s="6"/>
    </row>
    <row r="56" spans="1:24" x14ac:dyDescent="0.3">
      <c r="A56" t="s">
        <v>1007</v>
      </c>
      <c r="B56" t="s">
        <v>1680</v>
      </c>
      <c r="C56" t="s">
        <v>768</v>
      </c>
      <c r="D56" s="1">
        <v>44968.885416666664</v>
      </c>
      <c r="E56" t="s">
        <v>762</v>
      </c>
      <c r="F56" t="s">
        <v>74</v>
      </c>
      <c r="G56">
        <v>15</v>
      </c>
      <c r="H56">
        <v>30</v>
      </c>
      <c r="I56" t="s">
        <v>30</v>
      </c>
      <c r="J56">
        <v>2023</v>
      </c>
      <c r="K56">
        <v>2</v>
      </c>
      <c r="L56">
        <v>11</v>
      </c>
      <c r="M56">
        <v>21</v>
      </c>
      <c r="N56" s="7">
        <f t="shared" si="0"/>
        <v>45</v>
      </c>
      <c r="O56" s="7" t="str">
        <f t="shared" si="3"/>
        <v>Normal</v>
      </c>
      <c r="P56" s="7" t="str">
        <f t="shared" si="1"/>
        <v>No</v>
      </c>
      <c r="Q56" s="7" t="str">
        <f t="shared" si="2"/>
        <v>Standard</v>
      </c>
      <c r="R56" s="7" t="str">
        <f t="shared" si="4"/>
        <v>Evening</v>
      </c>
      <c r="S56" s="7" t="str">
        <f t="shared" si="5"/>
        <v>North America</v>
      </c>
      <c r="T56" s="30">
        <f t="shared" si="6"/>
        <v>2</v>
      </c>
      <c r="U56" s="6"/>
      <c r="V56" s="6"/>
    </row>
    <row r="57" spans="1:24" x14ac:dyDescent="0.3">
      <c r="A57" t="s">
        <v>1008</v>
      </c>
      <c r="B57" t="s">
        <v>1681</v>
      </c>
      <c r="C57" t="s">
        <v>769</v>
      </c>
      <c r="D57" s="1">
        <v>44969.614583333336</v>
      </c>
      <c r="E57" t="s">
        <v>763</v>
      </c>
      <c r="F57" t="s">
        <v>75</v>
      </c>
      <c r="G57">
        <v>25</v>
      </c>
      <c r="H57">
        <v>50</v>
      </c>
      <c r="I57" t="s">
        <v>732</v>
      </c>
      <c r="J57">
        <v>2023</v>
      </c>
      <c r="K57">
        <v>2</v>
      </c>
      <c r="L57">
        <v>12</v>
      </c>
      <c r="M57">
        <v>14</v>
      </c>
      <c r="N57" s="7">
        <f t="shared" si="0"/>
        <v>75</v>
      </c>
      <c r="O57" s="7" t="str">
        <f t="shared" si="3"/>
        <v>Popular</v>
      </c>
      <c r="P57" s="7" t="str">
        <f t="shared" si="1"/>
        <v>No</v>
      </c>
      <c r="Q57" s="7" t="str">
        <f t="shared" si="2"/>
        <v>Wide Reach</v>
      </c>
      <c r="R57" s="7" t="str">
        <f t="shared" si="4"/>
        <v>Afternoon</v>
      </c>
      <c r="S57" s="7" t="str">
        <f t="shared" si="5"/>
        <v>Asia</v>
      </c>
      <c r="T57" s="30">
        <f t="shared" si="6"/>
        <v>2</v>
      </c>
      <c r="U57" s="6"/>
      <c r="V57" s="6"/>
    </row>
    <row r="58" spans="1:24" x14ac:dyDescent="0.3">
      <c r="A58" t="s">
        <v>1009</v>
      </c>
      <c r="B58" t="s">
        <v>1682</v>
      </c>
      <c r="C58" t="s">
        <v>770</v>
      </c>
      <c r="D58" s="1">
        <v>44969.763888888891</v>
      </c>
      <c r="E58" t="s">
        <v>761</v>
      </c>
      <c r="F58" t="s">
        <v>76</v>
      </c>
      <c r="G58">
        <v>18</v>
      </c>
      <c r="H58">
        <v>35</v>
      </c>
      <c r="I58" t="s">
        <v>722</v>
      </c>
      <c r="J58">
        <v>2023</v>
      </c>
      <c r="K58">
        <v>2</v>
      </c>
      <c r="L58">
        <v>12</v>
      </c>
      <c r="M58">
        <v>18</v>
      </c>
      <c r="N58" s="7">
        <f t="shared" si="0"/>
        <v>53</v>
      </c>
      <c r="O58" s="7" t="str">
        <f t="shared" si="3"/>
        <v>Normal</v>
      </c>
      <c r="P58" s="7" t="str">
        <f t="shared" si="1"/>
        <v>No</v>
      </c>
      <c r="Q58" s="7" t="str">
        <f t="shared" si="2"/>
        <v>Standard</v>
      </c>
      <c r="R58" s="7" t="str">
        <f t="shared" si="4"/>
        <v>Evening</v>
      </c>
      <c r="S58" s="7" t="str">
        <f t="shared" si="5"/>
        <v>Europe</v>
      </c>
      <c r="T58" s="30">
        <f t="shared" si="6"/>
        <v>1.9444444444444444</v>
      </c>
      <c r="U58" s="6"/>
      <c r="V58" s="6"/>
    </row>
    <row r="59" spans="1:24" x14ac:dyDescent="0.3">
      <c r="A59" t="s">
        <v>1010</v>
      </c>
      <c r="B59" t="s">
        <v>1683</v>
      </c>
      <c r="C59" t="s">
        <v>771</v>
      </c>
      <c r="D59" s="1">
        <v>44970.416666666664</v>
      </c>
      <c r="E59" t="s">
        <v>762</v>
      </c>
      <c r="F59" t="s">
        <v>77</v>
      </c>
      <c r="G59">
        <v>30</v>
      </c>
      <c r="H59">
        <v>60</v>
      </c>
      <c r="I59" t="s">
        <v>30</v>
      </c>
      <c r="J59">
        <v>2023</v>
      </c>
      <c r="K59">
        <v>2</v>
      </c>
      <c r="L59">
        <v>13</v>
      </c>
      <c r="M59">
        <v>10</v>
      </c>
      <c r="N59" s="7">
        <f t="shared" si="0"/>
        <v>90</v>
      </c>
      <c r="O59" s="7" t="str">
        <f t="shared" si="3"/>
        <v>Popular</v>
      </c>
      <c r="P59" s="7" t="str">
        <f t="shared" si="1"/>
        <v>Yes</v>
      </c>
      <c r="Q59" s="7" t="str">
        <f t="shared" si="2"/>
        <v>Wide Reach</v>
      </c>
      <c r="R59" s="7" t="str">
        <f t="shared" si="4"/>
        <v>Morning</v>
      </c>
      <c r="S59" s="7" t="str">
        <f t="shared" si="5"/>
        <v>North America</v>
      </c>
      <c r="T59" s="30">
        <f t="shared" si="6"/>
        <v>2</v>
      </c>
      <c r="U59" s="6"/>
      <c r="V59" s="6"/>
    </row>
    <row r="60" spans="1:24" x14ac:dyDescent="0.3">
      <c r="A60" t="s">
        <v>1011</v>
      </c>
      <c r="B60" t="s">
        <v>1684</v>
      </c>
      <c r="C60" t="s">
        <v>772</v>
      </c>
      <c r="D60" s="1">
        <v>44970.8125</v>
      </c>
      <c r="E60" t="s">
        <v>763</v>
      </c>
      <c r="F60" t="s">
        <v>78</v>
      </c>
      <c r="G60">
        <v>22</v>
      </c>
      <c r="H60">
        <v>45</v>
      </c>
      <c r="I60" t="s">
        <v>720</v>
      </c>
      <c r="J60">
        <v>2023</v>
      </c>
      <c r="K60">
        <v>2</v>
      </c>
      <c r="L60">
        <v>13</v>
      </c>
      <c r="M60">
        <v>19</v>
      </c>
      <c r="N60" s="7">
        <f t="shared" si="0"/>
        <v>67</v>
      </c>
      <c r="O60" s="7" t="str">
        <f t="shared" si="3"/>
        <v>Popular</v>
      </c>
      <c r="P60" s="7" t="str">
        <f t="shared" si="1"/>
        <v>No</v>
      </c>
      <c r="Q60" s="7" t="str">
        <f t="shared" si="2"/>
        <v>Wide Reach</v>
      </c>
      <c r="R60" s="7" t="str">
        <f t="shared" si="4"/>
        <v>Evening</v>
      </c>
      <c r="S60" s="7" t="str">
        <f t="shared" si="5"/>
        <v>North America</v>
      </c>
      <c r="T60" s="30">
        <f t="shared" si="6"/>
        <v>2.0454545454545454</v>
      </c>
      <c r="U60" s="6"/>
      <c r="V60" s="6"/>
    </row>
    <row r="61" spans="1:24" x14ac:dyDescent="0.3">
      <c r="A61" t="s">
        <v>1012</v>
      </c>
      <c r="B61" t="s">
        <v>1685</v>
      </c>
      <c r="C61" t="s">
        <v>773</v>
      </c>
      <c r="D61" s="1">
        <v>44971.354166666664</v>
      </c>
      <c r="E61" t="s">
        <v>761</v>
      </c>
      <c r="F61" t="s">
        <v>79</v>
      </c>
      <c r="G61">
        <v>15</v>
      </c>
      <c r="H61">
        <v>30</v>
      </c>
      <c r="I61" t="s">
        <v>731</v>
      </c>
      <c r="J61">
        <v>2023</v>
      </c>
      <c r="K61">
        <v>2</v>
      </c>
      <c r="L61">
        <v>14</v>
      </c>
      <c r="M61">
        <v>8</v>
      </c>
      <c r="N61" s="7">
        <f t="shared" si="0"/>
        <v>45</v>
      </c>
      <c r="O61" s="7" t="str">
        <f t="shared" si="3"/>
        <v>Normal</v>
      </c>
      <c r="P61" s="7" t="str">
        <f t="shared" si="1"/>
        <v>No</v>
      </c>
      <c r="Q61" s="7" t="str">
        <f t="shared" si="2"/>
        <v>Standard</v>
      </c>
      <c r="R61" s="7" t="str">
        <f t="shared" si="4"/>
        <v>Morning</v>
      </c>
      <c r="S61" s="7" t="str">
        <f t="shared" si="5"/>
        <v>Oceania</v>
      </c>
      <c r="T61" s="30">
        <f t="shared" si="6"/>
        <v>2</v>
      </c>
      <c r="U61" s="6"/>
      <c r="V61" s="6"/>
    </row>
    <row r="62" spans="1:24" x14ac:dyDescent="0.3">
      <c r="A62" t="s">
        <v>1013</v>
      </c>
      <c r="B62" t="s">
        <v>1686</v>
      </c>
      <c r="C62" t="s">
        <v>774</v>
      </c>
      <c r="D62" s="1">
        <v>44971.597222222219</v>
      </c>
      <c r="E62" t="s">
        <v>762</v>
      </c>
      <c r="F62" t="s">
        <v>80</v>
      </c>
      <c r="G62">
        <v>18</v>
      </c>
      <c r="H62">
        <v>35</v>
      </c>
      <c r="I62" t="s">
        <v>722</v>
      </c>
      <c r="J62">
        <v>2023</v>
      </c>
      <c r="K62">
        <v>2</v>
      </c>
      <c r="L62">
        <v>14</v>
      </c>
      <c r="M62">
        <v>14</v>
      </c>
      <c r="N62" s="7">
        <f t="shared" si="0"/>
        <v>53</v>
      </c>
      <c r="O62" s="7" t="str">
        <f t="shared" si="3"/>
        <v>Normal</v>
      </c>
      <c r="P62" s="7" t="str">
        <f t="shared" si="1"/>
        <v>No</v>
      </c>
      <c r="Q62" s="7" t="str">
        <f t="shared" si="2"/>
        <v>Standard</v>
      </c>
      <c r="R62" s="7" t="str">
        <f t="shared" si="4"/>
        <v>Afternoon</v>
      </c>
      <c r="S62" s="7" t="str">
        <f t="shared" si="5"/>
        <v>Europe</v>
      </c>
      <c r="T62" s="30">
        <f t="shared" si="6"/>
        <v>1.9444444444444444</v>
      </c>
      <c r="U62" s="6"/>
      <c r="V62" s="6"/>
    </row>
    <row r="63" spans="1:24" x14ac:dyDescent="0.3">
      <c r="A63" t="s">
        <v>1014</v>
      </c>
      <c r="B63" t="s">
        <v>1687</v>
      </c>
      <c r="C63" t="s">
        <v>775</v>
      </c>
      <c r="D63" s="1">
        <v>44971.822916666664</v>
      </c>
      <c r="E63" t="s">
        <v>763</v>
      </c>
      <c r="F63" t="s">
        <v>81</v>
      </c>
      <c r="G63">
        <v>25</v>
      </c>
      <c r="H63">
        <v>50</v>
      </c>
      <c r="I63" t="s">
        <v>720</v>
      </c>
      <c r="J63">
        <v>2023</v>
      </c>
      <c r="K63">
        <v>2</v>
      </c>
      <c r="L63">
        <v>14</v>
      </c>
      <c r="M63">
        <v>19</v>
      </c>
      <c r="N63" s="7">
        <f t="shared" si="0"/>
        <v>75</v>
      </c>
      <c r="O63" s="7" t="str">
        <f t="shared" si="3"/>
        <v>Popular</v>
      </c>
      <c r="P63" s="7" t="str">
        <f t="shared" si="1"/>
        <v>No</v>
      </c>
      <c r="Q63" s="7" t="str">
        <f t="shared" si="2"/>
        <v>Wide Reach</v>
      </c>
      <c r="R63" s="7" t="str">
        <f t="shared" si="4"/>
        <v>Evening</v>
      </c>
      <c r="S63" s="7" t="str">
        <f t="shared" si="5"/>
        <v>North America</v>
      </c>
      <c r="T63" s="30">
        <f t="shared" si="6"/>
        <v>2</v>
      </c>
      <c r="U63" s="6"/>
      <c r="V63" s="6"/>
    </row>
    <row r="64" spans="1:24" x14ac:dyDescent="0.3">
      <c r="A64" t="s">
        <v>1015</v>
      </c>
      <c r="B64" t="s">
        <v>1688</v>
      </c>
      <c r="C64" t="s">
        <v>776</v>
      </c>
      <c r="D64" s="1">
        <v>44972.479166666664</v>
      </c>
      <c r="E64" t="s">
        <v>761</v>
      </c>
      <c r="F64" t="s">
        <v>82</v>
      </c>
      <c r="G64">
        <v>20</v>
      </c>
      <c r="H64">
        <v>40</v>
      </c>
      <c r="I64" t="s">
        <v>30</v>
      </c>
      <c r="J64">
        <v>2023</v>
      </c>
      <c r="K64">
        <v>2</v>
      </c>
      <c r="L64">
        <v>15</v>
      </c>
      <c r="M64">
        <v>11</v>
      </c>
      <c r="N64" s="7">
        <f t="shared" si="0"/>
        <v>60</v>
      </c>
      <c r="O64" s="7" t="str">
        <f t="shared" si="3"/>
        <v>Normal</v>
      </c>
      <c r="P64" s="7" t="str">
        <f t="shared" si="1"/>
        <v>No</v>
      </c>
      <c r="Q64" s="7" t="str">
        <f t="shared" si="2"/>
        <v>Standard</v>
      </c>
      <c r="R64" s="7" t="str">
        <f t="shared" si="4"/>
        <v>Morning</v>
      </c>
      <c r="S64" s="7" t="str">
        <f t="shared" si="5"/>
        <v>North America</v>
      </c>
      <c r="T64" s="30">
        <f t="shared" si="6"/>
        <v>2</v>
      </c>
      <c r="U64" s="6"/>
      <c r="V64" s="6"/>
    </row>
    <row r="65" spans="1:22" x14ac:dyDescent="0.3">
      <c r="A65" t="s">
        <v>1016</v>
      </c>
      <c r="B65" t="s">
        <v>1689</v>
      </c>
      <c r="C65" t="s">
        <v>777</v>
      </c>
      <c r="D65" s="1">
        <v>44972.666666666664</v>
      </c>
      <c r="E65" t="s">
        <v>762</v>
      </c>
      <c r="F65" t="s">
        <v>83</v>
      </c>
      <c r="G65">
        <v>15</v>
      </c>
      <c r="H65">
        <v>30</v>
      </c>
      <c r="I65" t="s">
        <v>30</v>
      </c>
      <c r="J65">
        <v>2023</v>
      </c>
      <c r="K65">
        <v>2</v>
      </c>
      <c r="L65">
        <v>15</v>
      </c>
      <c r="M65">
        <v>16</v>
      </c>
      <c r="N65" s="7">
        <f t="shared" si="0"/>
        <v>45</v>
      </c>
      <c r="O65" s="7" t="str">
        <f t="shared" si="3"/>
        <v>Normal</v>
      </c>
      <c r="P65" s="7" t="str">
        <f t="shared" si="1"/>
        <v>No</v>
      </c>
      <c r="Q65" s="7" t="str">
        <f t="shared" si="2"/>
        <v>Standard</v>
      </c>
      <c r="R65" s="7" t="str">
        <f t="shared" si="4"/>
        <v>Afternoon</v>
      </c>
      <c r="S65" s="7" t="str">
        <f t="shared" si="5"/>
        <v>North America</v>
      </c>
      <c r="T65" s="30">
        <f t="shared" si="6"/>
        <v>2</v>
      </c>
      <c r="U65" s="6"/>
      <c r="V65" s="6"/>
    </row>
    <row r="66" spans="1:22" x14ac:dyDescent="0.3">
      <c r="A66" t="s">
        <v>1017</v>
      </c>
      <c r="B66" t="s">
        <v>1690</v>
      </c>
      <c r="C66" t="s">
        <v>778</v>
      </c>
      <c r="D66" s="1">
        <v>44972.854166666664</v>
      </c>
      <c r="E66" t="s">
        <v>763</v>
      </c>
      <c r="F66" t="s">
        <v>84</v>
      </c>
      <c r="G66">
        <v>22</v>
      </c>
      <c r="H66">
        <v>45</v>
      </c>
      <c r="I66" t="s">
        <v>731</v>
      </c>
      <c r="J66">
        <v>2023</v>
      </c>
      <c r="K66">
        <v>2</v>
      </c>
      <c r="L66">
        <v>15</v>
      </c>
      <c r="M66">
        <v>20</v>
      </c>
      <c r="N66" s="7">
        <f t="shared" si="0"/>
        <v>67</v>
      </c>
      <c r="O66" s="7" t="str">
        <f t="shared" si="3"/>
        <v>Popular</v>
      </c>
      <c r="P66" s="7" t="str">
        <f t="shared" si="1"/>
        <v>No</v>
      </c>
      <c r="Q66" s="7" t="str">
        <f t="shared" si="2"/>
        <v>Wide Reach</v>
      </c>
      <c r="R66" s="7" t="str">
        <f t="shared" si="4"/>
        <v>Evening</v>
      </c>
      <c r="S66" s="7" t="str">
        <f t="shared" si="5"/>
        <v>Oceania</v>
      </c>
      <c r="T66" s="30">
        <f t="shared" si="6"/>
        <v>2.0454545454545454</v>
      </c>
      <c r="U66" s="6"/>
      <c r="V66" s="6"/>
    </row>
    <row r="67" spans="1:22" x14ac:dyDescent="0.3">
      <c r="A67" t="s">
        <v>1018</v>
      </c>
      <c r="B67" t="s">
        <v>1691</v>
      </c>
      <c r="C67" t="s">
        <v>779</v>
      </c>
      <c r="D67" s="1">
        <v>44973.375</v>
      </c>
      <c r="E67" t="s">
        <v>761</v>
      </c>
      <c r="F67" t="s">
        <v>85</v>
      </c>
      <c r="G67">
        <v>18</v>
      </c>
      <c r="H67">
        <v>35</v>
      </c>
      <c r="I67" t="s">
        <v>732</v>
      </c>
      <c r="J67">
        <v>2023</v>
      </c>
      <c r="K67">
        <v>2</v>
      </c>
      <c r="L67">
        <v>16</v>
      </c>
      <c r="M67">
        <v>9</v>
      </c>
      <c r="N67" s="7">
        <f t="shared" ref="N67:N130" si="7">SUM(G67,H67)</f>
        <v>53</v>
      </c>
      <c r="O67" s="7" t="str">
        <f t="shared" si="3"/>
        <v>Normal</v>
      </c>
      <c r="P67" s="7" t="str">
        <f t="shared" ref="P67:P130" si="8">IF(AND(G67&gt;25, H67&gt;50), "Yes", "No")</f>
        <v>No</v>
      </c>
      <c r="Q67" s="7" t="str">
        <f t="shared" ref="Q67:Q130" si="9">IF(OR(H67&gt;40,G67&gt;20),"Wide Reach","Standard")</f>
        <v>Standard</v>
      </c>
      <c r="R67" s="7" t="str">
        <f t="shared" si="4"/>
        <v>Morning</v>
      </c>
      <c r="S67" s="7" t="str">
        <f t="shared" si="5"/>
        <v>Asia</v>
      </c>
      <c r="T67" s="30">
        <f t="shared" si="6"/>
        <v>1.9444444444444444</v>
      </c>
      <c r="U67" s="6"/>
      <c r="V67" s="6"/>
    </row>
    <row r="68" spans="1:22" x14ac:dyDescent="0.3">
      <c r="A68" t="s">
        <v>1019</v>
      </c>
      <c r="B68" t="s">
        <v>1692</v>
      </c>
      <c r="C68" t="s">
        <v>780</v>
      </c>
      <c r="D68" s="1">
        <v>44973.614583333336</v>
      </c>
      <c r="E68" t="s">
        <v>762</v>
      </c>
      <c r="F68" t="s">
        <v>86</v>
      </c>
      <c r="G68">
        <v>25</v>
      </c>
      <c r="H68">
        <v>50</v>
      </c>
      <c r="I68" t="s">
        <v>30</v>
      </c>
      <c r="J68">
        <v>2023</v>
      </c>
      <c r="K68">
        <v>2</v>
      </c>
      <c r="L68">
        <v>16</v>
      </c>
      <c r="M68">
        <v>14</v>
      </c>
      <c r="N68" s="7">
        <f t="shared" si="7"/>
        <v>75</v>
      </c>
      <c r="O68" s="7" t="str">
        <f t="shared" ref="O68:O131" si="10">IF(N68&gt;60, "Popular", "Normal")</f>
        <v>Popular</v>
      </c>
      <c r="P68" s="7" t="str">
        <f t="shared" si="8"/>
        <v>No</v>
      </c>
      <c r="Q68" s="7" t="str">
        <f t="shared" si="9"/>
        <v>Wide Reach</v>
      </c>
      <c r="R68" s="7" t="str">
        <f t="shared" ref="R68:R131" si="11">IF(M68&gt;17,"Evening",IF(M68&gt;11,"Afternoon",IF(M68&gt;5,"Morning","Night")))</f>
        <v>Afternoon</v>
      </c>
      <c r="S68" s="7" t="str">
        <f t="shared" ref="S68:S131" si="12">_xlfn.SWITCH(I68,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68" s="30">
        <f t="shared" ref="T68:T131" si="13">IFERROR(H68/G68,"Error")</f>
        <v>2</v>
      </c>
      <c r="U68" s="6"/>
      <c r="V68" s="6"/>
    </row>
    <row r="69" spans="1:22" x14ac:dyDescent="0.3">
      <c r="A69" t="s">
        <v>1020</v>
      </c>
      <c r="B69" t="s">
        <v>1693</v>
      </c>
      <c r="C69" t="s">
        <v>781</v>
      </c>
      <c r="D69" s="1">
        <v>44973.763888888891</v>
      </c>
      <c r="E69" t="s">
        <v>763</v>
      </c>
      <c r="F69" t="s">
        <v>87</v>
      </c>
      <c r="G69">
        <v>15</v>
      </c>
      <c r="H69">
        <v>30</v>
      </c>
      <c r="I69" t="s">
        <v>720</v>
      </c>
      <c r="J69">
        <v>2023</v>
      </c>
      <c r="K69">
        <v>2</v>
      </c>
      <c r="L69">
        <v>16</v>
      </c>
      <c r="M69">
        <v>18</v>
      </c>
      <c r="N69" s="7">
        <f t="shared" si="7"/>
        <v>45</v>
      </c>
      <c r="O69" s="7" t="str">
        <f t="shared" si="10"/>
        <v>Normal</v>
      </c>
      <c r="P69" s="7" t="str">
        <f t="shared" si="8"/>
        <v>No</v>
      </c>
      <c r="Q69" s="7" t="str">
        <f t="shared" si="9"/>
        <v>Standard</v>
      </c>
      <c r="R69" s="7" t="str">
        <f t="shared" si="11"/>
        <v>Evening</v>
      </c>
      <c r="S69" s="7" t="str">
        <f t="shared" si="12"/>
        <v>North America</v>
      </c>
      <c r="T69" s="30">
        <f t="shared" si="13"/>
        <v>2</v>
      </c>
      <c r="U69" s="6"/>
      <c r="V69" s="6"/>
    </row>
    <row r="70" spans="1:22" x14ac:dyDescent="0.3">
      <c r="A70" t="s">
        <v>1021</v>
      </c>
      <c r="B70" t="s">
        <v>1694</v>
      </c>
      <c r="C70" t="s">
        <v>782</v>
      </c>
      <c r="D70" s="1">
        <v>44974.447916666664</v>
      </c>
      <c r="E70" t="s">
        <v>761</v>
      </c>
      <c r="F70" t="s">
        <v>88</v>
      </c>
      <c r="G70">
        <v>22</v>
      </c>
      <c r="H70">
        <v>45</v>
      </c>
      <c r="I70" t="s">
        <v>722</v>
      </c>
      <c r="J70">
        <v>2023</v>
      </c>
      <c r="K70">
        <v>2</v>
      </c>
      <c r="L70">
        <v>17</v>
      </c>
      <c r="M70">
        <v>10</v>
      </c>
      <c r="N70" s="7">
        <f t="shared" si="7"/>
        <v>67</v>
      </c>
      <c r="O70" s="7" t="str">
        <f t="shared" si="10"/>
        <v>Popular</v>
      </c>
      <c r="P70" s="7" t="str">
        <f t="shared" si="8"/>
        <v>No</v>
      </c>
      <c r="Q70" s="7" t="str">
        <f t="shared" si="9"/>
        <v>Wide Reach</v>
      </c>
      <c r="R70" s="7" t="str">
        <f t="shared" si="11"/>
        <v>Morning</v>
      </c>
      <c r="S70" s="7" t="str">
        <f t="shared" si="12"/>
        <v>Europe</v>
      </c>
      <c r="T70" s="30">
        <f t="shared" si="13"/>
        <v>2.0454545454545454</v>
      </c>
      <c r="U70" s="6"/>
      <c r="V70" s="6"/>
    </row>
    <row r="71" spans="1:22" x14ac:dyDescent="0.3">
      <c r="A71" t="s">
        <v>1022</v>
      </c>
      <c r="B71" t="s">
        <v>1695</v>
      </c>
      <c r="C71" t="s">
        <v>783</v>
      </c>
      <c r="D71" s="1">
        <v>44974.3125</v>
      </c>
      <c r="E71" t="s">
        <v>762</v>
      </c>
      <c r="F71" t="s">
        <v>89</v>
      </c>
      <c r="G71">
        <v>20</v>
      </c>
      <c r="H71">
        <v>40</v>
      </c>
      <c r="I71" t="s">
        <v>30</v>
      </c>
      <c r="J71">
        <v>2023</v>
      </c>
      <c r="K71">
        <v>2</v>
      </c>
      <c r="L71">
        <v>17</v>
      </c>
      <c r="M71">
        <v>7</v>
      </c>
      <c r="N71" s="7">
        <f t="shared" si="7"/>
        <v>60</v>
      </c>
      <c r="O71" s="7" t="str">
        <f t="shared" si="10"/>
        <v>Normal</v>
      </c>
      <c r="P71" s="7" t="str">
        <f t="shared" si="8"/>
        <v>No</v>
      </c>
      <c r="Q71" s="7" t="str">
        <f t="shared" si="9"/>
        <v>Standard</v>
      </c>
      <c r="R71" s="7" t="str">
        <f t="shared" si="11"/>
        <v>Morning</v>
      </c>
      <c r="S71" s="7" t="str">
        <f t="shared" si="12"/>
        <v>North America</v>
      </c>
      <c r="T71" s="30">
        <f t="shared" si="13"/>
        <v>2</v>
      </c>
      <c r="U71" s="6"/>
      <c r="V71" s="6"/>
    </row>
    <row r="72" spans="1:22" x14ac:dyDescent="0.3">
      <c r="A72" t="s">
        <v>1023</v>
      </c>
      <c r="B72" t="s">
        <v>1696</v>
      </c>
      <c r="C72" t="s">
        <v>784</v>
      </c>
      <c r="D72" s="1">
        <v>44974.625</v>
      </c>
      <c r="E72" t="s">
        <v>763</v>
      </c>
      <c r="F72" t="s">
        <v>90</v>
      </c>
      <c r="G72">
        <v>18</v>
      </c>
      <c r="H72">
        <v>35</v>
      </c>
      <c r="I72" t="s">
        <v>30</v>
      </c>
      <c r="J72">
        <v>2023</v>
      </c>
      <c r="K72">
        <v>2</v>
      </c>
      <c r="L72">
        <v>17</v>
      </c>
      <c r="M72">
        <v>15</v>
      </c>
      <c r="N72" s="7">
        <f t="shared" si="7"/>
        <v>53</v>
      </c>
      <c r="O72" s="7" t="str">
        <f t="shared" si="10"/>
        <v>Normal</v>
      </c>
      <c r="P72" s="7" t="str">
        <f t="shared" si="8"/>
        <v>No</v>
      </c>
      <c r="Q72" s="7" t="str">
        <f t="shared" si="9"/>
        <v>Standard</v>
      </c>
      <c r="R72" s="7" t="str">
        <f t="shared" si="11"/>
        <v>Afternoon</v>
      </c>
      <c r="S72" s="7" t="str">
        <f t="shared" si="12"/>
        <v>North America</v>
      </c>
      <c r="T72" s="30">
        <f t="shared" si="13"/>
        <v>1.9444444444444444</v>
      </c>
      <c r="U72" s="6"/>
      <c r="V72" s="6"/>
    </row>
    <row r="73" spans="1:22" x14ac:dyDescent="0.3">
      <c r="A73" t="s">
        <v>1024</v>
      </c>
      <c r="B73" t="s">
        <v>1697</v>
      </c>
      <c r="C73" t="s">
        <v>785</v>
      </c>
      <c r="D73" s="1">
        <v>44975.395833333336</v>
      </c>
      <c r="E73" t="s">
        <v>761</v>
      </c>
      <c r="F73" t="s">
        <v>91</v>
      </c>
      <c r="G73">
        <v>15</v>
      </c>
      <c r="H73">
        <v>30</v>
      </c>
      <c r="I73" t="s">
        <v>732</v>
      </c>
      <c r="J73">
        <v>2023</v>
      </c>
      <c r="K73">
        <v>2</v>
      </c>
      <c r="L73">
        <v>18</v>
      </c>
      <c r="M73">
        <v>9</v>
      </c>
      <c r="N73" s="7">
        <f t="shared" si="7"/>
        <v>45</v>
      </c>
      <c r="O73" s="7" t="str">
        <f t="shared" si="10"/>
        <v>Normal</v>
      </c>
      <c r="P73" s="7" t="str">
        <f t="shared" si="8"/>
        <v>No</v>
      </c>
      <c r="Q73" s="7" t="str">
        <f t="shared" si="9"/>
        <v>Standard</v>
      </c>
      <c r="R73" s="7" t="str">
        <f t="shared" si="11"/>
        <v>Morning</v>
      </c>
      <c r="S73" s="7" t="str">
        <f t="shared" si="12"/>
        <v>Asia</v>
      </c>
      <c r="T73" s="30">
        <f t="shared" si="13"/>
        <v>2</v>
      </c>
      <c r="U73" s="6"/>
      <c r="V73" s="6"/>
    </row>
    <row r="74" spans="1:22" x14ac:dyDescent="0.3">
      <c r="A74" t="s">
        <v>1025</v>
      </c>
      <c r="B74" t="s">
        <v>1698</v>
      </c>
      <c r="C74" t="s">
        <v>786</v>
      </c>
      <c r="D74" s="1">
        <v>44975.597222222219</v>
      </c>
      <c r="E74" t="s">
        <v>762</v>
      </c>
      <c r="F74" t="s">
        <v>92</v>
      </c>
      <c r="G74">
        <v>25</v>
      </c>
      <c r="H74">
        <v>50</v>
      </c>
      <c r="I74" t="s">
        <v>722</v>
      </c>
      <c r="J74">
        <v>2023</v>
      </c>
      <c r="K74">
        <v>2</v>
      </c>
      <c r="L74">
        <v>18</v>
      </c>
      <c r="M74">
        <v>14</v>
      </c>
      <c r="N74" s="7">
        <f t="shared" si="7"/>
        <v>75</v>
      </c>
      <c r="O74" s="7" t="str">
        <f t="shared" si="10"/>
        <v>Popular</v>
      </c>
      <c r="P74" s="7" t="str">
        <f t="shared" si="8"/>
        <v>No</v>
      </c>
      <c r="Q74" s="7" t="str">
        <f t="shared" si="9"/>
        <v>Wide Reach</v>
      </c>
      <c r="R74" s="7" t="str">
        <f t="shared" si="11"/>
        <v>Afternoon</v>
      </c>
      <c r="S74" s="7" t="str">
        <f t="shared" si="12"/>
        <v>Europe</v>
      </c>
      <c r="T74" s="30">
        <f t="shared" si="13"/>
        <v>2</v>
      </c>
      <c r="U74" s="6"/>
      <c r="V74" s="6"/>
    </row>
    <row r="75" spans="1:22" x14ac:dyDescent="0.3">
      <c r="A75" t="s">
        <v>1026</v>
      </c>
      <c r="B75" t="s">
        <v>1699</v>
      </c>
      <c r="C75" t="s">
        <v>787</v>
      </c>
      <c r="D75" s="1">
        <v>44975.78125</v>
      </c>
      <c r="E75" t="s">
        <v>763</v>
      </c>
      <c r="F75" t="s">
        <v>93</v>
      </c>
      <c r="G75">
        <v>22</v>
      </c>
      <c r="H75">
        <v>45</v>
      </c>
      <c r="I75" t="s">
        <v>720</v>
      </c>
      <c r="J75">
        <v>2023</v>
      </c>
      <c r="K75">
        <v>2</v>
      </c>
      <c r="L75">
        <v>18</v>
      </c>
      <c r="M75">
        <v>18</v>
      </c>
      <c r="N75" s="7">
        <f t="shared" si="7"/>
        <v>67</v>
      </c>
      <c r="O75" s="7" t="str">
        <f t="shared" si="10"/>
        <v>Popular</v>
      </c>
      <c r="P75" s="7" t="str">
        <f t="shared" si="8"/>
        <v>No</v>
      </c>
      <c r="Q75" s="7" t="str">
        <f t="shared" si="9"/>
        <v>Wide Reach</v>
      </c>
      <c r="R75" s="7" t="str">
        <f t="shared" si="11"/>
        <v>Evening</v>
      </c>
      <c r="S75" s="7" t="str">
        <f t="shared" si="12"/>
        <v>North America</v>
      </c>
      <c r="T75" s="30">
        <f t="shared" si="13"/>
        <v>2.0454545454545454</v>
      </c>
      <c r="U75" s="6"/>
      <c r="V75" s="6"/>
    </row>
    <row r="76" spans="1:22" x14ac:dyDescent="0.3">
      <c r="A76" t="s">
        <v>1027</v>
      </c>
      <c r="B76" t="s">
        <v>1700</v>
      </c>
      <c r="C76" t="s">
        <v>788</v>
      </c>
      <c r="D76" s="1">
        <v>44976.479166666664</v>
      </c>
      <c r="E76" t="s">
        <v>761</v>
      </c>
      <c r="F76" t="s">
        <v>94</v>
      </c>
      <c r="G76">
        <v>20</v>
      </c>
      <c r="H76">
        <v>40</v>
      </c>
      <c r="I76" t="s">
        <v>30</v>
      </c>
      <c r="J76">
        <v>2023</v>
      </c>
      <c r="K76">
        <v>2</v>
      </c>
      <c r="L76">
        <v>19</v>
      </c>
      <c r="M76">
        <v>11</v>
      </c>
      <c r="N76" s="7">
        <f t="shared" si="7"/>
        <v>60</v>
      </c>
      <c r="O76" s="7" t="str">
        <f t="shared" si="10"/>
        <v>Normal</v>
      </c>
      <c r="P76" s="7" t="str">
        <f t="shared" si="8"/>
        <v>No</v>
      </c>
      <c r="Q76" s="7" t="str">
        <f t="shared" si="9"/>
        <v>Standard</v>
      </c>
      <c r="R76" s="7" t="str">
        <f t="shared" si="11"/>
        <v>Morning</v>
      </c>
      <c r="S76" s="7" t="str">
        <f t="shared" si="12"/>
        <v>North America</v>
      </c>
      <c r="T76" s="30">
        <f t="shared" si="13"/>
        <v>2</v>
      </c>
      <c r="U76" s="6"/>
      <c r="V76" s="6"/>
    </row>
    <row r="77" spans="1:22" x14ac:dyDescent="0.3">
      <c r="A77" t="s">
        <v>1028</v>
      </c>
      <c r="B77" t="s">
        <v>1701</v>
      </c>
      <c r="C77" t="s">
        <v>789</v>
      </c>
      <c r="D77" s="1">
        <v>44976.666666666664</v>
      </c>
      <c r="E77" t="s">
        <v>762</v>
      </c>
      <c r="F77" t="s">
        <v>95</v>
      </c>
      <c r="G77">
        <v>30</v>
      </c>
      <c r="H77">
        <v>60</v>
      </c>
      <c r="I77" t="s">
        <v>731</v>
      </c>
      <c r="J77">
        <v>2023</v>
      </c>
      <c r="K77">
        <v>2</v>
      </c>
      <c r="L77">
        <v>19</v>
      </c>
      <c r="M77">
        <v>16</v>
      </c>
      <c r="N77" s="7">
        <f t="shared" si="7"/>
        <v>90</v>
      </c>
      <c r="O77" s="7" t="str">
        <f t="shared" si="10"/>
        <v>Popular</v>
      </c>
      <c r="P77" s="7" t="str">
        <f t="shared" si="8"/>
        <v>Yes</v>
      </c>
      <c r="Q77" s="7" t="str">
        <f t="shared" si="9"/>
        <v>Wide Reach</v>
      </c>
      <c r="R77" s="7" t="str">
        <f t="shared" si="11"/>
        <v>Afternoon</v>
      </c>
      <c r="S77" s="7" t="str">
        <f t="shared" si="12"/>
        <v>Oceania</v>
      </c>
      <c r="T77" s="30">
        <f t="shared" si="13"/>
        <v>2</v>
      </c>
      <c r="U77" s="6"/>
      <c r="V77" s="6"/>
    </row>
    <row r="78" spans="1:22" x14ac:dyDescent="0.3">
      <c r="A78" t="s">
        <v>1029</v>
      </c>
      <c r="B78" t="s">
        <v>1702</v>
      </c>
      <c r="C78" t="s">
        <v>790</v>
      </c>
      <c r="D78" s="1">
        <v>44976.822916666664</v>
      </c>
      <c r="E78" t="s">
        <v>763</v>
      </c>
      <c r="F78" t="s">
        <v>96</v>
      </c>
      <c r="G78">
        <v>15</v>
      </c>
      <c r="H78">
        <v>30</v>
      </c>
      <c r="I78" t="s">
        <v>732</v>
      </c>
      <c r="J78">
        <v>2023</v>
      </c>
      <c r="K78">
        <v>2</v>
      </c>
      <c r="L78">
        <v>19</v>
      </c>
      <c r="M78">
        <v>19</v>
      </c>
      <c r="N78" s="7">
        <f t="shared" si="7"/>
        <v>45</v>
      </c>
      <c r="O78" s="7" t="str">
        <f t="shared" si="10"/>
        <v>Normal</v>
      </c>
      <c r="P78" s="7" t="str">
        <f t="shared" si="8"/>
        <v>No</v>
      </c>
      <c r="Q78" s="7" t="str">
        <f t="shared" si="9"/>
        <v>Standard</v>
      </c>
      <c r="R78" s="7" t="str">
        <f t="shared" si="11"/>
        <v>Evening</v>
      </c>
      <c r="S78" s="7" t="str">
        <f t="shared" si="12"/>
        <v>Asia</v>
      </c>
      <c r="T78" s="30">
        <f t="shared" si="13"/>
        <v>2</v>
      </c>
      <c r="U78" s="6"/>
      <c r="V78" s="6"/>
    </row>
    <row r="79" spans="1:22" x14ac:dyDescent="0.3">
      <c r="A79" t="s">
        <v>1030</v>
      </c>
      <c r="B79" t="s">
        <v>1703</v>
      </c>
      <c r="C79" t="s">
        <v>767</v>
      </c>
      <c r="D79" s="1">
        <v>44977.395833333336</v>
      </c>
      <c r="E79" t="s">
        <v>761</v>
      </c>
      <c r="F79" t="s">
        <v>97</v>
      </c>
      <c r="G79">
        <v>20</v>
      </c>
      <c r="H79">
        <v>40</v>
      </c>
      <c r="I79" t="s">
        <v>720</v>
      </c>
      <c r="J79">
        <v>2023</v>
      </c>
      <c r="K79">
        <v>2</v>
      </c>
      <c r="L79">
        <v>20</v>
      </c>
      <c r="M79">
        <v>9</v>
      </c>
      <c r="N79" s="7">
        <f t="shared" si="7"/>
        <v>60</v>
      </c>
      <c r="O79" s="7" t="str">
        <f t="shared" si="10"/>
        <v>Normal</v>
      </c>
      <c r="P79" s="7" t="str">
        <f t="shared" si="8"/>
        <v>No</v>
      </c>
      <c r="Q79" s="7" t="str">
        <f t="shared" si="9"/>
        <v>Standard</v>
      </c>
      <c r="R79" s="7" t="str">
        <f t="shared" si="11"/>
        <v>Morning</v>
      </c>
      <c r="S79" s="7" t="str">
        <f t="shared" si="12"/>
        <v>North America</v>
      </c>
      <c r="T79" s="30">
        <f t="shared" si="13"/>
        <v>2</v>
      </c>
      <c r="U79" s="6"/>
      <c r="V79" s="6"/>
    </row>
    <row r="80" spans="1:22" x14ac:dyDescent="0.3">
      <c r="A80" t="s">
        <v>1031</v>
      </c>
      <c r="B80" t="s">
        <v>1704</v>
      </c>
      <c r="C80" t="s">
        <v>768</v>
      </c>
      <c r="D80" s="1">
        <v>44977.885416666664</v>
      </c>
      <c r="E80" t="s">
        <v>762</v>
      </c>
      <c r="F80" t="s">
        <v>98</v>
      </c>
      <c r="G80">
        <v>15</v>
      </c>
      <c r="H80">
        <v>30</v>
      </c>
      <c r="I80" t="s">
        <v>30</v>
      </c>
      <c r="J80">
        <v>2023</v>
      </c>
      <c r="K80">
        <v>2</v>
      </c>
      <c r="L80">
        <v>20</v>
      </c>
      <c r="M80">
        <v>21</v>
      </c>
      <c r="N80" s="7">
        <f t="shared" si="7"/>
        <v>45</v>
      </c>
      <c r="O80" s="7" t="str">
        <f t="shared" si="10"/>
        <v>Normal</v>
      </c>
      <c r="P80" s="7" t="str">
        <f t="shared" si="8"/>
        <v>No</v>
      </c>
      <c r="Q80" s="7" t="str">
        <f t="shared" si="9"/>
        <v>Standard</v>
      </c>
      <c r="R80" s="7" t="str">
        <f t="shared" si="11"/>
        <v>Evening</v>
      </c>
      <c r="S80" s="7" t="str">
        <f t="shared" si="12"/>
        <v>North America</v>
      </c>
      <c r="T80" s="30">
        <f t="shared" si="13"/>
        <v>2</v>
      </c>
      <c r="U80" s="6"/>
      <c r="V80" s="6"/>
    </row>
    <row r="81" spans="1:22" x14ac:dyDescent="0.3">
      <c r="A81" t="s">
        <v>1032</v>
      </c>
      <c r="B81" t="s">
        <v>1705</v>
      </c>
      <c r="C81" t="s">
        <v>769</v>
      </c>
      <c r="D81" s="1">
        <v>44978.614583333336</v>
      </c>
      <c r="E81" t="s">
        <v>763</v>
      </c>
      <c r="F81" t="s">
        <v>99</v>
      </c>
      <c r="G81">
        <v>25</v>
      </c>
      <c r="H81">
        <v>50</v>
      </c>
      <c r="I81" t="s">
        <v>732</v>
      </c>
      <c r="J81">
        <v>2023</v>
      </c>
      <c r="K81">
        <v>2</v>
      </c>
      <c r="L81">
        <v>21</v>
      </c>
      <c r="M81">
        <v>14</v>
      </c>
      <c r="N81" s="7">
        <f t="shared" si="7"/>
        <v>75</v>
      </c>
      <c r="O81" s="7" t="str">
        <f t="shared" si="10"/>
        <v>Popular</v>
      </c>
      <c r="P81" s="7" t="str">
        <f t="shared" si="8"/>
        <v>No</v>
      </c>
      <c r="Q81" s="7" t="str">
        <f t="shared" si="9"/>
        <v>Wide Reach</v>
      </c>
      <c r="R81" s="7" t="str">
        <f t="shared" si="11"/>
        <v>Afternoon</v>
      </c>
      <c r="S81" s="7" t="str">
        <f t="shared" si="12"/>
        <v>Asia</v>
      </c>
      <c r="T81" s="30">
        <f t="shared" si="13"/>
        <v>2</v>
      </c>
      <c r="U81" s="6"/>
      <c r="V81" s="6"/>
    </row>
    <row r="82" spans="1:22" x14ac:dyDescent="0.3">
      <c r="A82" t="s">
        <v>1033</v>
      </c>
      <c r="B82" t="s">
        <v>1706</v>
      </c>
      <c r="C82" t="s">
        <v>770</v>
      </c>
      <c r="D82" s="1">
        <v>44978.763888888891</v>
      </c>
      <c r="E82" t="s">
        <v>761</v>
      </c>
      <c r="F82" t="s">
        <v>100</v>
      </c>
      <c r="G82">
        <v>18</v>
      </c>
      <c r="H82">
        <v>35</v>
      </c>
      <c r="I82" t="s">
        <v>722</v>
      </c>
      <c r="J82">
        <v>2023</v>
      </c>
      <c r="K82">
        <v>2</v>
      </c>
      <c r="L82">
        <v>21</v>
      </c>
      <c r="M82">
        <v>18</v>
      </c>
      <c r="N82" s="7">
        <f t="shared" si="7"/>
        <v>53</v>
      </c>
      <c r="O82" s="7" t="str">
        <f t="shared" si="10"/>
        <v>Normal</v>
      </c>
      <c r="P82" s="7" t="str">
        <f t="shared" si="8"/>
        <v>No</v>
      </c>
      <c r="Q82" s="7" t="str">
        <f t="shared" si="9"/>
        <v>Standard</v>
      </c>
      <c r="R82" s="7" t="str">
        <f t="shared" si="11"/>
        <v>Evening</v>
      </c>
      <c r="S82" s="7" t="str">
        <f t="shared" si="12"/>
        <v>Europe</v>
      </c>
      <c r="T82" s="30">
        <f t="shared" si="13"/>
        <v>1.9444444444444444</v>
      </c>
      <c r="U82" s="6"/>
      <c r="V82" s="6"/>
    </row>
    <row r="83" spans="1:22" x14ac:dyDescent="0.3">
      <c r="A83" t="s">
        <v>1034</v>
      </c>
      <c r="B83" t="s">
        <v>1707</v>
      </c>
      <c r="C83" t="s">
        <v>771</v>
      </c>
      <c r="D83" s="1">
        <v>44979.416666666664</v>
      </c>
      <c r="E83" t="s">
        <v>762</v>
      </c>
      <c r="F83" t="s">
        <v>101</v>
      </c>
      <c r="G83">
        <v>30</v>
      </c>
      <c r="H83">
        <v>60</v>
      </c>
      <c r="I83" t="s">
        <v>722</v>
      </c>
      <c r="J83">
        <v>2023</v>
      </c>
      <c r="K83">
        <v>2</v>
      </c>
      <c r="L83">
        <v>22</v>
      </c>
      <c r="M83">
        <v>10</v>
      </c>
      <c r="N83" s="7">
        <f t="shared" si="7"/>
        <v>90</v>
      </c>
      <c r="O83" s="7" t="str">
        <f t="shared" si="10"/>
        <v>Popular</v>
      </c>
      <c r="P83" s="7" t="str">
        <f t="shared" si="8"/>
        <v>Yes</v>
      </c>
      <c r="Q83" s="7" t="str">
        <f t="shared" si="9"/>
        <v>Wide Reach</v>
      </c>
      <c r="R83" s="7" t="str">
        <f t="shared" si="11"/>
        <v>Morning</v>
      </c>
      <c r="S83" s="7" t="str">
        <f t="shared" si="12"/>
        <v>Europe</v>
      </c>
      <c r="T83" s="30">
        <f t="shared" si="13"/>
        <v>2</v>
      </c>
      <c r="U83" s="6"/>
      <c r="V83" s="6"/>
    </row>
    <row r="84" spans="1:22" x14ac:dyDescent="0.3">
      <c r="A84" t="s">
        <v>1035</v>
      </c>
      <c r="B84" t="s">
        <v>1708</v>
      </c>
      <c r="C84" t="s">
        <v>772</v>
      </c>
      <c r="D84" s="1">
        <v>44979.8125</v>
      </c>
      <c r="E84" t="s">
        <v>763</v>
      </c>
      <c r="F84" t="s">
        <v>102</v>
      </c>
      <c r="G84">
        <v>22</v>
      </c>
      <c r="H84">
        <v>45</v>
      </c>
      <c r="I84" t="s">
        <v>720</v>
      </c>
      <c r="J84">
        <v>2023</v>
      </c>
      <c r="K84">
        <v>2</v>
      </c>
      <c r="L84">
        <v>22</v>
      </c>
      <c r="M84">
        <v>19</v>
      </c>
      <c r="N84" s="7">
        <f t="shared" si="7"/>
        <v>67</v>
      </c>
      <c r="O84" s="7" t="str">
        <f t="shared" si="10"/>
        <v>Popular</v>
      </c>
      <c r="P84" s="7" t="str">
        <f t="shared" si="8"/>
        <v>No</v>
      </c>
      <c r="Q84" s="7" t="str">
        <f t="shared" si="9"/>
        <v>Wide Reach</v>
      </c>
      <c r="R84" s="7" t="str">
        <f t="shared" si="11"/>
        <v>Evening</v>
      </c>
      <c r="S84" s="7" t="str">
        <f t="shared" si="12"/>
        <v>North America</v>
      </c>
      <c r="T84" s="30">
        <f t="shared" si="13"/>
        <v>2.0454545454545454</v>
      </c>
      <c r="U84" s="6"/>
      <c r="V84" s="6"/>
    </row>
    <row r="85" spans="1:22" x14ac:dyDescent="0.3">
      <c r="A85" t="s">
        <v>1036</v>
      </c>
      <c r="B85" t="s">
        <v>1709</v>
      </c>
      <c r="C85" t="s">
        <v>773</v>
      </c>
      <c r="D85" s="1">
        <v>44980.354166666664</v>
      </c>
      <c r="E85" t="s">
        <v>761</v>
      </c>
      <c r="F85" t="s">
        <v>79</v>
      </c>
      <c r="G85">
        <v>15</v>
      </c>
      <c r="H85">
        <v>30</v>
      </c>
      <c r="I85" t="s">
        <v>731</v>
      </c>
      <c r="J85">
        <v>2023</v>
      </c>
      <c r="K85">
        <v>2</v>
      </c>
      <c r="L85">
        <v>23</v>
      </c>
      <c r="M85">
        <v>8</v>
      </c>
      <c r="N85" s="7">
        <f t="shared" si="7"/>
        <v>45</v>
      </c>
      <c r="O85" s="7" t="str">
        <f t="shared" si="10"/>
        <v>Normal</v>
      </c>
      <c r="P85" s="7" t="str">
        <f t="shared" si="8"/>
        <v>No</v>
      </c>
      <c r="Q85" s="7" t="str">
        <f t="shared" si="9"/>
        <v>Standard</v>
      </c>
      <c r="R85" s="7" t="str">
        <f t="shared" si="11"/>
        <v>Morning</v>
      </c>
      <c r="S85" s="7" t="str">
        <f t="shared" si="12"/>
        <v>Oceania</v>
      </c>
      <c r="T85" s="30">
        <f t="shared" si="13"/>
        <v>2</v>
      </c>
      <c r="U85" s="6"/>
      <c r="V85" s="6"/>
    </row>
    <row r="86" spans="1:22" x14ac:dyDescent="0.3">
      <c r="A86" t="s">
        <v>1037</v>
      </c>
      <c r="B86" t="s">
        <v>1710</v>
      </c>
      <c r="C86" t="s">
        <v>774</v>
      </c>
      <c r="D86" s="1">
        <v>44980.597222222219</v>
      </c>
      <c r="E86" t="s">
        <v>762</v>
      </c>
      <c r="F86" t="s">
        <v>103</v>
      </c>
      <c r="G86">
        <v>18</v>
      </c>
      <c r="H86">
        <v>35</v>
      </c>
      <c r="I86" t="s">
        <v>722</v>
      </c>
      <c r="J86">
        <v>2023</v>
      </c>
      <c r="K86">
        <v>2</v>
      </c>
      <c r="L86">
        <v>23</v>
      </c>
      <c r="M86">
        <v>14</v>
      </c>
      <c r="N86" s="7">
        <f t="shared" si="7"/>
        <v>53</v>
      </c>
      <c r="O86" s="7" t="str">
        <f t="shared" si="10"/>
        <v>Normal</v>
      </c>
      <c r="P86" s="7" t="str">
        <f t="shared" si="8"/>
        <v>No</v>
      </c>
      <c r="Q86" s="7" t="str">
        <f t="shared" si="9"/>
        <v>Standard</v>
      </c>
      <c r="R86" s="7" t="str">
        <f t="shared" si="11"/>
        <v>Afternoon</v>
      </c>
      <c r="S86" s="7" t="str">
        <f t="shared" si="12"/>
        <v>Europe</v>
      </c>
      <c r="T86" s="30">
        <f t="shared" si="13"/>
        <v>1.9444444444444444</v>
      </c>
      <c r="U86" s="6"/>
      <c r="V86" s="6"/>
    </row>
    <row r="87" spans="1:22" x14ac:dyDescent="0.3">
      <c r="A87" t="s">
        <v>1038</v>
      </c>
      <c r="B87" t="s">
        <v>1711</v>
      </c>
      <c r="C87" t="s">
        <v>775</v>
      </c>
      <c r="D87" s="1">
        <v>44980.822916666664</v>
      </c>
      <c r="E87" t="s">
        <v>763</v>
      </c>
      <c r="F87" t="s">
        <v>104</v>
      </c>
      <c r="G87">
        <v>25</v>
      </c>
      <c r="H87">
        <v>50</v>
      </c>
      <c r="I87" t="s">
        <v>30</v>
      </c>
      <c r="J87">
        <v>2023</v>
      </c>
      <c r="K87">
        <v>2</v>
      </c>
      <c r="L87">
        <v>23</v>
      </c>
      <c r="M87">
        <v>19</v>
      </c>
      <c r="N87" s="7">
        <f t="shared" si="7"/>
        <v>75</v>
      </c>
      <c r="O87" s="7" t="str">
        <f t="shared" si="10"/>
        <v>Popular</v>
      </c>
      <c r="P87" s="7" t="str">
        <f t="shared" si="8"/>
        <v>No</v>
      </c>
      <c r="Q87" s="7" t="str">
        <f t="shared" si="9"/>
        <v>Wide Reach</v>
      </c>
      <c r="R87" s="7" t="str">
        <f t="shared" si="11"/>
        <v>Evening</v>
      </c>
      <c r="S87" s="7" t="str">
        <f t="shared" si="12"/>
        <v>North America</v>
      </c>
      <c r="T87" s="30">
        <f t="shared" si="13"/>
        <v>2</v>
      </c>
      <c r="U87" s="6"/>
      <c r="V87" s="6"/>
    </row>
    <row r="88" spans="1:22" x14ac:dyDescent="0.3">
      <c r="A88" t="s">
        <v>1039</v>
      </c>
      <c r="B88" t="s">
        <v>1712</v>
      </c>
      <c r="C88" t="s">
        <v>776</v>
      </c>
      <c r="D88" s="1">
        <v>44981.479166666664</v>
      </c>
      <c r="E88" t="s">
        <v>761</v>
      </c>
      <c r="F88" t="s">
        <v>105</v>
      </c>
      <c r="G88">
        <v>20</v>
      </c>
      <c r="H88">
        <v>40</v>
      </c>
      <c r="I88" t="s">
        <v>30</v>
      </c>
      <c r="J88">
        <v>2023</v>
      </c>
      <c r="K88">
        <v>2</v>
      </c>
      <c r="L88">
        <v>24</v>
      </c>
      <c r="M88">
        <v>11</v>
      </c>
      <c r="N88" s="7">
        <f t="shared" si="7"/>
        <v>60</v>
      </c>
      <c r="O88" s="7" t="str">
        <f t="shared" si="10"/>
        <v>Normal</v>
      </c>
      <c r="P88" s="7" t="str">
        <f t="shared" si="8"/>
        <v>No</v>
      </c>
      <c r="Q88" s="7" t="str">
        <f t="shared" si="9"/>
        <v>Standard</v>
      </c>
      <c r="R88" s="7" t="str">
        <f t="shared" si="11"/>
        <v>Morning</v>
      </c>
      <c r="S88" s="7" t="str">
        <f t="shared" si="12"/>
        <v>North America</v>
      </c>
      <c r="T88" s="30">
        <f t="shared" si="13"/>
        <v>2</v>
      </c>
      <c r="U88" s="6"/>
      <c r="V88" s="6"/>
    </row>
    <row r="89" spans="1:22" x14ac:dyDescent="0.3">
      <c r="A89" t="s">
        <v>1040</v>
      </c>
      <c r="B89" t="s">
        <v>1713</v>
      </c>
      <c r="C89" t="s">
        <v>777</v>
      </c>
      <c r="D89" s="1">
        <v>44981.666666666664</v>
      </c>
      <c r="E89" t="s">
        <v>762</v>
      </c>
      <c r="F89" t="s">
        <v>106</v>
      </c>
      <c r="G89">
        <v>15</v>
      </c>
      <c r="H89">
        <v>30</v>
      </c>
      <c r="I89" t="s">
        <v>30</v>
      </c>
      <c r="J89">
        <v>2023</v>
      </c>
      <c r="K89">
        <v>2</v>
      </c>
      <c r="L89">
        <v>24</v>
      </c>
      <c r="M89">
        <v>16</v>
      </c>
      <c r="N89" s="7">
        <f t="shared" si="7"/>
        <v>45</v>
      </c>
      <c r="O89" s="7" t="str">
        <f t="shared" si="10"/>
        <v>Normal</v>
      </c>
      <c r="P89" s="7" t="str">
        <f t="shared" si="8"/>
        <v>No</v>
      </c>
      <c r="Q89" s="7" t="str">
        <f t="shared" si="9"/>
        <v>Standard</v>
      </c>
      <c r="R89" s="7" t="str">
        <f t="shared" si="11"/>
        <v>Afternoon</v>
      </c>
      <c r="S89" s="7" t="str">
        <f t="shared" si="12"/>
        <v>North America</v>
      </c>
      <c r="T89" s="30">
        <f t="shared" si="13"/>
        <v>2</v>
      </c>
      <c r="U89" s="6"/>
      <c r="V89" s="6"/>
    </row>
    <row r="90" spans="1:22" x14ac:dyDescent="0.3">
      <c r="A90" t="s">
        <v>1041</v>
      </c>
      <c r="B90" t="s">
        <v>1714</v>
      </c>
      <c r="C90" t="s">
        <v>778</v>
      </c>
      <c r="D90" s="1">
        <v>44981.854166666664</v>
      </c>
      <c r="E90" t="s">
        <v>763</v>
      </c>
      <c r="F90" t="s">
        <v>107</v>
      </c>
      <c r="G90">
        <v>22</v>
      </c>
      <c r="H90">
        <v>45</v>
      </c>
      <c r="I90" t="s">
        <v>731</v>
      </c>
      <c r="J90">
        <v>2023</v>
      </c>
      <c r="K90">
        <v>2</v>
      </c>
      <c r="L90">
        <v>24</v>
      </c>
      <c r="M90">
        <v>20</v>
      </c>
      <c r="N90" s="7">
        <f t="shared" si="7"/>
        <v>67</v>
      </c>
      <c r="O90" s="7" t="str">
        <f t="shared" si="10"/>
        <v>Popular</v>
      </c>
      <c r="P90" s="7" t="str">
        <f t="shared" si="8"/>
        <v>No</v>
      </c>
      <c r="Q90" s="7" t="str">
        <f t="shared" si="9"/>
        <v>Wide Reach</v>
      </c>
      <c r="R90" s="7" t="str">
        <f t="shared" si="11"/>
        <v>Evening</v>
      </c>
      <c r="S90" s="7" t="str">
        <f t="shared" si="12"/>
        <v>Oceania</v>
      </c>
      <c r="T90" s="30">
        <f t="shared" si="13"/>
        <v>2.0454545454545454</v>
      </c>
      <c r="U90" s="6"/>
      <c r="V90" s="6"/>
    </row>
    <row r="91" spans="1:22" x14ac:dyDescent="0.3">
      <c r="A91" t="s">
        <v>1042</v>
      </c>
      <c r="B91" t="s">
        <v>1715</v>
      </c>
      <c r="C91" t="s">
        <v>779</v>
      </c>
      <c r="D91" s="1">
        <v>44982.375</v>
      </c>
      <c r="E91" t="s">
        <v>761</v>
      </c>
      <c r="F91" t="s">
        <v>108</v>
      </c>
      <c r="G91">
        <v>18</v>
      </c>
      <c r="H91">
        <v>35</v>
      </c>
      <c r="I91" t="s">
        <v>732</v>
      </c>
      <c r="J91">
        <v>2023</v>
      </c>
      <c r="K91">
        <v>2</v>
      </c>
      <c r="L91">
        <v>25</v>
      </c>
      <c r="M91">
        <v>9</v>
      </c>
      <c r="N91" s="7">
        <f t="shared" si="7"/>
        <v>53</v>
      </c>
      <c r="O91" s="7" t="str">
        <f t="shared" si="10"/>
        <v>Normal</v>
      </c>
      <c r="P91" s="7" t="str">
        <f t="shared" si="8"/>
        <v>No</v>
      </c>
      <c r="Q91" s="7" t="str">
        <f t="shared" si="9"/>
        <v>Standard</v>
      </c>
      <c r="R91" s="7" t="str">
        <f t="shared" si="11"/>
        <v>Morning</v>
      </c>
      <c r="S91" s="7" t="str">
        <f t="shared" si="12"/>
        <v>Asia</v>
      </c>
      <c r="T91" s="30">
        <f t="shared" si="13"/>
        <v>1.9444444444444444</v>
      </c>
      <c r="U91" s="6"/>
      <c r="V91" s="6"/>
    </row>
    <row r="92" spans="1:22" x14ac:dyDescent="0.3">
      <c r="A92" t="s">
        <v>849</v>
      </c>
      <c r="B92" t="s">
        <v>1716</v>
      </c>
      <c r="C92" t="s">
        <v>780</v>
      </c>
      <c r="D92" s="1">
        <v>44982.614583333336</v>
      </c>
      <c r="E92" t="s">
        <v>762</v>
      </c>
      <c r="F92" t="s">
        <v>109</v>
      </c>
      <c r="G92">
        <v>25</v>
      </c>
      <c r="H92">
        <v>50</v>
      </c>
      <c r="I92" t="s">
        <v>30</v>
      </c>
      <c r="J92">
        <v>2023</v>
      </c>
      <c r="K92">
        <v>2</v>
      </c>
      <c r="L92">
        <v>25</v>
      </c>
      <c r="M92">
        <v>14</v>
      </c>
      <c r="N92" s="7">
        <f t="shared" si="7"/>
        <v>75</v>
      </c>
      <c r="O92" s="7" t="str">
        <f t="shared" si="10"/>
        <v>Popular</v>
      </c>
      <c r="P92" s="7" t="str">
        <f t="shared" si="8"/>
        <v>No</v>
      </c>
      <c r="Q92" s="7" t="str">
        <f t="shared" si="9"/>
        <v>Wide Reach</v>
      </c>
      <c r="R92" s="7" t="str">
        <f t="shared" si="11"/>
        <v>Afternoon</v>
      </c>
      <c r="S92" s="7" t="str">
        <f t="shared" si="12"/>
        <v>North America</v>
      </c>
      <c r="T92" s="30">
        <f t="shared" si="13"/>
        <v>2</v>
      </c>
      <c r="U92" s="6"/>
      <c r="V92" s="6"/>
    </row>
    <row r="93" spans="1:22" x14ac:dyDescent="0.3">
      <c r="A93" t="s">
        <v>1043</v>
      </c>
      <c r="B93" t="s">
        <v>1717</v>
      </c>
      <c r="C93" t="s">
        <v>781</v>
      </c>
      <c r="D93" s="1">
        <v>44982.763888888891</v>
      </c>
      <c r="E93" t="s">
        <v>763</v>
      </c>
      <c r="F93" t="s">
        <v>110</v>
      </c>
      <c r="G93">
        <v>15</v>
      </c>
      <c r="H93">
        <v>30</v>
      </c>
      <c r="I93" t="s">
        <v>720</v>
      </c>
      <c r="J93">
        <v>2023</v>
      </c>
      <c r="K93">
        <v>2</v>
      </c>
      <c r="L93">
        <v>25</v>
      </c>
      <c r="M93">
        <v>18</v>
      </c>
      <c r="N93" s="7">
        <f t="shared" si="7"/>
        <v>45</v>
      </c>
      <c r="O93" s="7" t="str">
        <f t="shared" si="10"/>
        <v>Normal</v>
      </c>
      <c r="P93" s="7" t="str">
        <f t="shared" si="8"/>
        <v>No</v>
      </c>
      <c r="Q93" s="7" t="str">
        <f t="shared" si="9"/>
        <v>Standard</v>
      </c>
      <c r="R93" s="7" t="str">
        <f t="shared" si="11"/>
        <v>Evening</v>
      </c>
      <c r="S93" s="7" t="str">
        <f t="shared" si="12"/>
        <v>North America</v>
      </c>
      <c r="T93" s="30">
        <f t="shared" si="13"/>
        <v>2</v>
      </c>
      <c r="U93" s="6"/>
      <c r="V93" s="6"/>
    </row>
    <row r="94" spans="1:22" x14ac:dyDescent="0.3">
      <c r="A94" t="s">
        <v>1044</v>
      </c>
      <c r="B94" t="s">
        <v>1718</v>
      </c>
      <c r="C94" t="s">
        <v>782</v>
      </c>
      <c r="D94" s="1">
        <v>44983.447916666664</v>
      </c>
      <c r="E94" t="s">
        <v>761</v>
      </c>
      <c r="F94" t="s">
        <v>111</v>
      </c>
      <c r="G94">
        <v>22</v>
      </c>
      <c r="H94">
        <v>45</v>
      </c>
      <c r="I94" t="s">
        <v>722</v>
      </c>
      <c r="J94">
        <v>2023</v>
      </c>
      <c r="K94">
        <v>2</v>
      </c>
      <c r="L94">
        <v>26</v>
      </c>
      <c r="M94">
        <v>10</v>
      </c>
      <c r="N94" s="7">
        <f t="shared" si="7"/>
        <v>67</v>
      </c>
      <c r="O94" s="7" t="str">
        <f t="shared" si="10"/>
        <v>Popular</v>
      </c>
      <c r="P94" s="7" t="str">
        <f t="shared" si="8"/>
        <v>No</v>
      </c>
      <c r="Q94" s="7" t="str">
        <f t="shared" si="9"/>
        <v>Wide Reach</v>
      </c>
      <c r="R94" s="7" t="str">
        <f t="shared" si="11"/>
        <v>Morning</v>
      </c>
      <c r="S94" s="7" t="str">
        <f t="shared" si="12"/>
        <v>Europe</v>
      </c>
      <c r="T94" s="30">
        <f t="shared" si="13"/>
        <v>2.0454545454545454</v>
      </c>
      <c r="U94" s="6"/>
      <c r="V94" s="6"/>
    </row>
    <row r="95" spans="1:22" x14ac:dyDescent="0.3">
      <c r="A95" t="s">
        <v>1045</v>
      </c>
      <c r="B95" t="s">
        <v>1719</v>
      </c>
      <c r="C95" t="s">
        <v>783</v>
      </c>
      <c r="D95" s="1">
        <v>44983.3125</v>
      </c>
      <c r="E95" t="s">
        <v>762</v>
      </c>
      <c r="F95" t="s">
        <v>112</v>
      </c>
      <c r="G95">
        <v>20</v>
      </c>
      <c r="H95">
        <v>40</v>
      </c>
      <c r="I95" t="s">
        <v>731</v>
      </c>
      <c r="J95">
        <v>2023</v>
      </c>
      <c r="K95">
        <v>2</v>
      </c>
      <c r="L95">
        <v>26</v>
      </c>
      <c r="M95">
        <v>7</v>
      </c>
      <c r="N95" s="7">
        <f t="shared" si="7"/>
        <v>60</v>
      </c>
      <c r="O95" s="7" t="str">
        <f t="shared" si="10"/>
        <v>Normal</v>
      </c>
      <c r="P95" s="7" t="str">
        <f t="shared" si="8"/>
        <v>No</v>
      </c>
      <c r="Q95" s="7" t="str">
        <f t="shared" si="9"/>
        <v>Standard</v>
      </c>
      <c r="R95" s="7" t="str">
        <f t="shared" si="11"/>
        <v>Morning</v>
      </c>
      <c r="S95" s="7" t="str">
        <f t="shared" si="12"/>
        <v>Oceania</v>
      </c>
      <c r="T95" s="30">
        <f t="shared" si="13"/>
        <v>2</v>
      </c>
      <c r="U95" s="6"/>
      <c r="V95" s="6"/>
    </row>
    <row r="96" spans="1:22" x14ac:dyDescent="0.3">
      <c r="A96" t="s">
        <v>1046</v>
      </c>
      <c r="B96" t="s">
        <v>1720</v>
      </c>
      <c r="C96" t="s">
        <v>784</v>
      </c>
      <c r="D96" s="1">
        <v>44983.625</v>
      </c>
      <c r="E96" t="s">
        <v>763</v>
      </c>
      <c r="F96" t="s">
        <v>113</v>
      </c>
      <c r="G96">
        <v>18</v>
      </c>
      <c r="H96">
        <v>35</v>
      </c>
      <c r="I96" t="s">
        <v>30</v>
      </c>
      <c r="J96">
        <v>2023</v>
      </c>
      <c r="K96">
        <v>2</v>
      </c>
      <c r="L96">
        <v>26</v>
      </c>
      <c r="M96">
        <v>15</v>
      </c>
      <c r="N96" s="7">
        <f t="shared" si="7"/>
        <v>53</v>
      </c>
      <c r="O96" s="7" t="str">
        <f t="shared" si="10"/>
        <v>Normal</v>
      </c>
      <c r="P96" s="7" t="str">
        <f t="shared" si="8"/>
        <v>No</v>
      </c>
      <c r="Q96" s="7" t="str">
        <f t="shared" si="9"/>
        <v>Standard</v>
      </c>
      <c r="R96" s="7" t="str">
        <f t="shared" si="11"/>
        <v>Afternoon</v>
      </c>
      <c r="S96" s="7" t="str">
        <f t="shared" si="12"/>
        <v>North America</v>
      </c>
      <c r="T96" s="30">
        <f t="shared" si="13"/>
        <v>1.9444444444444444</v>
      </c>
      <c r="U96" s="6"/>
      <c r="V96" s="6"/>
    </row>
    <row r="97" spans="1:22" x14ac:dyDescent="0.3">
      <c r="A97" t="s">
        <v>1047</v>
      </c>
      <c r="B97" t="s">
        <v>1721</v>
      </c>
      <c r="C97" t="s">
        <v>785</v>
      </c>
      <c r="D97" s="1">
        <v>44984.395833333336</v>
      </c>
      <c r="E97" t="s">
        <v>761</v>
      </c>
      <c r="F97" t="s">
        <v>114</v>
      </c>
      <c r="G97">
        <v>15</v>
      </c>
      <c r="H97">
        <v>30</v>
      </c>
      <c r="I97" t="s">
        <v>732</v>
      </c>
      <c r="J97">
        <v>2023</v>
      </c>
      <c r="K97">
        <v>2</v>
      </c>
      <c r="L97">
        <v>27</v>
      </c>
      <c r="M97">
        <v>9</v>
      </c>
      <c r="N97" s="7">
        <f t="shared" si="7"/>
        <v>45</v>
      </c>
      <c r="O97" s="7" t="str">
        <f t="shared" si="10"/>
        <v>Normal</v>
      </c>
      <c r="P97" s="7" t="str">
        <f t="shared" si="8"/>
        <v>No</v>
      </c>
      <c r="Q97" s="7" t="str">
        <f t="shared" si="9"/>
        <v>Standard</v>
      </c>
      <c r="R97" s="7" t="str">
        <f t="shared" si="11"/>
        <v>Morning</v>
      </c>
      <c r="S97" s="7" t="str">
        <f t="shared" si="12"/>
        <v>Asia</v>
      </c>
      <c r="T97" s="30">
        <f t="shared" si="13"/>
        <v>2</v>
      </c>
      <c r="U97" s="6"/>
      <c r="V97" s="6"/>
    </row>
    <row r="98" spans="1:22" x14ac:dyDescent="0.3">
      <c r="A98" t="s">
        <v>1048</v>
      </c>
      <c r="B98" t="s">
        <v>1722</v>
      </c>
      <c r="C98" t="s">
        <v>786</v>
      </c>
      <c r="D98" s="1">
        <v>44984.597222222219</v>
      </c>
      <c r="E98" t="s">
        <v>762</v>
      </c>
      <c r="F98" t="s">
        <v>115</v>
      </c>
      <c r="G98">
        <v>25</v>
      </c>
      <c r="H98">
        <v>50</v>
      </c>
      <c r="I98" t="s">
        <v>722</v>
      </c>
      <c r="J98">
        <v>2023</v>
      </c>
      <c r="K98">
        <v>2</v>
      </c>
      <c r="L98">
        <v>27</v>
      </c>
      <c r="M98">
        <v>14</v>
      </c>
      <c r="N98" s="7">
        <f t="shared" si="7"/>
        <v>75</v>
      </c>
      <c r="O98" s="7" t="str">
        <f t="shared" si="10"/>
        <v>Popular</v>
      </c>
      <c r="P98" s="7" t="str">
        <f t="shared" si="8"/>
        <v>No</v>
      </c>
      <c r="Q98" s="7" t="str">
        <f t="shared" si="9"/>
        <v>Wide Reach</v>
      </c>
      <c r="R98" s="7" t="str">
        <f t="shared" si="11"/>
        <v>Afternoon</v>
      </c>
      <c r="S98" s="7" t="str">
        <f t="shared" si="12"/>
        <v>Europe</v>
      </c>
      <c r="T98" s="30">
        <f t="shared" si="13"/>
        <v>2</v>
      </c>
      <c r="U98" s="6"/>
      <c r="V98" s="6"/>
    </row>
    <row r="99" spans="1:22" x14ac:dyDescent="0.3">
      <c r="A99" t="s">
        <v>1049</v>
      </c>
      <c r="B99" t="s">
        <v>1723</v>
      </c>
      <c r="C99" t="s">
        <v>787</v>
      </c>
      <c r="D99" s="1">
        <v>44984.78125</v>
      </c>
      <c r="E99" t="s">
        <v>763</v>
      </c>
      <c r="F99" t="s">
        <v>116</v>
      </c>
      <c r="G99">
        <v>22</v>
      </c>
      <c r="H99">
        <v>45</v>
      </c>
      <c r="I99" t="s">
        <v>720</v>
      </c>
      <c r="J99">
        <v>2023</v>
      </c>
      <c r="K99">
        <v>2</v>
      </c>
      <c r="L99">
        <v>27</v>
      </c>
      <c r="M99">
        <v>18</v>
      </c>
      <c r="N99" s="7">
        <f t="shared" si="7"/>
        <v>67</v>
      </c>
      <c r="O99" s="7" t="str">
        <f t="shared" si="10"/>
        <v>Popular</v>
      </c>
      <c r="P99" s="7" t="str">
        <f t="shared" si="8"/>
        <v>No</v>
      </c>
      <c r="Q99" s="7" t="str">
        <f t="shared" si="9"/>
        <v>Wide Reach</v>
      </c>
      <c r="R99" s="7" t="str">
        <f t="shared" si="11"/>
        <v>Evening</v>
      </c>
      <c r="S99" s="7" t="str">
        <f t="shared" si="12"/>
        <v>North America</v>
      </c>
      <c r="T99" s="30">
        <f t="shared" si="13"/>
        <v>2.0454545454545454</v>
      </c>
      <c r="U99" s="6"/>
      <c r="V99" s="6"/>
    </row>
    <row r="100" spans="1:22" x14ac:dyDescent="0.3">
      <c r="A100" t="s">
        <v>1050</v>
      </c>
      <c r="B100" t="s">
        <v>1724</v>
      </c>
      <c r="C100" t="s">
        <v>788</v>
      </c>
      <c r="D100" s="1">
        <v>44985.479166666664</v>
      </c>
      <c r="E100" t="s">
        <v>761</v>
      </c>
      <c r="F100" t="s">
        <v>117</v>
      </c>
      <c r="G100">
        <v>20</v>
      </c>
      <c r="H100">
        <v>40</v>
      </c>
      <c r="I100" t="s">
        <v>30</v>
      </c>
      <c r="J100">
        <v>2023</v>
      </c>
      <c r="K100">
        <v>2</v>
      </c>
      <c r="L100">
        <v>28</v>
      </c>
      <c r="M100">
        <v>11</v>
      </c>
      <c r="N100" s="7">
        <f t="shared" si="7"/>
        <v>60</v>
      </c>
      <c r="O100" s="7" t="str">
        <f t="shared" si="10"/>
        <v>Normal</v>
      </c>
      <c r="P100" s="7" t="str">
        <f t="shared" si="8"/>
        <v>No</v>
      </c>
      <c r="Q100" s="7" t="str">
        <f t="shared" si="9"/>
        <v>Standard</v>
      </c>
      <c r="R100" s="7" t="str">
        <f t="shared" si="11"/>
        <v>Morning</v>
      </c>
      <c r="S100" s="7" t="str">
        <f t="shared" si="12"/>
        <v>North America</v>
      </c>
      <c r="T100" s="30">
        <f t="shared" si="13"/>
        <v>2</v>
      </c>
      <c r="U100" s="6"/>
      <c r="V100" s="6"/>
    </row>
    <row r="101" spans="1:22" x14ac:dyDescent="0.3">
      <c r="A101" t="s">
        <v>1051</v>
      </c>
      <c r="B101" t="s">
        <v>1725</v>
      </c>
      <c r="C101" t="s">
        <v>789</v>
      </c>
      <c r="D101" s="1">
        <v>44985.666666666664</v>
      </c>
      <c r="E101" t="s">
        <v>762</v>
      </c>
      <c r="F101" t="s">
        <v>118</v>
      </c>
      <c r="G101">
        <v>30</v>
      </c>
      <c r="H101">
        <v>60</v>
      </c>
      <c r="I101" t="s">
        <v>722</v>
      </c>
      <c r="J101">
        <v>2023</v>
      </c>
      <c r="K101">
        <v>2</v>
      </c>
      <c r="L101">
        <v>28</v>
      </c>
      <c r="M101">
        <v>16</v>
      </c>
      <c r="N101" s="7">
        <f t="shared" si="7"/>
        <v>90</v>
      </c>
      <c r="O101" s="7" t="str">
        <f t="shared" si="10"/>
        <v>Popular</v>
      </c>
      <c r="P101" s="7" t="str">
        <f t="shared" si="8"/>
        <v>Yes</v>
      </c>
      <c r="Q101" s="7" t="str">
        <f t="shared" si="9"/>
        <v>Wide Reach</v>
      </c>
      <c r="R101" s="7" t="str">
        <f t="shared" si="11"/>
        <v>Afternoon</v>
      </c>
      <c r="S101" s="7" t="str">
        <f t="shared" si="12"/>
        <v>Europe</v>
      </c>
      <c r="T101" s="30">
        <f t="shared" si="13"/>
        <v>2</v>
      </c>
      <c r="U101" s="6"/>
      <c r="V101" s="6"/>
    </row>
    <row r="102" spans="1:22" x14ac:dyDescent="0.3">
      <c r="A102" t="s">
        <v>1052</v>
      </c>
      <c r="B102" t="s">
        <v>1726</v>
      </c>
      <c r="C102" t="s">
        <v>790</v>
      </c>
      <c r="D102" s="1">
        <v>44985.822916666664</v>
      </c>
      <c r="E102" t="s">
        <v>763</v>
      </c>
      <c r="F102" t="s">
        <v>96</v>
      </c>
      <c r="G102">
        <v>15</v>
      </c>
      <c r="H102">
        <v>30</v>
      </c>
      <c r="I102" t="s">
        <v>732</v>
      </c>
      <c r="J102">
        <v>2023</v>
      </c>
      <c r="K102">
        <v>2</v>
      </c>
      <c r="L102">
        <v>28</v>
      </c>
      <c r="M102">
        <v>19</v>
      </c>
      <c r="N102" s="7">
        <f t="shared" si="7"/>
        <v>45</v>
      </c>
      <c r="O102" s="7" t="str">
        <f t="shared" si="10"/>
        <v>Normal</v>
      </c>
      <c r="P102" s="7" t="str">
        <f t="shared" si="8"/>
        <v>No</v>
      </c>
      <c r="Q102" s="7" t="str">
        <f t="shared" si="9"/>
        <v>Standard</v>
      </c>
      <c r="R102" s="7" t="str">
        <f t="shared" si="11"/>
        <v>Evening</v>
      </c>
      <c r="S102" s="7" t="str">
        <f t="shared" si="12"/>
        <v>Asia</v>
      </c>
      <c r="T102" s="30">
        <f t="shared" si="13"/>
        <v>2</v>
      </c>
      <c r="U102" s="6"/>
      <c r="V102" s="6"/>
    </row>
    <row r="103" spans="1:22" x14ac:dyDescent="0.3">
      <c r="A103" t="s">
        <v>1053</v>
      </c>
      <c r="B103" t="s">
        <v>1727</v>
      </c>
      <c r="C103" t="s">
        <v>781</v>
      </c>
      <c r="D103" s="1">
        <v>44986.447916666664</v>
      </c>
      <c r="E103" t="s">
        <v>761</v>
      </c>
      <c r="F103" t="s">
        <v>119</v>
      </c>
      <c r="G103">
        <v>22</v>
      </c>
      <c r="H103">
        <v>45</v>
      </c>
      <c r="I103" t="s">
        <v>731</v>
      </c>
      <c r="J103">
        <v>2023</v>
      </c>
      <c r="K103">
        <v>3</v>
      </c>
      <c r="L103">
        <v>1</v>
      </c>
      <c r="M103">
        <v>10</v>
      </c>
      <c r="N103" s="7">
        <f t="shared" si="7"/>
        <v>67</v>
      </c>
      <c r="O103" s="7" t="str">
        <f t="shared" si="10"/>
        <v>Popular</v>
      </c>
      <c r="P103" s="7" t="str">
        <f t="shared" si="8"/>
        <v>No</v>
      </c>
      <c r="Q103" s="7" t="str">
        <f t="shared" si="9"/>
        <v>Wide Reach</v>
      </c>
      <c r="R103" s="7" t="str">
        <f t="shared" si="11"/>
        <v>Morning</v>
      </c>
      <c r="S103" s="7" t="str">
        <f t="shared" si="12"/>
        <v>Oceania</v>
      </c>
      <c r="T103" s="30">
        <f t="shared" si="13"/>
        <v>2.0454545454545454</v>
      </c>
      <c r="U103" s="6"/>
      <c r="V103" s="6"/>
    </row>
    <row r="104" spans="1:22" x14ac:dyDescent="0.3">
      <c r="A104" t="s">
        <v>1054</v>
      </c>
      <c r="B104" t="s">
        <v>1728</v>
      </c>
      <c r="C104" t="s">
        <v>787</v>
      </c>
      <c r="D104" s="1">
        <v>44986.5625</v>
      </c>
      <c r="E104" t="s">
        <v>762</v>
      </c>
      <c r="F104" t="s">
        <v>120</v>
      </c>
      <c r="G104">
        <v>18</v>
      </c>
      <c r="H104">
        <v>35</v>
      </c>
      <c r="I104" t="s">
        <v>30</v>
      </c>
      <c r="J104">
        <v>2023</v>
      </c>
      <c r="K104">
        <v>3</v>
      </c>
      <c r="L104">
        <v>1</v>
      </c>
      <c r="M104">
        <v>13</v>
      </c>
      <c r="N104" s="7">
        <f t="shared" si="7"/>
        <v>53</v>
      </c>
      <c r="O104" s="7" t="str">
        <f t="shared" si="10"/>
        <v>Normal</v>
      </c>
      <c r="P104" s="7" t="str">
        <f t="shared" si="8"/>
        <v>No</v>
      </c>
      <c r="Q104" s="7" t="str">
        <f t="shared" si="9"/>
        <v>Standard</v>
      </c>
      <c r="R104" s="7" t="str">
        <f t="shared" si="11"/>
        <v>Afternoon</v>
      </c>
      <c r="S104" s="7" t="str">
        <f t="shared" si="12"/>
        <v>North America</v>
      </c>
      <c r="T104" s="30">
        <f t="shared" si="13"/>
        <v>1.9444444444444444</v>
      </c>
      <c r="U104" s="6"/>
      <c r="V104" s="6"/>
    </row>
    <row r="105" spans="1:22" x14ac:dyDescent="0.3">
      <c r="A105" t="s">
        <v>1055</v>
      </c>
      <c r="B105" t="s">
        <v>1729</v>
      </c>
      <c r="C105" t="s">
        <v>784</v>
      </c>
      <c r="D105" s="1">
        <v>44986.739583333336</v>
      </c>
      <c r="E105" t="s">
        <v>761</v>
      </c>
      <c r="F105" t="s">
        <v>121</v>
      </c>
      <c r="G105">
        <v>15</v>
      </c>
      <c r="H105">
        <v>30</v>
      </c>
      <c r="I105" t="s">
        <v>720</v>
      </c>
      <c r="J105">
        <v>2023</v>
      </c>
      <c r="K105">
        <v>3</v>
      </c>
      <c r="L105">
        <v>1</v>
      </c>
      <c r="M105">
        <v>17</v>
      </c>
      <c r="N105" s="7">
        <f t="shared" si="7"/>
        <v>45</v>
      </c>
      <c r="O105" s="7" t="str">
        <f t="shared" si="10"/>
        <v>Normal</v>
      </c>
      <c r="P105" s="7" t="str">
        <f t="shared" si="8"/>
        <v>No</v>
      </c>
      <c r="Q105" s="7" t="str">
        <f t="shared" si="9"/>
        <v>Standard</v>
      </c>
      <c r="R105" s="7" t="str">
        <f t="shared" si="11"/>
        <v>Afternoon</v>
      </c>
      <c r="S105" s="7" t="str">
        <f t="shared" si="12"/>
        <v>North America</v>
      </c>
      <c r="T105" s="30">
        <f t="shared" si="13"/>
        <v>2</v>
      </c>
      <c r="U105" s="6"/>
      <c r="V105" s="6"/>
    </row>
    <row r="106" spans="1:22" x14ac:dyDescent="0.3">
      <c r="A106" t="s">
        <v>1056</v>
      </c>
      <c r="B106" t="s">
        <v>1730</v>
      </c>
      <c r="C106" t="s">
        <v>785</v>
      </c>
      <c r="D106" s="1">
        <v>44987.75</v>
      </c>
      <c r="E106" t="s">
        <v>763</v>
      </c>
      <c r="F106" t="s">
        <v>122</v>
      </c>
      <c r="G106">
        <v>15</v>
      </c>
      <c r="H106">
        <v>30</v>
      </c>
      <c r="I106" t="s">
        <v>722</v>
      </c>
      <c r="J106">
        <v>2023</v>
      </c>
      <c r="K106">
        <v>3</v>
      </c>
      <c r="L106">
        <v>2</v>
      </c>
      <c r="M106">
        <v>18</v>
      </c>
      <c r="N106" s="7">
        <f t="shared" si="7"/>
        <v>45</v>
      </c>
      <c r="O106" s="7" t="str">
        <f t="shared" si="10"/>
        <v>Normal</v>
      </c>
      <c r="P106" s="7" t="str">
        <f t="shared" si="8"/>
        <v>No</v>
      </c>
      <c r="Q106" s="7" t="str">
        <f t="shared" si="9"/>
        <v>Standard</v>
      </c>
      <c r="R106" s="7" t="str">
        <f t="shared" si="11"/>
        <v>Evening</v>
      </c>
      <c r="S106" s="7" t="str">
        <f t="shared" si="12"/>
        <v>Europe</v>
      </c>
      <c r="T106" s="30">
        <f t="shared" si="13"/>
        <v>2</v>
      </c>
      <c r="U106" s="6"/>
      <c r="V106" s="6"/>
    </row>
    <row r="107" spans="1:22" x14ac:dyDescent="0.3">
      <c r="A107" t="s">
        <v>1057</v>
      </c>
      <c r="B107" t="s">
        <v>1731</v>
      </c>
      <c r="C107" t="s">
        <v>786</v>
      </c>
      <c r="D107" s="1">
        <v>44987.552083333336</v>
      </c>
      <c r="E107" t="s">
        <v>762</v>
      </c>
      <c r="F107" t="s">
        <v>123</v>
      </c>
      <c r="G107">
        <v>30</v>
      </c>
      <c r="H107">
        <v>60</v>
      </c>
      <c r="I107" t="s">
        <v>30</v>
      </c>
      <c r="J107">
        <v>2023</v>
      </c>
      <c r="K107">
        <v>3</v>
      </c>
      <c r="L107">
        <v>2</v>
      </c>
      <c r="M107">
        <v>13</v>
      </c>
      <c r="N107" s="7">
        <f t="shared" si="7"/>
        <v>90</v>
      </c>
      <c r="O107" s="7" t="str">
        <f t="shared" si="10"/>
        <v>Popular</v>
      </c>
      <c r="P107" s="7" t="str">
        <f t="shared" si="8"/>
        <v>Yes</v>
      </c>
      <c r="Q107" s="7" t="str">
        <f t="shared" si="9"/>
        <v>Wide Reach</v>
      </c>
      <c r="R107" s="7" t="str">
        <f t="shared" si="11"/>
        <v>Afternoon</v>
      </c>
      <c r="S107" s="7" t="str">
        <f t="shared" si="12"/>
        <v>North America</v>
      </c>
      <c r="T107" s="30">
        <f t="shared" si="13"/>
        <v>2</v>
      </c>
      <c r="U107" s="6"/>
      <c r="V107" s="6"/>
    </row>
    <row r="108" spans="1:22" x14ac:dyDescent="0.3">
      <c r="A108" t="s">
        <v>1058</v>
      </c>
      <c r="B108" t="s">
        <v>1732</v>
      </c>
      <c r="C108" t="s">
        <v>787</v>
      </c>
      <c r="D108" s="1">
        <v>44987.697916666664</v>
      </c>
      <c r="E108" t="s">
        <v>761</v>
      </c>
      <c r="F108" t="s">
        <v>124</v>
      </c>
      <c r="G108">
        <v>25</v>
      </c>
      <c r="H108">
        <v>50</v>
      </c>
      <c r="I108" t="s">
        <v>732</v>
      </c>
      <c r="J108">
        <v>2023</v>
      </c>
      <c r="K108">
        <v>3</v>
      </c>
      <c r="L108">
        <v>2</v>
      </c>
      <c r="M108">
        <v>16</v>
      </c>
      <c r="N108" s="7">
        <f t="shared" si="7"/>
        <v>75</v>
      </c>
      <c r="O108" s="7" t="str">
        <f t="shared" si="10"/>
        <v>Popular</v>
      </c>
      <c r="P108" s="7" t="str">
        <f t="shared" si="8"/>
        <v>No</v>
      </c>
      <c r="Q108" s="7" t="str">
        <f t="shared" si="9"/>
        <v>Wide Reach</v>
      </c>
      <c r="R108" s="7" t="str">
        <f t="shared" si="11"/>
        <v>Afternoon</v>
      </c>
      <c r="S108" s="7" t="str">
        <f t="shared" si="12"/>
        <v>Asia</v>
      </c>
      <c r="T108" s="30">
        <f t="shared" si="13"/>
        <v>2</v>
      </c>
      <c r="U108" s="6"/>
      <c r="V108" s="6"/>
    </row>
    <row r="109" spans="1:22" x14ac:dyDescent="0.3">
      <c r="A109" t="s">
        <v>1059</v>
      </c>
      <c r="B109" t="s">
        <v>1733</v>
      </c>
      <c r="C109" t="s">
        <v>788</v>
      </c>
      <c r="D109" s="1">
        <v>44988.479166666664</v>
      </c>
      <c r="E109" t="s">
        <v>763</v>
      </c>
      <c r="F109" t="s">
        <v>125</v>
      </c>
      <c r="G109">
        <v>22</v>
      </c>
      <c r="H109">
        <v>45</v>
      </c>
      <c r="I109" t="s">
        <v>30</v>
      </c>
      <c r="J109">
        <v>2023</v>
      </c>
      <c r="K109">
        <v>3</v>
      </c>
      <c r="L109">
        <v>3</v>
      </c>
      <c r="M109">
        <v>11</v>
      </c>
      <c r="N109" s="7">
        <f t="shared" si="7"/>
        <v>67</v>
      </c>
      <c r="O109" s="7" t="str">
        <f t="shared" si="10"/>
        <v>Popular</v>
      </c>
      <c r="P109" s="7" t="str">
        <f t="shared" si="8"/>
        <v>No</v>
      </c>
      <c r="Q109" s="7" t="str">
        <f t="shared" si="9"/>
        <v>Wide Reach</v>
      </c>
      <c r="R109" s="7" t="str">
        <f t="shared" si="11"/>
        <v>Morning</v>
      </c>
      <c r="S109" s="7" t="str">
        <f t="shared" si="12"/>
        <v>North America</v>
      </c>
      <c r="T109" s="30">
        <f t="shared" si="13"/>
        <v>2.0454545454545454</v>
      </c>
      <c r="U109" s="6"/>
      <c r="V109" s="6"/>
    </row>
    <row r="110" spans="1:22" x14ac:dyDescent="0.3">
      <c r="A110" t="s">
        <v>1060</v>
      </c>
      <c r="B110" t="s">
        <v>1734</v>
      </c>
      <c r="C110" t="s">
        <v>789</v>
      </c>
      <c r="D110" s="1">
        <v>44988.604166666664</v>
      </c>
      <c r="E110" t="s">
        <v>762</v>
      </c>
      <c r="F110" t="s">
        <v>126</v>
      </c>
      <c r="G110">
        <v>12</v>
      </c>
      <c r="H110">
        <v>25</v>
      </c>
      <c r="I110" t="s">
        <v>720</v>
      </c>
      <c r="J110">
        <v>2023</v>
      </c>
      <c r="K110">
        <v>3</v>
      </c>
      <c r="L110">
        <v>3</v>
      </c>
      <c r="M110">
        <v>14</v>
      </c>
      <c r="N110" s="7">
        <f t="shared" si="7"/>
        <v>37</v>
      </c>
      <c r="O110" s="7" t="str">
        <f t="shared" si="10"/>
        <v>Normal</v>
      </c>
      <c r="P110" s="7" t="str">
        <f t="shared" si="8"/>
        <v>No</v>
      </c>
      <c r="Q110" s="7" t="str">
        <f t="shared" si="9"/>
        <v>Standard</v>
      </c>
      <c r="R110" s="7" t="str">
        <f t="shared" si="11"/>
        <v>Afternoon</v>
      </c>
      <c r="S110" s="7" t="str">
        <f t="shared" si="12"/>
        <v>North America</v>
      </c>
      <c r="T110" s="30">
        <f t="shared" si="13"/>
        <v>2.0833333333333335</v>
      </c>
      <c r="U110" s="6"/>
      <c r="V110" s="6"/>
    </row>
    <row r="111" spans="1:22" x14ac:dyDescent="0.3">
      <c r="A111" t="s">
        <v>1061</v>
      </c>
      <c r="B111" t="s">
        <v>1735</v>
      </c>
      <c r="C111" t="s">
        <v>790</v>
      </c>
      <c r="D111" s="1">
        <v>44988.5</v>
      </c>
      <c r="E111" t="s">
        <v>761</v>
      </c>
      <c r="F111" t="s">
        <v>127</v>
      </c>
      <c r="G111">
        <v>15</v>
      </c>
      <c r="H111">
        <v>30</v>
      </c>
      <c r="I111" t="s">
        <v>722</v>
      </c>
      <c r="J111">
        <v>2023</v>
      </c>
      <c r="K111">
        <v>3</v>
      </c>
      <c r="L111">
        <v>3</v>
      </c>
      <c r="M111">
        <v>12</v>
      </c>
      <c r="N111" s="7">
        <f t="shared" si="7"/>
        <v>45</v>
      </c>
      <c r="O111" s="7" t="str">
        <f t="shared" si="10"/>
        <v>Normal</v>
      </c>
      <c r="P111" s="7" t="str">
        <f t="shared" si="8"/>
        <v>No</v>
      </c>
      <c r="Q111" s="7" t="str">
        <f t="shared" si="9"/>
        <v>Standard</v>
      </c>
      <c r="R111" s="7" t="str">
        <f t="shared" si="11"/>
        <v>Afternoon</v>
      </c>
      <c r="S111" s="7" t="str">
        <f t="shared" si="12"/>
        <v>Europe</v>
      </c>
      <c r="T111" s="30">
        <f t="shared" si="13"/>
        <v>2</v>
      </c>
      <c r="U111" s="6"/>
      <c r="V111" s="6"/>
    </row>
    <row r="112" spans="1:22" x14ac:dyDescent="0.3">
      <c r="A112" t="s">
        <v>1062</v>
      </c>
      <c r="B112" t="s">
        <v>1736</v>
      </c>
      <c r="C112" t="s">
        <v>791</v>
      </c>
      <c r="D112" s="1">
        <v>40313.645833333336</v>
      </c>
      <c r="E112" t="s">
        <v>761</v>
      </c>
      <c r="F112" t="s">
        <v>128</v>
      </c>
      <c r="G112">
        <v>20</v>
      </c>
      <c r="H112">
        <v>40</v>
      </c>
      <c r="I112" t="s">
        <v>720</v>
      </c>
      <c r="J112">
        <v>2010</v>
      </c>
      <c r="K112">
        <v>5</v>
      </c>
      <c r="L112">
        <v>15</v>
      </c>
      <c r="M112">
        <v>15</v>
      </c>
      <c r="N112" s="7">
        <f t="shared" si="7"/>
        <v>60</v>
      </c>
      <c r="O112" s="7" t="str">
        <f t="shared" si="10"/>
        <v>Normal</v>
      </c>
      <c r="P112" s="7" t="str">
        <f t="shared" si="8"/>
        <v>No</v>
      </c>
      <c r="Q112" s="7" t="str">
        <f t="shared" si="9"/>
        <v>Standard</v>
      </c>
      <c r="R112" s="7" t="str">
        <f t="shared" si="11"/>
        <v>Afternoon</v>
      </c>
      <c r="S112" s="7" t="str">
        <f t="shared" si="12"/>
        <v>North America</v>
      </c>
      <c r="T112" s="30">
        <f t="shared" si="13"/>
        <v>2</v>
      </c>
      <c r="U112" s="6"/>
      <c r="V112" s="6"/>
    </row>
    <row r="113" spans="1:22" x14ac:dyDescent="0.3">
      <c r="A113" t="s">
        <v>1063</v>
      </c>
      <c r="B113" t="s">
        <v>1737</v>
      </c>
      <c r="C113" t="s">
        <v>792</v>
      </c>
      <c r="D113" s="1">
        <v>44418.885416666664</v>
      </c>
      <c r="E113" t="s">
        <v>762</v>
      </c>
      <c r="F113" t="s">
        <v>129</v>
      </c>
      <c r="G113">
        <v>15</v>
      </c>
      <c r="H113">
        <v>30</v>
      </c>
      <c r="I113" t="s">
        <v>30</v>
      </c>
      <c r="J113">
        <v>2021</v>
      </c>
      <c r="K113">
        <v>8</v>
      </c>
      <c r="L113">
        <v>10</v>
      </c>
      <c r="M113">
        <v>21</v>
      </c>
      <c r="N113" s="7">
        <f t="shared" si="7"/>
        <v>45</v>
      </c>
      <c r="O113" s="7" t="str">
        <f t="shared" si="10"/>
        <v>Normal</v>
      </c>
      <c r="P113" s="7" t="str">
        <f t="shared" si="8"/>
        <v>No</v>
      </c>
      <c r="Q113" s="7" t="str">
        <f t="shared" si="9"/>
        <v>Standard</v>
      </c>
      <c r="R113" s="7" t="str">
        <f t="shared" si="11"/>
        <v>Evening</v>
      </c>
      <c r="S113" s="7" t="str">
        <f t="shared" si="12"/>
        <v>North America</v>
      </c>
      <c r="T113" s="30">
        <f t="shared" si="13"/>
        <v>2</v>
      </c>
      <c r="U113" s="6"/>
      <c r="V113" s="6"/>
    </row>
    <row r="114" spans="1:22" x14ac:dyDescent="0.3">
      <c r="A114" t="s">
        <v>1064</v>
      </c>
      <c r="B114" t="s">
        <v>1738</v>
      </c>
      <c r="C114" t="s">
        <v>793</v>
      </c>
      <c r="D114" s="1">
        <v>40714.614583333336</v>
      </c>
      <c r="E114" t="s">
        <v>763</v>
      </c>
      <c r="F114" t="s">
        <v>130</v>
      </c>
      <c r="G114">
        <v>25</v>
      </c>
      <c r="H114">
        <v>50</v>
      </c>
      <c r="I114" t="s">
        <v>732</v>
      </c>
      <c r="J114">
        <v>2011</v>
      </c>
      <c r="K114">
        <v>6</v>
      </c>
      <c r="L114">
        <v>20</v>
      </c>
      <c r="M114">
        <v>14</v>
      </c>
      <c r="N114" s="7">
        <f t="shared" si="7"/>
        <v>75</v>
      </c>
      <c r="O114" s="7" t="str">
        <f t="shared" si="10"/>
        <v>Popular</v>
      </c>
      <c r="P114" s="7" t="str">
        <f t="shared" si="8"/>
        <v>No</v>
      </c>
      <c r="Q114" s="7" t="str">
        <f t="shared" si="9"/>
        <v>Wide Reach</v>
      </c>
      <c r="R114" s="7" t="str">
        <f t="shared" si="11"/>
        <v>Afternoon</v>
      </c>
      <c r="S114" s="7" t="str">
        <f t="shared" si="12"/>
        <v>Asia</v>
      </c>
      <c r="T114" s="30">
        <f t="shared" si="13"/>
        <v>2</v>
      </c>
      <c r="U114" s="6"/>
      <c r="V114" s="6"/>
    </row>
    <row r="115" spans="1:22" x14ac:dyDescent="0.3">
      <c r="A115" t="s">
        <v>1065</v>
      </c>
      <c r="B115" t="s">
        <v>1739</v>
      </c>
      <c r="C115" t="s">
        <v>794</v>
      </c>
      <c r="D115" s="1">
        <v>44604.763888888891</v>
      </c>
      <c r="E115" t="s">
        <v>761</v>
      </c>
      <c r="F115" t="s">
        <v>131</v>
      </c>
      <c r="G115">
        <v>18</v>
      </c>
      <c r="H115">
        <v>35</v>
      </c>
      <c r="I115" t="s">
        <v>722</v>
      </c>
      <c r="J115">
        <v>2022</v>
      </c>
      <c r="K115">
        <v>2</v>
      </c>
      <c r="L115">
        <v>12</v>
      </c>
      <c r="M115">
        <v>18</v>
      </c>
      <c r="N115" s="7">
        <f t="shared" si="7"/>
        <v>53</v>
      </c>
      <c r="O115" s="7" t="str">
        <f t="shared" si="10"/>
        <v>Normal</v>
      </c>
      <c r="P115" s="7" t="str">
        <f t="shared" si="8"/>
        <v>No</v>
      </c>
      <c r="Q115" s="7" t="str">
        <f t="shared" si="9"/>
        <v>Standard</v>
      </c>
      <c r="R115" s="7" t="str">
        <f t="shared" si="11"/>
        <v>Evening</v>
      </c>
      <c r="S115" s="7" t="str">
        <f t="shared" si="12"/>
        <v>Europe</v>
      </c>
      <c r="T115" s="30">
        <f t="shared" si="13"/>
        <v>1.9444444444444444</v>
      </c>
      <c r="U115" s="6"/>
      <c r="V115" s="6"/>
    </row>
    <row r="116" spans="1:22" x14ac:dyDescent="0.3">
      <c r="A116" t="s">
        <v>1066</v>
      </c>
      <c r="B116" t="s">
        <v>1740</v>
      </c>
      <c r="C116" t="s">
        <v>795</v>
      </c>
      <c r="D116" s="1">
        <v>41238.416666666664</v>
      </c>
      <c r="E116" t="s">
        <v>762</v>
      </c>
      <c r="F116" t="s">
        <v>132</v>
      </c>
      <c r="G116">
        <v>30</v>
      </c>
      <c r="H116">
        <v>60</v>
      </c>
      <c r="I116" t="s">
        <v>731</v>
      </c>
      <c r="J116">
        <v>2012</v>
      </c>
      <c r="K116">
        <v>11</v>
      </c>
      <c r="L116">
        <v>25</v>
      </c>
      <c r="M116">
        <v>10</v>
      </c>
      <c r="N116" s="7">
        <f t="shared" si="7"/>
        <v>90</v>
      </c>
      <c r="O116" s="7" t="str">
        <f t="shared" si="10"/>
        <v>Popular</v>
      </c>
      <c r="P116" s="7" t="str">
        <f t="shared" si="8"/>
        <v>Yes</v>
      </c>
      <c r="Q116" s="7" t="str">
        <f t="shared" si="9"/>
        <v>Wide Reach</v>
      </c>
      <c r="R116" s="7" t="str">
        <f t="shared" si="11"/>
        <v>Morning</v>
      </c>
      <c r="S116" s="7" t="str">
        <f t="shared" si="12"/>
        <v>Oceania</v>
      </c>
      <c r="T116" s="30">
        <f t="shared" si="13"/>
        <v>2</v>
      </c>
      <c r="U116" s="6"/>
      <c r="V116" s="6"/>
    </row>
    <row r="117" spans="1:22" x14ac:dyDescent="0.3">
      <c r="A117" t="s">
        <v>1067</v>
      </c>
      <c r="B117" t="s">
        <v>1741</v>
      </c>
      <c r="C117" t="s">
        <v>796</v>
      </c>
      <c r="D117" s="1">
        <v>41369.8125</v>
      </c>
      <c r="E117" t="s">
        <v>763</v>
      </c>
      <c r="F117" t="s">
        <v>133</v>
      </c>
      <c r="G117">
        <v>22</v>
      </c>
      <c r="H117">
        <v>45</v>
      </c>
      <c r="I117" t="s">
        <v>30</v>
      </c>
      <c r="J117">
        <v>2013</v>
      </c>
      <c r="K117">
        <v>4</v>
      </c>
      <c r="L117">
        <v>5</v>
      </c>
      <c r="M117">
        <v>19</v>
      </c>
      <c r="N117" s="7">
        <f t="shared" si="7"/>
        <v>67</v>
      </c>
      <c r="O117" s="7" t="str">
        <f t="shared" si="10"/>
        <v>Popular</v>
      </c>
      <c r="P117" s="7" t="str">
        <f t="shared" si="8"/>
        <v>No</v>
      </c>
      <c r="Q117" s="7" t="str">
        <f t="shared" si="9"/>
        <v>Wide Reach</v>
      </c>
      <c r="R117" s="7" t="str">
        <f t="shared" si="11"/>
        <v>Evening</v>
      </c>
      <c r="S117" s="7" t="str">
        <f t="shared" si="12"/>
        <v>North America</v>
      </c>
      <c r="T117" s="30">
        <f t="shared" si="13"/>
        <v>2.0454545454545454</v>
      </c>
      <c r="U117" s="6"/>
      <c r="V117" s="6"/>
    </row>
    <row r="118" spans="1:22" x14ac:dyDescent="0.3">
      <c r="A118" t="s">
        <v>1068</v>
      </c>
      <c r="B118" t="s">
        <v>1742</v>
      </c>
      <c r="C118" t="s">
        <v>797</v>
      </c>
      <c r="D118" s="1">
        <v>41896.354166666664</v>
      </c>
      <c r="E118" t="s">
        <v>761</v>
      </c>
      <c r="F118" t="s">
        <v>134</v>
      </c>
      <c r="G118">
        <v>15</v>
      </c>
      <c r="H118">
        <v>30</v>
      </c>
      <c r="I118" t="s">
        <v>722</v>
      </c>
      <c r="J118">
        <v>2014</v>
      </c>
      <c r="K118">
        <v>9</v>
      </c>
      <c r="L118">
        <v>14</v>
      </c>
      <c r="M118">
        <v>8</v>
      </c>
      <c r="N118" s="7">
        <f t="shared" si="7"/>
        <v>45</v>
      </c>
      <c r="O118" s="7" t="str">
        <f t="shared" si="10"/>
        <v>Normal</v>
      </c>
      <c r="P118" s="7" t="str">
        <f t="shared" si="8"/>
        <v>No</v>
      </c>
      <c r="Q118" s="7" t="str">
        <f t="shared" si="9"/>
        <v>Standard</v>
      </c>
      <c r="R118" s="7" t="str">
        <f t="shared" si="11"/>
        <v>Morning</v>
      </c>
      <c r="S118" s="7" t="str">
        <f t="shared" si="12"/>
        <v>Europe</v>
      </c>
      <c r="T118" s="30">
        <f t="shared" si="13"/>
        <v>2</v>
      </c>
      <c r="U118" s="6"/>
      <c r="V118" s="6"/>
    </row>
    <row r="119" spans="1:22" x14ac:dyDescent="0.3">
      <c r="A119" t="s">
        <v>1069</v>
      </c>
      <c r="B119" t="s">
        <v>1743</v>
      </c>
      <c r="C119" t="s">
        <v>798</v>
      </c>
      <c r="D119" s="1">
        <v>42203.597222222219</v>
      </c>
      <c r="E119" t="s">
        <v>762</v>
      </c>
      <c r="F119" t="s">
        <v>135</v>
      </c>
      <c r="G119">
        <v>18</v>
      </c>
      <c r="H119">
        <v>35</v>
      </c>
      <c r="I119" t="s">
        <v>720</v>
      </c>
      <c r="J119">
        <v>2015</v>
      </c>
      <c r="K119">
        <v>7</v>
      </c>
      <c r="L119">
        <v>18</v>
      </c>
      <c r="M119">
        <v>14</v>
      </c>
      <c r="N119" s="7">
        <f t="shared" si="7"/>
        <v>53</v>
      </c>
      <c r="O119" s="7" t="str">
        <f t="shared" si="10"/>
        <v>Normal</v>
      </c>
      <c r="P119" s="7" t="str">
        <f t="shared" si="8"/>
        <v>No</v>
      </c>
      <c r="Q119" s="7" t="str">
        <f t="shared" si="9"/>
        <v>Standard</v>
      </c>
      <c r="R119" s="7" t="str">
        <f t="shared" si="11"/>
        <v>Afternoon</v>
      </c>
      <c r="S119" s="7" t="str">
        <f t="shared" si="12"/>
        <v>North America</v>
      </c>
      <c r="T119" s="30">
        <f t="shared" si="13"/>
        <v>1.9444444444444444</v>
      </c>
      <c r="U119" s="6"/>
      <c r="V119" s="6"/>
    </row>
    <row r="120" spans="1:22" x14ac:dyDescent="0.3">
      <c r="A120" t="s">
        <v>1070</v>
      </c>
      <c r="B120" t="s">
        <v>1744</v>
      </c>
      <c r="C120" t="s">
        <v>799</v>
      </c>
      <c r="D120" s="1">
        <v>42423.822916666664</v>
      </c>
      <c r="E120" t="s">
        <v>763</v>
      </c>
      <c r="F120" t="s">
        <v>136</v>
      </c>
      <c r="G120">
        <v>25</v>
      </c>
      <c r="H120">
        <v>50</v>
      </c>
      <c r="I120" t="s">
        <v>722</v>
      </c>
      <c r="J120">
        <v>2016</v>
      </c>
      <c r="K120">
        <v>2</v>
      </c>
      <c r="L120">
        <v>23</v>
      </c>
      <c r="M120">
        <v>19</v>
      </c>
      <c r="N120" s="7">
        <f t="shared" si="7"/>
        <v>75</v>
      </c>
      <c r="O120" s="7" t="str">
        <f t="shared" si="10"/>
        <v>Popular</v>
      </c>
      <c r="P120" s="7" t="str">
        <f t="shared" si="8"/>
        <v>No</v>
      </c>
      <c r="Q120" s="7" t="str">
        <f t="shared" si="9"/>
        <v>Wide Reach</v>
      </c>
      <c r="R120" s="7" t="str">
        <f t="shared" si="11"/>
        <v>Evening</v>
      </c>
      <c r="S120" s="7" t="str">
        <f t="shared" si="12"/>
        <v>Europe</v>
      </c>
      <c r="T120" s="30">
        <f t="shared" si="13"/>
        <v>2</v>
      </c>
      <c r="U120" s="6"/>
      <c r="V120" s="6"/>
    </row>
    <row r="121" spans="1:22" x14ac:dyDescent="0.3">
      <c r="A121" t="s">
        <v>1071</v>
      </c>
      <c r="B121" t="s">
        <v>1745</v>
      </c>
      <c r="C121" t="s">
        <v>800</v>
      </c>
      <c r="D121" s="1">
        <v>43038.479166666664</v>
      </c>
      <c r="E121" t="s">
        <v>761</v>
      </c>
      <c r="F121" t="s">
        <v>137</v>
      </c>
      <c r="G121">
        <v>20</v>
      </c>
      <c r="H121">
        <v>40</v>
      </c>
      <c r="I121" t="s">
        <v>731</v>
      </c>
      <c r="J121">
        <v>2017</v>
      </c>
      <c r="K121">
        <v>10</v>
      </c>
      <c r="L121">
        <v>30</v>
      </c>
      <c r="M121">
        <v>11</v>
      </c>
      <c r="N121" s="7">
        <f t="shared" si="7"/>
        <v>60</v>
      </c>
      <c r="O121" s="7" t="str">
        <f t="shared" si="10"/>
        <v>Normal</v>
      </c>
      <c r="P121" s="7" t="str">
        <f t="shared" si="8"/>
        <v>No</v>
      </c>
      <c r="Q121" s="7" t="str">
        <f t="shared" si="9"/>
        <v>Standard</v>
      </c>
      <c r="R121" s="7" t="str">
        <f t="shared" si="11"/>
        <v>Morning</v>
      </c>
      <c r="S121" s="7" t="str">
        <f t="shared" si="12"/>
        <v>Oceania</v>
      </c>
      <c r="T121" s="30">
        <f t="shared" si="13"/>
        <v>2</v>
      </c>
      <c r="U121" s="6"/>
      <c r="V121" s="6"/>
    </row>
    <row r="122" spans="1:22" x14ac:dyDescent="0.3">
      <c r="A122" t="s">
        <v>1072</v>
      </c>
      <c r="B122" t="s">
        <v>1746</v>
      </c>
      <c r="C122" t="s">
        <v>801</v>
      </c>
      <c r="D122" s="1">
        <v>43266.666666666664</v>
      </c>
      <c r="E122" t="s">
        <v>762</v>
      </c>
      <c r="F122" t="s">
        <v>138</v>
      </c>
      <c r="G122">
        <v>15</v>
      </c>
      <c r="H122">
        <v>30</v>
      </c>
      <c r="I122" t="s">
        <v>30</v>
      </c>
      <c r="J122">
        <v>2018</v>
      </c>
      <c r="K122">
        <v>6</v>
      </c>
      <c r="L122">
        <v>15</v>
      </c>
      <c r="M122">
        <v>16</v>
      </c>
      <c r="N122" s="7">
        <f t="shared" si="7"/>
        <v>45</v>
      </c>
      <c r="O122" s="7" t="str">
        <f t="shared" si="10"/>
        <v>Normal</v>
      </c>
      <c r="P122" s="7" t="str">
        <f t="shared" si="8"/>
        <v>No</v>
      </c>
      <c r="Q122" s="7" t="str">
        <f t="shared" si="9"/>
        <v>Standard</v>
      </c>
      <c r="R122" s="7" t="str">
        <f t="shared" si="11"/>
        <v>Afternoon</v>
      </c>
      <c r="S122" s="7" t="str">
        <f t="shared" si="12"/>
        <v>North America</v>
      </c>
      <c r="T122" s="30">
        <f t="shared" si="13"/>
        <v>2</v>
      </c>
      <c r="U122" s="6"/>
      <c r="V122" s="6"/>
    </row>
    <row r="123" spans="1:22" x14ac:dyDescent="0.3">
      <c r="A123" t="s">
        <v>1073</v>
      </c>
      <c r="B123" t="s">
        <v>1747</v>
      </c>
      <c r="C123" t="s">
        <v>802</v>
      </c>
      <c r="D123" s="1">
        <v>43552.763888888891</v>
      </c>
      <c r="E123" t="s">
        <v>763</v>
      </c>
      <c r="F123" t="s">
        <v>139</v>
      </c>
      <c r="G123">
        <v>22</v>
      </c>
      <c r="H123">
        <v>45</v>
      </c>
      <c r="I123" t="s">
        <v>732</v>
      </c>
      <c r="J123">
        <v>2019</v>
      </c>
      <c r="K123">
        <v>3</v>
      </c>
      <c r="L123">
        <v>28</v>
      </c>
      <c r="M123">
        <v>18</v>
      </c>
      <c r="N123" s="7">
        <f t="shared" si="7"/>
        <v>67</v>
      </c>
      <c r="O123" s="7" t="str">
        <f t="shared" si="10"/>
        <v>Popular</v>
      </c>
      <c r="P123" s="7" t="str">
        <f t="shared" si="8"/>
        <v>No</v>
      </c>
      <c r="Q123" s="7" t="str">
        <f t="shared" si="9"/>
        <v>Wide Reach</v>
      </c>
      <c r="R123" s="7" t="str">
        <f t="shared" si="11"/>
        <v>Evening</v>
      </c>
      <c r="S123" s="7" t="str">
        <f t="shared" si="12"/>
        <v>Asia</v>
      </c>
      <c r="T123" s="30">
        <f t="shared" si="13"/>
        <v>2.0454545454545454</v>
      </c>
      <c r="U123" s="6"/>
      <c r="V123" s="6"/>
    </row>
    <row r="124" spans="1:22" x14ac:dyDescent="0.3">
      <c r="A124" t="s">
        <v>1074</v>
      </c>
      <c r="B124" t="s">
        <v>1748</v>
      </c>
      <c r="C124" t="s">
        <v>803</v>
      </c>
      <c r="D124" s="1">
        <v>43780.625</v>
      </c>
      <c r="E124" t="s">
        <v>761</v>
      </c>
      <c r="F124" t="s">
        <v>140</v>
      </c>
      <c r="G124">
        <v>18</v>
      </c>
      <c r="H124">
        <v>35</v>
      </c>
      <c r="I124" t="s">
        <v>722</v>
      </c>
      <c r="J124">
        <v>2019</v>
      </c>
      <c r="K124">
        <v>11</v>
      </c>
      <c r="L124">
        <v>11</v>
      </c>
      <c r="M124">
        <v>15</v>
      </c>
      <c r="N124" s="7">
        <f t="shared" si="7"/>
        <v>53</v>
      </c>
      <c r="O124" s="7" t="str">
        <f t="shared" si="10"/>
        <v>Normal</v>
      </c>
      <c r="P124" s="7" t="str">
        <f t="shared" si="8"/>
        <v>No</v>
      </c>
      <c r="Q124" s="7" t="str">
        <f t="shared" si="9"/>
        <v>Standard</v>
      </c>
      <c r="R124" s="7" t="str">
        <f t="shared" si="11"/>
        <v>Afternoon</v>
      </c>
      <c r="S124" s="7" t="str">
        <f t="shared" si="12"/>
        <v>Europe</v>
      </c>
      <c r="T124" s="30">
        <f t="shared" si="13"/>
        <v>1.9444444444444444</v>
      </c>
      <c r="U124" s="6"/>
      <c r="V124" s="6"/>
    </row>
    <row r="125" spans="1:22" x14ac:dyDescent="0.3">
      <c r="A125" t="s">
        <v>1075</v>
      </c>
      <c r="B125" t="s">
        <v>1749</v>
      </c>
      <c r="C125" t="s">
        <v>791</v>
      </c>
      <c r="D125" s="1">
        <v>43923.395833333336</v>
      </c>
      <c r="E125" t="s">
        <v>762</v>
      </c>
      <c r="F125" t="s">
        <v>141</v>
      </c>
      <c r="G125">
        <v>25</v>
      </c>
      <c r="H125">
        <v>50</v>
      </c>
      <c r="I125" t="s">
        <v>720</v>
      </c>
      <c r="J125">
        <v>2020</v>
      </c>
      <c r="K125">
        <v>4</v>
      </c>
      <c r="L125">
        <v>2</v>
      </c>
      <c r="M125">
        <v>9</v>
      </c>
      <c r="N125" s="7">
        <f t="shared" si="7"/>
        <v>75</v>
      </c>
      <c r="O125" s="7" t="str">
        <f t="shared" si="10"/>
        <v>Popular</v>
      </c>
      <c r="P125" s="7" t="str">
        <f t="shared" si="8"/>
        <v>No</v>
      </c>
      <c r="Q125" s="7" t="str">
        <f t="shared" si="9"/>
        <v>Wide Reach</v>
      </c>
      <c r="R125" s="7" t="str">
        <f t="shared" si="11"/>
        <v>Morning</v>
      </c>
      <c r="S125" s="7" t="str">
        <f t="shared" si="12"/>
        <v>North America</v>
      </c>
      <c r="T125" s="30">
        <f t="shared" si="13"/>
        <v>2</v>
      </c>
      <c r="U125" s="6"/>
      <c r="V125" s="6"/>
    </row>
    <row r="126" spans="1:22" x14ac:dyDescent="0.3">
      <c r="A126" t="s">
        <v>1076</v>
      </c>
      <c r="B126" t="s">
        <v>1750</v>
      </c>
      <c r="C126" t="s">
        <v>792</v>
      </c>
      <c r="D126" s="1">
        <v>44366.614583333336</v>
      </c>
      <c r="E126" t="s">
        <v>763</v>
      </c>
      <c r="F126" t="s">
        <v>142</v>
      </c>
      <c r="G126">
        <v>15</v>
      </c>
      <c r="H126">
        <v>30</v>
      </c>
      <c r="I126" t="s">
        <v>30</v>
      </c>
      <c r="J126">
        <v>2021</v>
      </c>
      <c r="K126">
        <v>6</v>
      </c>
      <c r="L126">
        <v>19</v>
      </c>
      <c r="M126">
        <v>14</v>
      </c>
      <c r="N126" s="7">
        <f t="shared" si="7"/>
        <v>45</v>
      </c>
      <c r="O126" s="7" t="str">
        <f t="shared" si="10"/>
        <v>Normal</v>
      </c>
      <c r="P126" s="7" t="str">
        <f t="shared" si="8"/>
        <v>No</v>
      </c>
      <c r="Q126" s="7" t="str">
        <f t="shared" si="9"/>
        <v>Standard</v>
      </c>
      <c r="R126" s="7" t="str">
        <f t="shared" si="11"/>
        <v>Afternoon</v>
      </c>
      <c r="S126" s="7" t="str">
        <f t="shared" si="12"/>
        <v>North America</v>
      </c>
      <c r="T126" s="30">
        <f t="shared" si="13"/>
        <v>2</v>
      </c>
      <c r="U126" s="6"/>
      <c r="V126" s="6"/>
    </row>
    <row r="127" spans="1:22" x14ac:dyDescent="0.3">
      <c r="A127" t="s">
        <v>1077</v>
      </c>
      <c r="B127" t="s">
        <v>1751</v>
      </c>
      <c r="C127" t="s">
        <v>793</v>
      </c>
      <c r="D127" s="1">
        <v>40405.416666666664</v>
      </c>
      <c r="E127" t="s">
        <v>761</v>
      </c>
      <c r="F127" t="s">
        <v>143</v>
      </c>
      <c r="G127">
        <v>30</v>
      </c>
      <c r="H127">
        <v>60</v>
      </c>
      <c r="I127" t="s">
        <v>731</v>
      </c>
      <c r="J127">
        <v>2010</v>
      </c>
      <c r="K127">
        <v>8</v>
      </c>
      <c r="L127">
        <v>15</v>
      </c>
      <c r="M127">
        <v>10</v>
      </c>
      <c r="N127" s="7">
        <f t="shared" si="7"/>
        <v>90</v>
      </c>
      <c r="O127" s="7" t="str">
        <f t="shared" si="10"/>
        <v>Popular</v>
      </c>
      <c r="P127" s="7" t="str">
        <f t="shared" si="8"/>
        <v>Yes</v>
      </c>
      <c r="Q127" s="7" t="str">
        <f t="shared" si="9"/>
        <v>Wide Reach</v>
      </c>
      <c r="R127" s="7" t="str">
        <f t="shared" si="11"/>
        <v>Morning</v>
      </c>
      <c r="S127" s="7" t="str">
        <f t="shared" si="12"/>
        <v>Oceania</v>
      </c>
      <c r="T127" s="30">
        <f t="shared" si="13"/>
        <v>2</v>
      </c>
      <c r="U127" s="6"/>
      <c r="V127" s="6"/>
    </row>
    <row r="128" spans="1:22" x14ac:dyDescent="0.3">
      <c r="A128" t="s">
        <v>1078</v>
      </c>
      <c r="B128" t="s">
        <v>1752</v>
      </c>
      <c r="C128" t="s">
        <v>794</v>
      </c>
      <c r="D128" s="1">
        <v>40808.8125</v>
      </c>
      <c r="E128" t="s">
        <v>762</v>
      </c>
      <c r="F128" t="s">
        <v>144</v>
      </c>
      <c r="G128">
        <v>22</v>
      </c>
      <c r="H128">
        <v>45</v>
      </c>
      <c r="I128" t="s">
        <v>722</v>
      </c>
      <c r="J128">
        <v>2011</v>
      </c>
      <c r="K128">
        <v>9</v>
      </c>
      <c r="L128">
        <v>22</v>
      </c>
      <c r="M128">
        <v>19</v>
      </c>
      <c r="N128" s="7">
        <f t="shared" si="7"/>
        <v>67</v>
      </c>
      <c r="O128" s="7" t="str">
        <f t="shared" si="10"/>
        <v>Popular</v>
      </c>
      <c r="P128" s="7" t="str">
        <f t="shared" si="8"/>
        <v>No</v>
      </c>
      <c r="Q128" s="7" t="str">
        <f t="shared" si="9"/>
        <v>Wide Reach</v>
      </c>
      <c r="R128" s="7" t="str">
        <f t="shared" si="11"/>
        <v>Evening</v>
      </c>
      <c r="S128" s="7" t="str">
        <f t="shared" si="12"/>
        <v>Europe</v>
      </c>
      <c r="T128" s="30">
        <f t="shared" si="13"/>
        <v>2.0454545454545454</v>
      </c>
      <c r="U128" s="6"/>
      <c r="V128" s="6"/>
    </row>
    <row r="129" spans="1:22" x14ac:dyDescent="0.3">
      <c r="A129" t="s">
        <v>1079</v>
      </c>
      <c r="B129" t="s">
        <v>1753</v>
      </c>
      <c r="C129" t="s">
        <v>795</v>
      </c>
      <c r="D129" s="1">
        <v>40978.354166666664</v>
      </c>
      <c r="E129" t="s">
        <v>763</v>
      </c>
      <c r="F129" t="s">
        <v>145</v>
      </c>
      <c r="G129">
        <v>15</v>
      </c>
      <c r="H129">
        <v>30</v>
      </c>
      <c r="I129" t="s">
        <v>732</v>
      </c>
      <c r="J129">
        <v>2012</v>
      </c>
      <c r="K129">
        <v>3</v>
      </c>
      <c r="L129">
        <v>10</v>
      </c>
      <c r="M129">
        <v>8</v>
      </c>
      <c r="N129" s="7">
        <f t="shared" si="7"/>
        <v>45</v>
      </c>
      <c r="O129" s="7" t="str">
        <f t="shared" si="10"/>
        <v>Normal</v>
      </c>
      <c r="P129" s="7" t="str">
        <f t="shared" si="8"/>
        <v>No</v>
      </c>
      <c r="Q129" s="7" t="str">
        <f t="shared" si="9"/>
        <v>Standard</v>
      </c>
      <c r="R129" s="7" t="str">
        <f t="shared" si="11"/>
        <v>Morning</v>
      </c>
      <c r="S129" s="7" t="str">
        <f t="shared" si="12"/>
        <v>Asia</v>
      </c>
      <c r="T129" s="30">
        <f t="shared" si="13"/>
        <v>2</v>
      </c>
      <c r="U129" s="6"/>
      <c r="V129" s="6"/>
    </row>
    <row r="130" spans="1:22" x14ac:dyDescent="0.3">
      <c r="A130" t="s">
        <v>1080</v>
      </c>
      <c r="B130" t="s">
        <v>1754</v>
      </c>
      <c r="C130" t="s">
        <v>796</v>
      </c>
      <c r="D130" s="1">
        <v>41613.666666666664</v>
      </c>
      <c r="E130" t="s">
        <v>761</v>
      </c>
      <c r="F130" t="s">
        <v>146</v>
      </c>
      <c r="G130">
        <v>18</v>
      </c>
      <c r="H130">
        <v>35</v>
      </c>
      <c r="I130" t="s">
        <v>720</v>
      </c>
      <c r="J130">
        <v>2013</v>
      </c>
      <c r="K130">
        <v>12</v>
      </c>
      <c r="L130">
        <v>5</v>
      </c>
      <c r="M130">
        <v>16</v>
      </c>
      <c r="N130" s="7">
        <f t="shared" si="7"/>
        <v>53</v>
      </c>
      <c r="O130" s="7" t="str">
        <f t="shared" si="10"/>
        <v>Normal</v>
      </c>
      <c r="P130" s="7" t="str">
        <f t="shared" si="8"/>
        <v>No</v>
      </c>
      <c r="Q130" s="7" t="str">
        <f t="shared" si="9"/>
        <v>Standard</v>
      </c>
      <c r="R130" s="7" t="str">
        <f t="shared" si="11"/>
        <v>Afternoon</v>
      </c>
      <c r="S130" s="7" t="str">
        <f t="shared" si="12"/>
        <v>North America</v>
      </c>
      <c r="T130" s="30">
        <f t="shared" si="13"/>
        <v>1.9444444444444444</v>
      </c>
      <c r="U130" s="6"/>
      <c r="V130" s="6"/>
    </row>
    <row r="131" spans="1:22" x14ac:dyDescent="0.3">
      <c r="A131" t="s">
        <v>1081</v>
      </c>
      <c r="B131" t="s">
        <v>1755</v>
      </c>
      <c r="C131" t="s">
        <v>797</v>
      </c>
      <c r="D131" s="1">
        <v>41840.479166666664</v>
      </c>
      <c r="E131" t="s">
        <v>762</v>
      </c>
      <c r="F131" t="s">
        <v>147</v>
      </c>
      <c r="G131">
        <v>25</v>
      </c>
      <c r="H131">
        <v>50</v>
      </c>
      <c r="I131" t="s">
        <v>30</v>
      </c>
      <c r="J131">
        <v>2014</v>
      </c>
      <c r="K131">
        <v>7</v>
      </c>
      <c r="L131">
        <v>20</v>
      </c>
      <c r="M131">
        <v>11</v>
      </c>
      <c r="N131" s="7">
        <f t="shared" ref="N131:N194" si="14">SUM(G131,H131)</f>
        <v>75</v>
      </c>
      <c r="O131" s="7" t="str">
        <f t="shared" si="10"/>
        <v>Popular</v>
      </c>
      <c r="P131" s="7" t="str">
        <f t="shared" ref="P131:P194" si="15">IF(AND(G131&gt;25, H131&gt;50), "Yes", "No")</f>
        <v>No</v>
      </c>
      <c r="Q131" s="7" t="str">
        <f t="shared" ref="Q131:Q194" si="16">IF(OR(H131&gt;40,G131&gt;20),"Wide Reach","Standard")</f>
        <v>Wide Reach</v>
      </c>
      <c r="R131" s="7" t="str">
        <f t="shared" si="11"/>
        <v>Morning</v>
      </c>
      <c r="S131" s="7" t="str">
        <f t="shared" si="12"/>
        <v>North America</v>
      </c>
      <c r="T131" s="30">
        <f t="shared" si="13"/>
        <v>2</v>
      </c>
      <c r="U131" s="6"/>
      <c r="V131" s="6"/>
    </row>
    <row r="132" spans="1:22" x14ac:dyDescent="0.3">
      <c r="A132" t="s">
        <v>1082</v>
      </c>
      <c r="B132" t="s">
        <v>1756</v>
      </c>
      <c r="C132" t="s">
        <v>798</v>
      </c>
      <c r="D132" s="1">
        <v>42360.597222222219</v>
      </c>
      <c r="E132" t="s">
        <v>763</v>
      </c>
      <c r="F132" t="s">
        <v>148</v>
      </c>
      <c r="G132">
        <v>18</v>
      </c>
      <c r="H132">
        <v>35</v>
      </c>
      <c r="I132" t="s">
        <v>30</v>
      </c>
      <c r="J132">
        <v>2015</v>
      </c>
      <c r="K132">
        <v>12</v>
      </c>
      <c r="L132">
        <v>22</v>
      </c>
      <c r="M132">
        <v>14</v>
      </c>
      <c r="N132" s="7">
        <f t="shared" si="14"/>
        <v>53</v>
      </c>
      <c r="O132" s="7" t="str">
        <f t="shared" ref="O132:O195" si="17">IF(N132&gt;60, "Popular", "Normal")</f>
        <v>Normal</v>
      </c>
      <c r="P132" s="7" t="str">
        <f t="shared" si="15"/>
        <v>No</v>
      </c>
      <c r="Q132" s="7" t="str">
        <f t="shared" si="16"/>
        <v>Standard</v>
      </c>
      <c r="R132" s="7" t="str">
        <f t="shared" ref="R132:R195" si="18">IF(M132&gt;17,"Evening",IF(M132&gt;11,"Afternoon",IF(M132&gt;5,"Morning","Night")))</f>
        <v>Afternoon</v>
      </c>
      <c r="S132" s="7" t="str">
        <f t="shared" ref="S132:S195" si="19">_xlfn.SWITCH(I132,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132" s="30">
        <f t="shared" ref="T132:T195" si="20">IFERROR(H132/G132,"Error")</f>
        <v>1.9444444444444444</v>
      </c>
      <c r="U132" s="6"/>
      <c r="V132" s="6"/>
    </row>
    <row r="133" spans="1:22" x14ac:dyDescent="0.3">
      <c r="A133" t="s">
        <v>1083</v>
      </c>
      <c r="B133" t="s">
        <v>1757</v>
      </c>
      <c r="C133" t="s">
        <v>799</v>
      </c>
      <c r="D133" s="1">
        <v>42410.822916666664</v>
      </c>
      <c r="E133" t="s">
        <v>761</v>
      </c>
      <c r="F133" t="s">
        <v>149</v>
      </c>
      <c r="G133">
        <v>25</v>
      </c>
      <c r="H133">
        <v>50</v>
      </c>
      <c r="I133" t="s">
        <v>722</v>
      </c>
      <c r="J133">
        <v>2016</v>
      </c>
      <c r="K133">
        <v>2</v>
      </c>
      <c r="L133">
        <v>10</v>
      </c>
      <c r="M133">
        <v>19</v>
      </c>
      <c r="N133" s="7">
        <f t="shared" si="14"/>
        <v>75</v>
      </c>
      <c r="O133" s="7" t="str">
        <f t="shared" si="17"/>
        <v>Popular</v>
      </c>
      <c r="P133" s="7" t="str">
        <f t="shared" si="15"/>
        <v>No</v>
      </c>
      <c r="Q133" s="7" t="str">
        <f t="shared" si="16"/>
        <v>Wide Reach</v>
      </c>
      <c r="R133" s="7" t="str">
        <f t="shared" si="18"/>
        <v>Evening</v>
      </c>
      <c r="S133" s="7" t="str">
        <f t="shared" si="19"/>
        <v>Europe</v>
      </c>
      <c r="T133" s="30">
        <f t="shared" si="20"/>
        <v>2</v>
      </c>
      <c r="U133" s="6"/>
      <c r="V133" s="6"/>
    </row>
    <row r="134" spans="1:22" x14ac:dyDescent="0.3">
      <c r="A134" t="s">
        <v>1022</v>
      </c>
      <c r="B134" t="s">
        <v>1758</v>
      </c>
      <c r="C134" t="s">
        <v>800</v>
      </c>
      <c r="D134" s="1">
        <v>42855.479166666664</v>
      </c>
      <c r="E134" t="s">
        <v>762</v>
      </c>
      <c r="F134" t="s">
        <v>150</v>
      </c>
      <c r="G134">
        <v>20</v>
      </c>
      <c r="H134">
        <v>40</v>
      </c>
      <c r="I134" t="s">
        <v>731</v>
      </c>
      <c r="J134">
        <v>2017</v>
      </c>
      <c r="K134">
        <v>4</v>
      </c>
      <c r="L134">
        <v>30</v>
      </c>
      <c r="M134">
        <v>11</v>
      </c>
      <c r="N134" s="7">
        <f t="shared" si="14"/>
        <v>60</v>
      </c>
      <c r="O134" s="7" t="str">
        <f t="shared" si="17"/>
        <v>Normal</v>
      </c>
      <c r="P134" s="7" t="str">
        <f t="shared" si="15"/>
        <v>No</v>
      </c>
      <c r="Q134" s="7" t="str">
        <f t="shared" si="16"/>
        <v>Standard</v>
      </c>
      <c r="R134" s="7" t="str">
        <f t="shared" si="18"/>
        <v>Morning</v>
      </c>
      <c r="S134" s="7" t="str">
        <f t="shared" si="19"/>
        <v>Oceania</v>
      </c>
      <c r="T134" s="30">
        <f t="shared" si="20"/>
        <v>2</v>
      </c>
      <c r="U134" s="6"/>
      <c r="V134" s="6"/>
    </row>
    <row r="135" spans="1:22" x14ac:dyDescent="0.3">
      <c r="A135" t="s">
        <v>1084</v>
      </c>
      <c r="B135" t="s">
        <v>1759</v>
      </c>
      <c r="C135" t="s">
        <v>801</v>
      </c>
      <c r="D135" s="1">
        <v>43358.666666666664</v>
      </c>
      <c r="E135" t="s">
        <v>763</v>
      </c>
      <c r="F135" t="s">
        <v>151</v>
      </c>
      <c r="G135">
        <v>15</v>
      </c>
      <c r="H135">
        <v>30</v>
      </c>
      <c r="I135" t="s">
        <v>720</v>
      </c>
      <c r="J135">
        <v>2018</v>
      </c>
      <c r="K135">
        <v>9</v>
      </c>
      <c r="L135">
        <v>15</v>
      </c>
      <c r="M135">
        <v>16</v>
      </c>
      <c r="N135" s="7">
        <f t="shared" si="14"/>
        <v>45</v>
      </c>
      <c r="O135" s="7" t="str">
        <f t="shared" si="17"/>
        <v>Normal</v>
      </c>
      <c r="P135" s="7" t="str">
        <f t="shared" si="15"/>
        <v>No</v>
      </c>
      <c r="Q135" s="7" t="str">
        <f t="shared" si="16"/>
        <v>Standard</v>
      </c>
      <c r="R135" s="7" t="str">
        <f t="shared" si="18"/>
        <v>Afternoon</v>
      </c>
      <c r="S135" s="7" t="str">
        <f t="shared" si="19"/>
        <v>North America</v>
      </c>
      <c r="T135" s="30">
        <f t="shared" si="20"/>
        <v>2</v>
      </c>
      <c r="U135" s="6"/>
      <c r="V135" s="6"/>
    </row>
    <row r="136" spans="1:22" x14ac:dyDescent="0.3">
      <c r="A136" t="s">
        <v>1085</v>
      </c>
      <c r="B136" t="s">
        <v>1760</v>
      </c>
      <c r="C136" t="s">
        <v>802</v>
      </c>
      <c r="D136" s="1">
        <v>43644.763888888891</v>
      </c>
      <c r="E136" t="s">
        <v>761</v>
      </c>
      <c r="F136" t="s">
        <v>152</v>
      </c>
      <c r="G136">
        <v>22</v>
      </c>
      <c r="H136">
        <v>45</v>
      </c>
      <c r="I136" t="s">
        <v>732</v>
      </c>
      <c r="J136">
        <v>2019</v>
      </c>
      <c r="K136">
        <v>6</v>
      </c>
      <c r="L136">
        <v>28</v>
      </c>
      <c r="M136">
        <v>18</v>
      </c>
      <c r="N136" s="7">
        <f t="shared" si="14"/>
        <v>67</v>
      </c>
      <c r="O136" s="7" t="str">
        <f t="shared" si="17"/>
        <v>Popular</v>
      </c>
      <c r="P136" s="7" t="str">
        <f t="shared" si="15"/>
        <v>No</v>
      </c>
      <c r="Q136" s="7" t="str">
        <f t="shared" si="16"/>
        <v>Wide Reach</v>
      </c>
      <c r="R136" s="7" t="str">
        <f t="shared" si="18"/>
        <v>Evening</v>
      </c>
      <c r="S136" s="7" t="str">
        <f t="shared" si="19"/>
        <v>Asia</v>
      </c>
      <c r="T136" s="30">
        <f t="shared" si="20"/>
        <v>2.0454545454545454</v>
      </c>
      <c r="U136" s="6"/>
      <c r="V136" s="6"/>
    </row>
    <row r="137" spans="1:22" x14ac:dyDescent="0.3">
      <c r="A137" t="s">
        <v>1086</v>
      </c>
      <c r="B137" t="s">
        <v>1761</v>
      </c>
      <c r="C137" t="s">
        <v>803</v>
      </c>
      <c r="D137" s="1">
        <v>44146.625</v>
      </c>
      <c r="E137" t="s">
        <v>762</v>
      </c>
      <c r="F137" t="s">
        <v>153</v>
      </c>
      <c r="G137">
        <v>18</v>
      </c>
      <c r="H137">
        <v>35</v>
      </c>
      <c r="I137" t="s">
        <v>722</v>
      </c>
      <c r="J137">
        <v>2020</v>
      </c>
      <c r="K137">
        <v>11</v>
      </c>
      <c r="L137">
        <v>11</v>
      </c>
      <c r="M137">
        <v>15</v>
      </c>
      <c r="N137" s="7">
        <f t="shared" si="14"/>
        <v>53</v>
      </c>
      <c r="O137" s="7" t="str">
        <f t="shared" si="17"/>
        <v>Normal</v>
      </c>
      <c r="P137" s="7" t="str">
        <f t="shared" si="15"/>
        <v>No</v>
      </c>
      <c r="Q137" s="7" t="str">
        <f t="shared" si="16"/>
        <v>Standard</v>
      </c>
      <c r="R137" s="7" t="str">
        <f t="shared" si="18"/>
        <v>Afternoon</v>
      </c>
      <c r="S137" s="7" t="str">
        <f t="shared" si="19"/>
        <v>Europe</v>
      </c>
      <c r="T137" s="30">
        <f t="shared" si="20"/>
        <v>1.9444444444444444</v>
      </c>
      <c r="U137" s="6"/>
      <c r="V137" s="6"/>
    </row>
    <row r="138" spans="1:22" x14ac:dyDescent="0.3">
      <c r="A138" t="s">
        <v>1087</v>
      </c>
      <c r="B138" t="s">
        <v>1762</v>
      </c>
      <c r="C138" t="s">
        <v>791</v>
      </c>
      <c r="D138" s="1">
        <v>44257.395833333336</v>
      </c>
      <c r="E138" t="s">
        <v>763</v>
      </c>
      <c r="F138" t="s">
        <v>154</v>
      </c>
      <c r="G138">
        <v>25</v>
      </c>
      <c r="H138">
        <v>50</v>
      </c>
      <c r="I138" t="s">
        <v>30</v>
      </c>
      <c r="J138">
        <v>2021</v>
      </c>
      <c r="K138">
        <v>3</v>
      </c>
      <c r="L138">
        <v>2</v>
      </c>
      <c r="M138">
        <v>9</v>
      </c>
      <c r="N138" s="7">
        <f t="shared" si="14"/>
        <v>75</v>
      </c>
      <c r="O138" s="7" t="str">
        <f t="shared" si="17"/>
        <v>Popular</v>
      </c>
      <c r="P138" s="7" t="str">
        <f t="shared" si="15"/>
        <v>No</v>
      </c>
      <c r="Q138" s="7" t="str">
        <f t="shared" si="16"/>
        <v>Wide Reach</v>
      </c>
      <c r="R138" s="7" t="str">
        <f t="shared" si="18"/>
        <v>Morning</v>
      </c>
      <c r="S138" s="7" t="str">
        <f t="shared" si="19"/>
        <v>North America</v>
      </c>
      <c r="T138" s="30">
        <f t="shared" si="20"/>
        <v>2</v>
      </c>
      <c r="U138" s="6"/>
      <c r="V138" s="6"/>
    </row>
    <row r="139" spans="1:22" x14ac:dyDescent="0.3">
      <c r="A139" t="s">
        <v>1088</v>
      </c>
      <c r="B139" t="s">
        <v>1763</v>
      </c>
      <c r="C139" t="s">
        <v>791</v>
      </c>
      <c r="D139" s="1">
        <v>40957.604166666664</v>
      </c>
      <c r="E139" t="s">
        <v>761</v>
      </c>
      <c r="F139" t="s">
        <v>155</v>
      </c>
      <c r="G139">
        <v>20</v>
      </c>
      <c r="H139">
        <v>40</v>
      </c>
      <c r="I139" t="s">
        <v>30</v>
      </c>
      <c r="J139">
        <v>2012</v>
      </c>
      <c r="K139">
        <v>2</v>
      </c>
      <c r="L139">
        <v>18</v>
      </c>
      <c r="M139">
        <v>14</v>
      </c>
      <c r="N139" s="7">
        <f t="shared" si="14"/>
        <v>60</v>
      </c>
      <c r="O139" s="7" t="str">
        <f t="shared" si="17"/>
        <v>Normal</v>
      </c>
      <c r="P139" s="7" t="str">
        <f t="shared" si="15"/>
        <v>No</v>
      </c>
      <c r="Q139" s="7" t="str">
        <f t="shared" si="16"/>
        <v>Standard</v>
      </c>
      <c r="R139" s="7" t="str">
        <f t="shared" si="18"/>
        <v>Afternoon</v>
      </c>
      <c r="S139" s="7" t="str">
        <f t="shared" si="19"/>
        <v>North America</v>
      </c>
      <c r="T139" s="30">
        <f t="shared" si="20"/>
        <v>2</v>
      </c>
      <c r="U139" s="6"/>
      <c r="V139" s="6"/>
    </row>
    <row r="140" spans="1:22" x14ac:dyDescent="0.3">
      <c r="A140" t="s">
        <v>1089</v>
      </c>
      <c r="B140" t="s">
        <v>1764</v>
      </c>
      <c r="C140" t="s">
        <v>792</v>
      </c>
      <c r="D140" s="1">
        <v>43409.90625</v>
      </c>
      <c r="E140" t="s">
        <v>762</v>
      </c>
      <c r="F140" t="s">
        <v>156</v>
      </c>
      <c r="G140">
        <v>15</v>
      </c>
      <c r="H140">
        <v>30</v>
      </c>
      <c r="I140" t="s">
        <v>722</v>
      </c>
      <c r="J140">
        <v>2018</v>
      </c>
      <c r="K140">
        <v>11</v>
      </c>
      <c r="L140">
        <v>5</v>
      </c>
      <c r="M140">
        <v>21</v>
      </c>
      <c r="N140" s="7">
        <f t="shared" si="14"/>
        <v>45</v>
      </c>
      <c r="O140" s="7" t="str">
        <f t="shared" si="17"/>
        <v>Normal</v>
      </c>
      <c r="P140" s="7" t="str">
        <f t="shared" si="15"/>
        <v>No</v>
      </c>
      <c r="Q140" s="7" t="str">
        <f t="shared" si="16"/>
        <v>Standard</v>
      </c>
      <c r="R140" s="7" t="str">
        <f t="shared" si="18"/>
        <v>Evening</v>
      </c>
      <c r="S140" s="7" t="str">
        <f t="shared" si="19"/>
        <v>Europe</v>
      </c>
      <c r="T140" s="30">
        <f t="shared" si="20"/>
        <v>2</v>
      </c>
      <c r="U140" s="6"/>
      <c r="V140" s="6"/>
    </row>
    <row r="141" spans="1:22" x14ac:dyDescent="0.3">
      <c r="A141" t="s">
        <v>1090</v>
      </c>
      <c r="B141" t="s">
        <v>1765</v>
      </c>
      <c r="C141" t="s">
        <v>793</v>
      </c>
      <c r="D141" s="1">
        <v>42259.555555555555</v>
      </c>
      <c r="E141" t="s">
        <v>763</v>
      </c>
      <c r="F141" t="s">
        <v>157</v>
      </c>
      <c r="G141">
        <v>25</v>
      </c>
      <c r="H141">
        <v>50</v>
      </c>
      <c r="I141" t="s">
        <v>732</v>
      </c>
      <c r="J141">
        <v>2015</v>
      </c>
      <c r="K141">
        <v>9</v>
      </c>
      <c r="L141">
        <v>12</v>
      </c>
      <c r="M141">
        <v>13</v>
      </c>
      <c r="N141" s="7">
        <f t="shared" si="14"/>
        <v>75</v>
      </c>
      <c r="O141" s="7" t="str">
        <f t="shared" si="17"/>
        <v>Popular</v>
      </c>
      <c r="P141" s="7" t="str">
        <f t="shared" si="15"/>
        <v>No</v>
      </c>
      <c r="Q141" s="7" t="str">
        <f t="shared" si="16"/>
        <v>Wide Reach</v>
      </c>
      <c r="R141" s="7" t="str">
        <f t="shared" si="18"/>
        <v>Afternoon</v>
      </c>
      <c r="S141" s="7" t="str">
        <f t="shared" si="19"/>
        <v>Asia</v>
      </c>
      <c r="T141" s="30">
        <f t="shared" si="20"/>
        <v>2</v>
      </c>
      <c r="U141" s="6"/>
      <c r="V141" s="6"/>
    </row>
    <row r="142" spans="1:22" x14ac:dyDescent="0.3">
      <c r="A142" t="s">
        <v>1091</v>
      </c>
      <c r="B142" t="s">
        <v>1766</v>
      </c>
      <c r="C142" t="s">
        <v>794</v>
      </c>
      <c r="D142" s="1">
        <v>42581.756944444445</v>
      </c>
      <c r="E142" t="s">
        <v>761</v>
      </c>
      <c r="F142" t="s">
        <v>158</v>
      </c>
      <c r="G142">
        <v>18</v>
      </c>
      <c r="H142">
        <v>35</v>
      </c>
      <c r="I142" t="s">
        <v>720</v>
      </c>
      <c r="J142">
        <v>2016</v>
      </c>
      <c r="K142">
        <v>7</v>
      </c>
      <c r="L142">
        <v>30</v>
      </c>
      <c r="M142">
        <v>18</v>
      </c>
      <c r="N142" s="7">
        <f t="shared" si="14"/>
        <v>53</v>
      </c>
      <c r="O142" s="7" t="str">
        <f t="shared" si="17"/>
        <v>Normal</v>
      </c>
      <c r="P142" s="7" t="str">
        <f t="shared" si="15"/>
        <v>No</v>
      </c>
      <c r="Q142" s="7" t="str">
        <f t="shared" si="16"/>
        <v>Standard</v>
      </c>
      <c r="R142" s="7" t="str">
        <f t="shared" si="18"/>
        <v>Evening</v>
      </c>
      <c r="S142" s="7" t="str">
        <f t="shared" si="19"/>
        <v>North America</v>
      </c>
      <c r="T142" s="30">
        <f t="shared" si="20"/>
        <v>1.9444444444444444</v>
      </c>
      <c r="U142" s="6"/>
      <c r="V142" s="6"/>
    </row>
    <row r="143" spans="1:22" x14ac:dyDescent="0.3">
      <c r="A143" t="s">
        <v>1092</v>
      </c>
      <c r="B143" t="s">
        <v>1767</v>
      </c>
      <c r="C143" t="s">
        <v>795</v>
      </c>
      <c r="D143" s="1">
        <v>41384.4375</v>
      </c>
      <c r="E143" t="s">
        <v>762</v>
      </c>
      <c r="F143" t="s">
        <v>159</v>
      </c>
      <c r="G143">
        <v>30</v>
      </c>
      <c r="H143">
        <v>60</v>
      </c>
      <c r="I143" t="s">
        <v>30</v>
      </c>
      <c r="J143">
        <v>2013</v>
      </c>
      <c r="K143">
        <v>4</v>
      </c>
      <c r="L143">
        <v>20</v>
      </c>
      <c r="M143">
        <v>10</v>
      </c>
      <c r="N143" s="7">
        <f t="shared" si="14"/>
        <v>90</v>
      </c>
      <c r="O143" s="7" t="str">
        <f t="shared" si="17"/>
        <v>Popular</v>
      </c>
      <c r="P143" s="7" t="str">
        <f t="shared" si="15"/>
        <v>Yes</v>
      </c>
      <c r="Q143" s="7" t="str">
        <f t="shared" si="16"/>
        <v>Wide Reach</v>
      </c>
      <c r="R143" s="7" t="str">
        <f t="shared" si="18"/>
        <v>Morning</v>
      </c>
      <c r="S143" s="7" t="str">
        <f t="shared" si="19"/>
        <v>North America</v>
      </c>
      <c r="T143" s="30">
        <f t="shared" si="20"/>
        <v>2</v>
      </c>
      <c r="U143" s="6"/>
      <c r="V143" s="6"/>
    </row>
    <row r="144" spans="1:22" x14ac:dyDescent="0.3">
      <c r="A144" t="s">
        <v>1093</v>
      </c>
      <c r="B144" t="s">
        <v>1768</v>
      </c>
      <c r="C144" t="s">
        <v>796</v>
      </c>
      <c r="D144" s="1">
        <v>43077.802083333336</v>
      </c>
      <c r="E144" t="s">
        <v>763</v>
      </c>
      <c r="F144" t="s">
        <v>160</v>
      </c>
      <c r="G144">
        <v>22</v>
      </c>
      <c r="H144">
        <v>45</v>
      </c>
      <c r="I144" t="s">
        <v>720</v>
      </c>
      <c r="J144">
        <v>2017</v>
      </c>
      <c r="K144">
        <v>12</v>
      </c>
      <c r="L144">
        <v>8</v>
      </c>
      <c r="M144">
        <v>19</v>
      </c>
      <c r="N144" s="7">
        <f t="shared" si="14"/>
        <v>67</v>
      </c>
      <c r="O144" s="7" t="str">
        <f t="shared" si="17"/>
        <v>Popular</v>
      </c>
      <c r="P144" s="7" t="str">
        <f t="shared" si="15"/>
        <v>No</v>
      </c>
      <c r="Q144" s="7" t="str">
        <f t="shared" si="16"/>
        <v>Wide Reach</v>
      </c>
      <c r="R144" s="7" t="str">
        <f t="shared" si="18"/>
        <v>Evening</v>
      </c>
      <c r="S144" s="7" t="str">
        <f t="shared" si="19"/>
        <v>North America</v>
      </c>
      <c r="T144" s="30">
        <f t="shared" si="20"/>
        <v>2.0454545454545454</v>
      </c>
      <c r="U144" s="6"/>
      <c r="V144" s="6"/>
    </row>
    <row r="145" spans="1:22" x14ac:dyDescent="0.3">
      <c r="A145" t="s">
        <v>1094</v>
      </c>
      <c r="B145" t="s">
        <v>1769</v>
      </c>
      <c r="C145" t="s">
        <v>797</v>
      </c>
      <c r="D145" s="1">
        <v>41793.347222222219</v>
      </c>
      <c r="E145" t="s">
        <v>761</v>
      </c>
      <c r="F145" t="s">
        <v>161</v>
      </c>
      <c r="G145">
        <v>15</v>
      </c>
      <c r="H145">
        <v>30</v>
      </c>
      <c r="I145" t="s">
        <v>722</v>
      </c>
      <c r="J145">
        <v>2014</v>
      </c>
      <c r="K145">
        <v>6</v>
      </c>
      <c r="L145">
        <v>3</v>
      </c>
      <c r="M145">
        <v>8</v>
      </c>
      <c r="N145" s="7">
        <f t="shared" si="14"/>
        <v>45</v>
      </c>
      <c r="O145" s="7" t="str">
        <f t="shared" si="17"/>
        <v>Normal</v>
      </c>
      <c r="P145" s="7" t="str">
        <f t="shared" si="15"/>
        <v>No</v>
      </c>
      <c r="Q145" s="7" t="str">
        <f t="shared" si="16"/>
        <v>Standard</v>
      </c>
      <c r="R145" s="7" t="str">
        <f t="shared" si="18"/>
        <v>Morning</v>
      </c>
      <c r="S145" s="7" t="str">
        <f t="shared" si="19"/>
        <v>Europe</v>
      </c>
      <c r="T145" s="30">
        <f t="shared" si="20"/>
        <v>2</v>
      </c>
      <c r="U145" s="6"/>
      <c r="V145" s="6"/>
    </row>
    <row r="146" spans="1:22" x14ac:dyDescent="0.3">
      <c r="A146" t="s">
        <v>1095</v>
      </c>
      <c r="B146" t="s">
        <v>1770</v>
      </c>
      <c r="C146" t="s">
        <v>798</v>
      </c>
      <c r="D146" s="1">
        <v>43480.618055555555</v>
      </c>
      <c r="E146" t="s">
        <v>762</v>
      </c>
      <c r="F146" t="s">
        <v>162</v>
      </c>
      <c r="G146">
        <v>18</v>
      </c>
      <c r="H146">
        <v>35</v>
      </c>
      <c r="I146" t="s">
        <v>731</v>
      </c>
      <c r="J146">
        <v>2019</v>
      </c>
      <c r="K146">
        <v>1</v>
      </c>
      <c r="L146">
        <v>15</v>
      </c>
      <c r="M146">
        <v>14</v>
      </c>
      <c r="N146" s="7">
        <f t="shared" si="14"/>
        <v>53</v>
      </c>
      <c r="O146" s="7" t="str">
        <f t="shared" si="17"/>
        <v>Normal</v>
      </c>
      <c r="P146" s="7" t="str">
        <f t="shared" si="15"/>
        <v>No</v>
      </c>
      <c r="Q146" s="7" t="str">
        <f t="shared" si="16"/>
        <v>Standard</v>
      </c>
      <c r="R146" s="7" t="str">
        <f t="shared" si="18"/>
        <v>Afternoon</v>
      </c>
      <c r="S146" s="7" t="str">
        <f t="shared" si="19"/>
        <v>Oceania</v>
      </c>
      <c r="T146" s="30">
        <f t="shared" si="20"/>
        <v>1.9444444444444444</v>
      </c>
      <c r="U146" s="6"/>
      <c r="V146" s="6"/>
    </row>
    <row r="147" spans="1:22" x14ac:dyDescent="0.3">
      <c r="A147" t="s">
        <v>1096</v>
      </c>
      <c r="B147" t="s">
        <v>1771</v>
      </c>
      <c r="C147" t="s">
        <v>799</v>
      </c>
      <c r="D147" s="1">
        <v>42729.8125</v>
      </c>
      <c r="E147" t="s">
        <v>763</v>
      </c>
      <c r="F147" t="s">
        <v>163</v>
      </c>
      <c r="G147">
        <v>25</v>
      </c>
      <c r="H147">
        <v>50</v>
      </c>
      <c r="I147" t="s">
        <v>722</v>
      </c>
      <c r="J147">
        <v>2016</v>
      </c>
      <c r="K147">
        <v>12</v>
      </c>
      <c r="L147">
        <v>25</v>
      </c>
      <c r="M147">
        <v>19</v>
      </c>
      <c r="N147" s="7">
        <f t="shared" si="14"/>
        <v>75</v>
      </c>
      <c r="O147" s="7" t="str">
        <f t="shared" si="17"/>
        <v>Popular</v>
      </c>
      <c r="P147" s="7" t="str">
        <f t="shared" si="15"/>
        <v>No</v>
      </c>
      <c r="Q147" s="7" t="str">
        <f t="shared" si="16"/>
        <v>Wide Reach</v>
      </c>
      <c r="R147" s="7" t="str">
        <f t="shared" si="18"/>
        <v>Evening</v>
      </c>
      <c r="S147" s="7" t="str">
        <f t="shared" si="19"/>
        <v>Europe</v>
      </c>
      <c r="T147" s="30">
        <f t="shared" si="20"/>
        <v>2</v>
      </c>
      <c r="U147" s="6"/>
      <c r="V147" s="6"/>
    </row>
    <row r="148" spans="1:22" x14ac:dyDescent="0.3">
      <c r="A148" t="s">
        <v>1097</v>
      </c>
      <c r="B148" t="s">
        <v>1772</v>
      </c>
      <c r="C148" t="s">
        <v>800</v>
      </c>
      <c r="D148" s="1">
        <v>43169.40625</v>
      </c>
      <c r="E148" t="s">
        <v>761</v>
      </c>
      <c r="F148" t="s">
        <v>164</v>
      </c>
      <c r="G148">
        <v>20</v>
      </c>
      <c r="H148">
        <v>40</v>
      </c>
      <c r="I148" t="s">
        <v>732</v>
      </c>
      <c r="J148">
        <v>2018</v>
      </c>
      <c r="K148">
        <v>3</v>
      </c>
      <c r="L148">
        <v>10</v>
      </c>
      <c r="M148">
        <v>9</v>
      </c>
      <c r="N148" s="7">
        <f t="shared" si="14"/>
        <v>60</v>
      </c>
      <c r="O148" s="7" t="str">
        <f t="shared" si="17"/>
        <v>Normal</v>
      </c>
      <c r="P148" s="7" t="str">
        <f t="shared" si="15"/>
        <v>No</v>
      </c>
      <c r="Q148" s="7" t="str">
        <f t="shared" si="16"/>
        <v>Standard</v>
      </c>
      <c r="R148" s="7" t="str">
        <f t="shared" si="18"/>
        <v>Morning</v>
      </c>
      <c r="S148" s="7" t="str">
        <f t="shared" si="19"/>
        <v>Asia</v>
      </c>
      <c r="T148" s="30">
        <f t="shared" si="20"/>
        <v>2</v>
      </c>
      <c r="U148" s="6"/>
      <c r="V148" s="6"/>
    </row>
    <row r="149" spans="1:22" x14ac:dyDescent="0.3">
      <c r="A149" t="s">
        <v>1098</v>
      </c>
      <c r="B149" t="s">
        <v>1773</v>
      </c>
      <c r="C149" t="s">
        <v>801</v>
      </c>
      <c r="D149" s="1">
        <v>44091.6875</v>
      </c>
      <c r="E149" t="s">
        <v>762</v>
      </c>
      <c r="F149" t="s">
        <v>165</v>
      </c>
      <c r="G149">
        <v>15</v>
      </c>
      <c r="H149">
        <v>30</v>
      </c>
      <c r="I149" t="s">
        <v>30</v>
      </c>
      <c r="J149">
        <v>2020</v>
      </c>
      <c r="K149">
        <v>9</v>
      </c>
      <c r="L149">
        <v>17</v>
      </c>
      <c r="M149">
        <v>16</v>
      </c>
      <c r="N149" s="7">
        <f t="shared" si="14"/>
        <v>45</v>
      </c>
      <c r="O149" s="7" t="str">
        <f t="shared" si="17"/>
        <v>Normal</v>
      </c>
      <c r="P149" s="7" t="str">
        <f t="shared" si="15"/>
        <v>No</v>
      </c>
      <c r="Q149" s="7" t="str">
        <f t="shared" si="16"/>
        <v>Standard</v>
      </c>
      <c r="R149" s="7" t="str">
        <f t="shared" si="18"/>
        <v>Afternoon</v>
      </c>
      <c r="S149" s="7" t="str">
        <f t="shared" si="19"/>
        <v>North America</v>
      </c>
      <c r="T149" s="30">
        <f t="shared" si="20"/>
        <v>2</v>
      </c>
      <c r="U149" s="6"/>
      <c r="V149" s="6"/>
    </row>
    <row r="150" spans="1:22" x14ac:dyDescent="0.3">
      <c r="A150" t="s">
        <v>1099</v>
      </c>
      <c r="B150" t="s">
        <v>1774</v>
      </c>
      <c r="C150" t="s">
        <v>802</v>
      </c>
      <c r="D150" s="1">
        <v>40783.78125</v>
      </c>
      <c r="E150" t="s">
        <v>763</v>
      </c>
      <c r="F150" t="s">
        <v>166</v>
      </c>
      <c r="G150">
        <v>22</v>
      </c>
      <c r="H150">
        <v>45</v>
      </c>
      <c r="I150" t="s">
        <v>720</v>
      </c>
      <c r="J150">
        <v>2011</v>
      </c>
      <c r="K150">
        <v>8</v>
      </c>
      <c r="L150">
        <v>28</v>
      </c>
      <c r="M150">
        <v>18</v>
      </c>
      <c r="N150" s="7">
        <f t="shared" si="14"/>
        <v>67</v>
      </c>
      <c r="O150" s="7" t="str">
        <f t="shared" si="17"/>
        <v>Popular</v>
      </c>
      <c r="P150" s="7" t="str">
        <f t="shared" si="15"/>
        <v>No</v>
      </c>
      <c r="Q150" s="7" t="str">
        <f t="shared" si="16"/>
        <v>Wide Reach</v>
      </c>
      <c r="R150" s="7" t="str">
        <f t="shared" si="18"/>
        <v>Evening</v>
      </c>
      <c r="S150" s="7" t="str">
        <f t="shared" si="19"/>
        <v>North America</v>
      </c>
      <c r="T150" s="30">
        <f t="shared" si="20"/>
        <v>2.0454545454545454</v>
      </c>
      <c r="U150" s="6"/>
      <c r="V150" s="6"/>
    </row>
    <row r="151" spans="1:22" x14ac:dyDescent="0.3">
      <c r="A151" t="s">
        <v>1100</v>
      </c>
      <c r="B151" t="s">
        <v>1775</v>
      </c>
      <c r="C151" t="s">
        <v>803</v>
      </c>
      <c r="D151" s="1">
        <v>43040.645833333336</v>
      </c>
      <c r="E151" t="s">
        <v>761</v>
      </c>
      <c r="F151" t="s">
        <v>167</v>
      </c>
      <c r="G151">
        <v>18</v>
      </c>
      <c r="H151">
        <v>35</v>
      </c>
      <c r="I151" t="s">
        <v>731</v>
      </c>
      <c r="J151">
        <v>2017</v>
      </c>
      <c r="K151">
        <v>11</v>
      </c>
      <c r="L151">
        <v>1</v>
      </c>
      <c r="M151">
        <v>15</v>
      </c>
      <c r="N151" s="7">
        <f t="shared" si="14"/>
        <v>53</v>
      </c>
      <c r="O151" s="7" t="str">
        <f t="shared" si="17"/>
        <v>Normal</v>
      </c>
      <c r="P151" s="7" t="str">
        <f t="shared" si="15"/>
        <v>No</v>
      </c>
      <c r="Q151" s="7" t="str">
        <f t="shared" si="16"/>
        <v>Standard</v>
      </c>
      <c r="R151" s="7" t="str">
        <f t="shared" si="18"/>
        <v>Afternoon</v>
      </c>
      <c r="S151" s="7" t="str">
        <f t="shared" si="19"/>
        <v>Oceania</v>
      </c>
      <c r="T151" s="30">
        <f t="shared" si="20"/>
        <v>1.9444444444444444</v>
      </c>
      <c r="U151" s="6"/>
      <c r="V151" s="6"/>
    </row>
    <row r="152" spans="1:22" x14ac:dyDescent="0.3">
      <c r="A152" t="s">
        <v>1101</v>
      </c>
      <c r="B152" t="s">
        <v>1776</v>
      </c>
      <c r="C152" t="s">
        <v>791</v>
      </c>
      <c r="D152" s="1">
        <v>43631.416666666664</v>
      </c>
      <c r="E152" t="s">
        <v>762</v>
      </c>
      <c r="F152" t="s">
        <v>168</v>
      </c>
      <c r="G152">
        <v>25</v>
      </c>
      <c r="H152">
        <v>50</v>
      </c>
      <c r="I152" t="s">
        <v>722</v>
      </c>
      <c r="J152">
        <v>2019</v>
      </c>
      <c r="K152">
        <v>6</v>
      </c>
      <c r="L152">
        <v>15</v>
      </c>
      <c r="M152">
        <v>10</v>
      </c>
      <c r="N152" s="7">
        <f t="shared" si="14"/>
        <v>75</v>
      </c>
      <c r="O152" s="7" t="str">
        <f t="shared" si="17"/>
        <v>Popular</v>
      </c>
      <c r="P152" s="7" t="str">
        <f t="shared" si="15"/>
        <v>No</v>
      </c>
      <c r="Q152" s="7" t="str">
        <f t="shared" si="16"/>
        <v>Wide Reach</v>
      </c>
      <c r="R152" s="7" t="str">
        <f t="shared" si="18"/>
        <v>Morning</v>
      </c>
      <c r="S152" s="7" t="str">
        <f t="shared" si="19"/>
        <v>Europe</v>
      </c>
      <c r="T152" s="30">
        <f t="shared" si="20"/>
        <v>2</v>
      </c>
      <c r="U152" s="6"/>
      <c r="V152" s="6"/>
    </row>
    <row r="153" spans="1:22" x14ac:dyDescent="0.3">
      <c r="A153" t="s">
        <v>1102</v>
      </c>
      <c r="B153" t="s">
        <v>1777</v>
      </c>
      <c r="C153" t="s">
        <v>792</v>
      </c>
      <c r="D153" s="1">
        <v>44654.489583333336</v>
      </c>
      <c r="E153" t="s">
        <v>763</v>
      </c>
      <c r="F153" t="s">
        <v>169</v>
      </c>
      <c r="G153">
        <v>15</v>
      </c>
      <c r="H153">
        <v>30</v>
      </c>
      <c r="I153" t="s">
        <v>30</v>
      </c>
      <c r="J153">
        <v>2022</v>
      </c>
      <c r="K153">
        <v>4</v>
      </c>
      <c r="L153">
        <v>3</v>
      </c>
      <c r="M153">
        <v>11</v>
      </c>
      <c r="N153" s="7">
        <f t="shared" si="14"/>
        <v>45</v>
      </c>
      <c r="O153" s="7" t="str">
        <f t="shared" si="17"/>
        <v>Normal</v>
      </c>
      <c r="P153" s="7" t="str">
        <f t="shared" si="15"/>
        <v>No</v>
      </c>
      <c r="Q153" s="7" t="str">
        <f t="shared" si="16"/>
        <v>Standard</v>
      </c>
      <c r="R153" s="7" t="str">
        <f t="shared" si="18"/>
        <v>Morning</v>
      </c>
      <c r="S153" s="7" t="str">
        <f t="shared" si="19"/>
        <v>North America</v>
      </c>
      <c r="T153" s="30">
        <f t="shared" si="20"/>
        <v>2</v>
      </c>
      <c r="U153" s="6"/>
      <c r="V153" s="6"/>
    </row>
    <row r="154" spans="1:22" x14ac:dyDescent="0.3">
      <c r="A154" t="s">
        <v>1103</v>
      </c>
      <c r="B154" t="s">
        <v>1778</v>
      </c>
      <c r="C154" t="s">
        <v>793</v>
      </c>
      <c r="D154" s="1">
        <v>40494.847222222219</v>
      </c>
      <c r="E154" t="s">
        <v>761</v>
      </c>
      <c r="F154" t="s">
        <v>170</v>
      </c>
      <c r="G154">
        <v>30</v>
      </c>
      <c r="H154">
        <v>60</v>
      </c>
      <c r="I154" t="s">
        <v>732</v>
      </c>
      <c r="J154">
        <v>2010</v>
      </c>
      <c r="K154">
        <v>11</v>
      </c>
      <c r="L154">
        <v>12</v>
      </c>
      <c r="M154">
        <v>20</v>
      </c>
      <c r="N154" s="7">
        <f t="shared" si="14"/>
        <v>90</v>
      </c>
      <c r="O154" s="7" t="str">
        <f t="shared" si="17"/>
        <v>Popular</v>
      </c>
      <c r="P154" s="7" t="str">
        <f t="shared" si="15"/>
        <v>Yes</v>
      </c>
      <c r="Q154" s="7" t="str">
        <f t="shared" si="16"/>
        <v>Wide Reach</v>
      </c>
      <c r="R154" s="7" t="str">
        <f t="shared" si="18"/>
        <v>Evening</v>
      </c>
      <c r="S154" s="7" t="str">
        <f t="shared" si="19"/>
        <v>Asia</v>
      </c>
      <c r="T154" s="30">
        <f t="shared" si="20"/>
        <v>2</v>
      </c>
      <c r="U154" s="6"/>
      <c r="V154" s="6"/>
    </row>
    <row r="155" spans="1:22" x14ac:dyDescent="0.3">
      <c r="A155" t="s">
        <v>1104</v>
      </c>
      <c r="B155" t="s">
        <v>1779</v>
      </c>
      <c r="C155" t="s">
        <v>794</v>
      </c>
      <c r="D155" s="1">
        <v>40746.770833333336</v>
      </c>
      <c r="E155" t="s">
        <v>762</v>
      </c>
      <c r="F155" t="s">
        <v>171</v>
      </c>
      <c r="G155">
        <v>22</v>
      </c>
      <c r="H155">
        <v>45</v>
      </c>
      <c r="I155" t="s">
        <v>720</v>
      </c>
      <c r="J155">
        <v>2011</v>
      </c>
      <c r="K155">
        <v>7</v>
      </c>
      <c r="L155">
        <v>22</v>
      </c>
      <c r="M155">
        <v>18</v>
      </c>
      <c r="N155" s="7">
        <f t="shared" si="14"/>
        <v>67</v>
      </c>
      <c r="O155" s="7" t="str">
        <f t="shared" si="17"/>
        <v>Popular</v>
      </c>
      <c r="P155" s="7" t="str">
        <f t="shared" si="15"/>
        <v>No</v>
      </c>
      <c r="Q155" s="7" t="str">
        <f t="shared" si="16"/>
        <v>Wide Reach</v>
      </c>
      <c r="R155" s="7" t="str">
        <f t="shared" si="18"/>
        <v>Evening</v>
      </c>
      <c r="S155" s="7" t="str">
        <f t="shared" si="19"/>
        <v>North America</v>
      </c>
      <c r="T155" s="30">
        <f t="shared" si="20"/>
        <v>2.0454545454545454</v>
      </c>
      <c r="U155" s="6"/>
      <c r="V155" s="6"/>
    </row>
    <row r="156" spans="1:22" x14ac:dyDescent="0.3">
      <c r="A156" t="s">
        <v>1105</v>
      </c>
      <c r="B156" t="s">
        <v>1780</v>
      </c>
      <c r="C156" t="s">
        <v>795</v>
      </c>
      <c r="D156" s="1">
        <v>40998.472222222219</v>
      </c>
      <c r="E156" t="s">
        <v>763</v>
      </c>
      <c r="F156" t="s">
        <v>172</v>
      </c>
      <c r="G156">
        <v>15</v>
      </c>
      <c r="H156">
        <v>30</v>
      </c>
      <c r="I156" t="s">
        <v>731</v>
      </c>
      <c r="J156">
        <v>2012</v>
      </c>
      <c r="K156">
        <v>3</v>
      </c>
      <c r="L156">
        <v>30</v>
      </c>
      <c r="M156">
        <v>11</v>
      </c>
      <c r="N156" s="7">
        <f t="shared" si="14"/>
        <v>45</v>
      </c>
      <c r="O156" s="7" t="str">
        <f t="shared" si="17"/>
        <v>Normal</v>
      </c>
      <c r="P156" s="7" t="str">
        <f t="shared" si="15"/>
        <v>No</v>
      </c>
      <c r="Q156" s="7" t="str">
        <f t="shared" si="16"/>
        <v>Standard</v>
      </c>
      <c r="R156" s="7" t="str">
        <f t="shared" si="18"/>
        <v>Morning</v>
      </c>
      <c r="S156" s="7" t="str">
        <f t="shared" si="19"/>
        <v>Oceania</v>
      </c>
      <c r="T156" s="30">
        <f t="shared" si="20"/>
        <v>2</v>
      </c>
      <c r="U156" s="6"/>
      <c r="V156" s="6"/>
    </row>
    <row r="157" spans="1:22" x14ac:dyDescent="0.3">
      <c r="A157" t="s">
        <v>1106</v>
      </c>
      <c r="B157" t="s">
        <v>1781</v>
      </c>
      <c r="C157" t="s">
        <v>796</v>
      </c>
      <c r="D157" s="1">
        <v>41552.694444444445</v>
      </c>
      <c r="E157" t="s">
        <v>761</v>
      </c>
      <c r="F157" t="s">
        <v>173</v>
      </c>
      <c r="G157">
        <v>18</v>
      </c>
      <c r="H157">
        <v>35</v>
      </c>
      <c r="I157" t="s">
        <v>722</v>
      </c>
      <c r="J157">
        <v>2013</v>
      </c>
      <c r="K157">
        <v>10</v>
      </c>
      <c r="L157">
        <v>5</v>
      </c>
      <c r="M157">
        <v>16</v>
      </c>
      <c r="N157" s="7">
        <f t="shared" si="14"/>
        <v>53</v>
      </c>
      <c r="O157" s="7" t="str">
        <f t="shared" si="17"/>
        <v>Normal</v>
      </c>
      <c r="P157" s="7" t="str">
        <f t="shared" si="15"/>
        <v>No</v>
      </c>
      <c r="Q157" s="7" t="str">
        <f t="shared" si="16"/>
        <v>Standard</v>
      </c>
      <c r="R157" s="7" t="str">
        <f t="shared" si="18"/>
        <v>Afternoon</v>
      </c>
      <c r="S157" s="7" t="str">
        <f t="shared" si="19"/>
        <v>Europe</v>
      </c>
      <c r="T157" s="30">
        <f t="shared" si="20"/>
        <v>1.9444444444444444</v>
      </c>
      <c r="U157" s="6"/>
      <c r="V157" s="6"/>
    </row>
    <row r="158" spans="1:22" x14ac:dyDescent="0.3">
      <c r="A158" t="s">
        <v>1107</v>
      </c>
      <c r="B158" t="s">
        <v>1782</v>
      </c>
      <c r="C158" t="s">
        <v>797</v>
      </c>
      <c r="D158" s="1">
        <v>41830.552083333336</v>
      </c>
      <c r="E158" t="s">
        <v>762</v>
      </c>
      <c r="F158" t="s">
        <v>174</v>
      </c>
      <c r="G158">
        <v>25</v>
      </c>
      <c r="H158">
        <v>50</v>
      </c>
      <c r="I158" t="s">
        <v>732</v>
      </c>
      <c r="J158">
        <v>2014</v>
      </c>
      <c r="K158">
        <v>7</v>
      </c>
      <c r="L158">
        <v>10</v>
      </c>
      <c r="M158">
        <v>13</v>
      </c>
      <c r="N158" s="7">
        <f t="shared" si="14"/>
        <v>75</v>
      </c>
      <c r="O158" s="7" t="str">
        <f t="shared" si="17"/>
        <v>Popular</v>
      </c>
      <c r="P158" s="7" t="str">
        <f t="shared" si="15"/>
        <v>No</v>
      </c>
      <c r="Q158" s="7" t="str">
        <f t="shared" si="16"/>
        <v>Wide Reach</v>
      </c>
      <c r="R158" s="7" t="str">
        <f t="shared" si="18"/>
        <v>Afternoon</v>
      </c>
      <c r="S158" s="7" t="str">
        <f t="shared" si="19"/>
        <v>Asia</v>
      </c>
      <c r="T158" s="30">
        <f t="shared" si="20"/>
        <v>2</v>
      </c>
      <c r="U158" s="6"/>
      <c r="V158" s="6"/>
    </row>
    <row r="159" spans="1:22" x14ac:dyDescent="0.3">
      <c r="A159" t="s">
        <v>1108</v>
      </c>
      <c r="B159" t="s">
        <v>1783</v>
      </c>
      <c r="C159" t="s">
        <v>798</v>
      </c>
      <c r="D159" s="1">
        <v>42356.597222222219</v>
      </c>
      <c r="E159" t="s">
        <v>763</v>
      </c>
      <c r="F159" t="s">
        <v>175</v>
      </c>
      <c r="G159">
        <v>18</v>
      </c>
      <c r="H159">
        <v>35</v>
      </c>
      <c r="I159" t="s">
        <v>30</v>
      </c>
      <c r="J159">
        <v>2015</v>
      </c>
      <c r="K159">
        <v>12</v>
      </c>
      <c r="L159">
        <v>18</v>
      </c>
      <c r="M159">
        <v>14</v>
      </c>
      <c r="N159" s="7">
        <f t="shared" si="14"/>
        <v>53</v>
      </c>
      <c r="O159" s="7" t="str">
        <f t="shared" si="17"/>
        <v>Normal</v>
      </c>
      <c r="P159" s="7" t="str">
        <f t="shared" si="15"/>
        <v>No</v>
      </c>
      <c r="Q159" s="7" t="str">
        <f t="shared" si="16"/>
        <v>Standard</v>
      </c>
      <c r="R159" s="7" t="str">
        <f t="shared" si="18"/>
        <v>Afternoon</v>
      </c>
      <c r="S159" s="7" t="str">
        <f t="shared" si="19"/>
        <v>North America</v>
      </c>
      <c r="T159" s="30">
        <f t="shared" si="20"/>
        <v>1.9444444444444444</v>
      </c>
      <c r="U159" s="6"/>
      <c r="V159" s="6"/>
    </row>
    <row r="160" spans="1:22" x14ac:dyDescent="0.3">
      <c r="A160" t="s">
        <v>1109</v>
      </c>
      <c r="B160" t="s">
        <v>1784</v>
      </c>
      <c r="C160" t="s">
        <v>799</v>
      </c>
      <c r="D160" s="1">
        <v>42410.822916666664</v>
      </c>
      <c r="E160" t="s">
        <v>761</v>
      </c>
      <c r="F160" t="s">
        <v>176</v>
      </c>
      <c r="G160">
        <v>25</v>
      </c>
      <c r="H160">
        <v>50</v>
      </c>
      <c r="I160" t="s">
        <v>720</v>
      </c>
      <c r="J160">
        <v>2016</v>
      </c>
      <c r="K160">
        <v>2</v>
      </c>
      <c r="L160">
        <v>10</v>
      </c>
      <c r="M160">
        <v>19</v>
      </c>
      <c r="N160" s="7">
        <f t="shared" si="14"/>
        <v>75</v>
      </c>
      <c r="O160" s="7" t="str">
        <f t="shared" si="17"/>
        <v>Popular</v>
      </c>
      <c r="P160" s="7" t="str">
        <f t="shared" si="15"/>
        <v>No</v>
      </c>
      <c r="Q160" s="7" t="str">
        <f t="shared" si="16"/>
        <v>Wide Reach</v>
      </c>
      <c r="R160" s="7" t="str">
        <f t="shared" si="18"/>
        <v>Evening</v>
      </c>
      <c r="S160" s="7" t="str">
        <f t="shared" si="19"/>
        <v>North America</v>
      </c>
      <c r="T160" s="30">
        <f t="shared" si="20"/>
        <v>2</v>
      </c>
      <c r="U160" s="6"/>
      <c r="V160" s="6"/>
    </row>
    <row r="161" spans="1:22" x14ac:dyDescent="0.3">
      <c r="A161" t="s">
        <v>1110</v>
      </c>
      <c r="B161" t="s">
        <v>1785</v>
      </c>
      <c r="C161" t="s">
        <v>800</v>
      </c>
      <c r="D161" s="1">
        <v>43003.479166666664</v>
      </c>
      <c r="E161" t="s">
        <v>762</v>
      </c>
      <c r="F161" t="s">
        <v>177</v>
      </c>
      <c r="G161">
        <v>20</v>
      </c>
      <c r="H161">
        <v>40</v>
      </c>
      <c r="I161" t="s">
        <v>722</v>
      </c>
      <c r="J161">
        <v>2017</v>
      </c>
      <c r="K161">
        <v>9</v>
      </c>
      <c r="L161">
        <v>25</v>
      </c>
      <c r="M161">
        <v>11</v>
      </c>
      <c r="N161" s="7">
        <f t="shared" si="14"/>
        <v>60</v>
      </c>
      <c r="O161" s="7" t="str">
        <f t="shared" si="17"/>
        <v>Normal</v>
      </c>
      <c r="P161" s="7" t="str">
        <f t="shared" si="15"/>
        <v>No</v>
      </c>
      <c r="Q161" s="7" t="str">
        <f t="shared" si="16"/>
        <v>Standard</v>
      </c>
      <c r="R161" s="7" t="str">
        <f t="shared" si="18"/>
        <v>Morning</v>
      </c>
      <c r="S161" s="7" t="str">
        <f t="shared" si="19"/>
        <v>Europe</v>
      </c>
      <c r="T161" s="30">
        <f t="shared" si="20"/>
        <v>2</v>
      </c>
      <c r="U161" s="6"/>
      <c r="V161" s="6"/>
    </row>
    <row r="162" spans="1:22" x14ac:dyDescent="0.3">
      <c r="A162" t="s">
        <v>1111</v>
      </c>
      <c r="B162" t="s">
        <v>1786</v>
      </c>
      <c r="C162" t="s">
        <v>801</v>
      </c>
      <c r="D162" s="1">
        <v>43205.666666666664</v>
      </c>
      <c r="E162" t="s">
        <v>763</v>
      </c>
      <c r="F162" t="s">
        <v>178</v>
      </c>
      <c r="G162">
        <v>15</v>
      </c>
      <c r="H162">
        <v>30</v>
      </c>
      <c r="I162" t="s">
        <v>731</v>
      </c>
      <c r="J162">
        <v>2018</v>
      </c>
      <c r="K162">
        <v>4</v>
      </c>
      <c r="L162">
        <v>15</v>
      </c>
      <c r="M162">
        <v>16</v>
      </c>
      <c r="N162" s="7">
        <f t="shared" si="14"/>
        <v>45</v>
      </c>
      <c r="O162" s="7" t="str">
        <f t="shared" si="17"/>
        <v>Normal</v>
      </c>
      <c r="P162" s="7" t="str">
        <f t="shared" si="15"/>
        <v>No</v>
      </c>
      <c r="Q162" s="7" t="str">
        <f t="shared" si="16"/>
        <v>Standard</v>
      </c>
      <c r="R162" s="7" t="str">
        <f t="shared" si="18"/>
        <v>Afternoon</v>
      </c>
      <c r="S162" s="7" t="str">
        <f t="shared" si="19"/>
        <v>Oceania</v>
      </c>
      <c r="T162" s="30">
        <f t="shared" si="20"/>
        <v>2</v>
      </c>
      <c r="U162" s="6"/>
      <c r="V162" s="6"/>
    </row>
    <row r="163" spans="1:22" x14ac:dyDescent="0.3">
      <c r="A163" t="s">
        <v>1112</v>
      </c>
      <c r="B163" t="s">
        <v>1787</v>
      </c>
      <c r="C163" t="s">
        <v>802</v>
      </c>
      <c r="D163" s="1">
        <v>43797.763888888891</v>
      </c>
      <c r="E163" t="s">
        <v>761</v>
      </c>
      <c r="F163" t="s">
        <v>179</v>
      </c>
      <c r="G163">
        <v>22</v>
      </c>
      <c r="H163">
        <v>45</v>
      </c>
      <c r="I163" t="s">
        <v>732</v>
      </c>
      <c r="J163">
        <v>2019</v>
      </c>
      <c r="K163">
        <v>11</v>
      </c>
      <c r="L163">
        <v>28</v>
      </c>
      <c r="M163">
        <v>18</v>
      </c>
      <c r="N163" s="7">
        <f t="shared" si="14"/>
        <v>67</v>
      </c>
      <c r="O163" s="7" t="str">
        <f t="shared" si="17"/>
        <v>Popular</v>
      </c>
      <c r="P163" s="7" t="str">
        <f t="shared" si="15"/>
        <v>No</v>
      </c>
      <c r="Q163" s="7" t="str">
        <f t="shared" si="16"/>
        <v>Wide Reach</v>
      </c>
      <c r="R163" s="7" t="str">
        <f t="shared" si="18"/>
        <v>Evening</v>
      </c>
      <c r="S163" s="7" t="str">
        <f t="shared" si="19"/>
        <v>Asia</v>
      </c>
      <c r="T163" s="30">
        <f t="shared" si="20"/>
        <v>2.0454545454545454</v>
      </c>
      <c r="U163" s="6"/>
      <c r="V163" s="6"/>
    </row>
    <row r="164" spans="1:22" x14ac:dyDescent="0.3">
      <c r="A164" t="s">
        <v>1015</v>
      </c>
      <c r="B164" t="s">
        <v>1788</v>
      </c>
      <c r="C164" t="s">
        <v>803</v>
      </c>
      <c r="D164" s="1">
        <v>43962.625</v>
      </c>
      <c r="E164" t="s">
        <v>762</v>
      </c>
      <c r="F164" t="s">
        <v>180</v>
      </c>
      <c r="G164">
        <v>18</v>
      </c>
      <c r="H164">
        <v>35</v>
      </c>
      <c r="I164" t="s">
        <v>30</v>
      </c>
      <c r="J164">
        <v>2020</v>
      </c>
      <c r="K164">
        <v>5</v>
      </c>
      <c r="L164">
        <v>11</v>
      </c>
      <c r="M164">
        <v>15</v>
      </c>
      <c r="N164" s="7">
        <f t="shared" si="14"/>
        <v>53</v>
      </c>
      <c r="O164" s="7" t="str">
        <f t="shared" si="17"/>
        <v>Normal</v>
      </c>
      <c r="P164" s="7" t="str">
        <f t="shared" si="15"/>
        <v>No</v>
      </c>
      <c r="Q164" s="7" t="str">
        <f t="shared" si="16"/>
        <v>Standard</v>
      </c>
      <c r="R164" s="7" t="str">
        <f t="shared" si="18"/>
        <v>Afternoon</v>
      </c>
      <c r="S164" s="7" t="str">
        <f t="shared" si="19"/>
        <v>North America</v>
      </c>
      <c r="T164" s="30">
        <f t="shared" si="20"/>
        <v>1.9444444444444444</v>
      </c>
      <c r="U164" s="6"/>
      <c r="V164" s="6"/>
    </row>
    <row r="165" spans="1:22" x14ac:dyDescent="0.3">
      <c r="A165" t="s">
        <v>1113</v>
      </c>
      <c r="B165" t="s">
        <v>1789</v>
      </c>
      <c r="C165" t="s">
        <v>791</v>
      </c>
      <c r="D165" s="1">
        <v>44232.395833333336</v>
      </c>
      <c r="E165" t="s">
        <v>763</v>
      </c>
      <c r="F165" t="s">
        <v>181</v>
      </c>
      <c r="G165">
        <v>25</v>
      </c>
      <c r="H165">
        <v>50</v>
      </c>
      <c r="I165" t="s">
        <v>720</v>
      </c>
      <c r="J165">
        <v>2021</v>
      </c>
      <c r="K165">
        <v>2</v>
      </c>
      <c r="L165">
        <v>5</v>
      </c>
      <c r="M165">
        <v>9</v>
      </c>
      <c r="N165" s="7">
        <f t="shared" si="14"/>
        <v>75</v>
      </c>
      <c r="O165" s="7" t="str">
        <f t="shared" si="17"/>
        <v>Popular</v>
      </c>
      <c r="P165" s="7" t="str">
        <f t="shared" si="15"/>
        <v>No</v>
      </c>
      <c r="Q165" s="7" t="str">
        <f t="shared" si="16"/>
        <v>Wide Reach</v>
      </c>
      <c r="R165" s="7" t="str">
        <f t="shared" si="18"/>
        <v>Morning</v>
      </c>
      <c r="S165" s="7" t="str">
        <f t="shared" si="19"/>
        <v>North America</v>
      </c>
      <c r="T165" s="30">
        <f t="shared" si="20"/>
        <v>2</v>
      </c>
      <c r="U165" s="6"/>
      <c r="V165" s="6"/>
    </row>
    <row r="166" spans="1:22" x14ac:dyDescent="0.3">
      <c r="A166" t="s">
        <v>1114</v>
      </c>
      <c r="B166" t="s">
        <v>1790</v>
      </c>
      <c r="C166" t="s">
        <v>804</v>
      </c>
      <c r="D166" s="1">
        <v>44265.354166666664</v>
      </c>
      <c r="E166" t="s">
        <v>761</v>
      </c>
      <c r="F166" t="s">
        <v>182</v>
      </c>
      <c r="G166">
        <v>5</v>
      </c>
      <c r="H166">
        <v>10</v>
      </c>
      <c r="I166" t="s">
        <v>30</v>
      </c>
      <c r="J166">
        <v>2021</v>
      </c>
      <c r="K166">
        <v>3</v>
      </c>
      <c r="L166">
        <v>10</v>
      </c>
      <c r="M166">
        <v>8</v>
      </c>
      <c r="N166" s="7">
        <f t="shared" si="14"/>
        <v>15</v>
      </c>
      <c r="O166" s="7" t="str">
        <f t="shared" si="17"/>
        <v>Normal</v>
      </c>
      <c r="P166" s="7" t="str">
        <f t="shared" si="15"/>
        <v>No</v>
      </c>
      <c r="Q166" s="7" t="str">
        <f t="shared" si="16"/>
        <v>Standard</v>
      </c>
      <c r="R166" s="7" t="str">
        <f t="shared" si="18"/>
        <v>Morning</v>
      </c>
      <c r="S166" s="7" t="str">
        <f t="shared" si="19"/>
        <v>North America</v>
      </c>
      <c r="T166" s="30">
        <f t="shared" si="20"/>
        <v>2</v>
      </c>
      <c r="U166" s="6"/>
      <c r="V166" s="6"/>
    </row>
    <row r="167" spans="1:22" x14ac:dyDescent="0.3">
      <c r="A167" t="s">
        <v>1115</v>
      </c>
      <c r="B167" t="s">
        <v>1791</v>
      </c>
      <c r="C167" t="s">
        <v>805</v>
      </c>
      <c r="D167" s="1">
        <v>44747.65625</v>
      </c>
      <c r="E167" t="s">
        <v>762</v>
      </c>
      <c r="F167" t="s">
        <v>183</v>
      </c>
      <c r="G167">
        <v>8</v>
      </c>
      <c r="H167">
        <v>15</v>
      </c>
      <c r="I167" t="s">
        <v>720</v>
      </c>
      <c r="J167">
        <v>2022</v>
      </c>
      <c r="K167">
        <v>7</v>
      </c>
      <c r="L167">
        <v>5</v>
      </c>
      <c r="M167">
        <v>15</v>
      </c>
      <c r="N167" s="7">
        <f t="shared" si="14"/>
        <v>23</v>
      </c>
      <c r="O167" s="7" t="str">
        <f t="shared" si="17"/>
        <v>Normal</v>
      </c>
      <c r="P167" s="7" t="str">
        <f t="shared" si="15"/>
        <v>No</v>
      </c>
      <c r="Q167" s="7" t="str">
        <f t="shared" si="16"/>
        <v>Standard</v>
      </c>
      <c r="R167" s="7" t="str">
        <f t="shared" si="18"/>
        <v>Afternoon</v>
      </c>
      <c r="S167" s="7" t="str">
        <f t="shared" si="19"/>
        <v>North America</v>
      </c>
      <c r="T167" s="30">
        <f t="shared" si="20"/>
        <v>1.875</v>
      </c>
      <c r="U167" s="6"/>
      <c r="V167" s="6"/>
    </row>
    <row r="168" spans="1:22" x14ac:dyDescent="0.3">
      <c r="A168" t="s">
        <v>1116</v>
      </c>
      <c r="B168" t="s">
        <v>1792</v>
      </c>
      <c r="C168" t="s">
        <v>806</v>
      </c>
      <c r="D168" s="1">
        <v>43787.888888888891</v>
      </c>
      <c r="E168" t="s">
        <v>763</v>
      </c>
      <c r="F168" t="s">
        <v>184</v>
      </c>
      <c r="G168">
        <v>10</v>
      </c>
      <c r="H168">
        <v>20</v>
      </c>
      <c r="I168" t="s">
        <v>722</v>
      </c>
      <c r="J168">
        <v>2019</v>
      </c>
      <c r="K168">
        <v>11</v>
      </c>
      <c r="L168">
        <v>18</v>
      </c>
      <c r="M168">
        <v>21</v>
      </c>
      <c r="N168" s="7">
        <f t="shared" si="14"/>
        <v>30</v>
      </c>
      <c r="O168" s="7" t="str">
        <f t="shared" si="17"/>
        <v>Normal</v>
      </c>
      <c r="P168" s="7" t="str">
        <f t="shared" si="15"/>
        <v>No</v>
      </c>
      <c r="Q168" s="7" t="str">
        <f t="shared" si="16"/>
        <v>Standard</v>
      </c>
      <c r="R168" s="7" t="str">
        <f t="shared" si="18"/>
        <v>Evening</v>
      </c>
      <c r="S168" s="7" t="str">
        <f t="shared" si="19"/>
        <v>Europe</v>
      </c>
      <c r="T168" s="30">
        <f t="shared" si="20"/>
        <v>2</v>
      </c>
      <c r="U168" s="6"/>
      <c r="V168" s="6"/>
    </row>
    <row r="169" spans="1:22" x14ac:dyDescent="0.3">
      <c r="A169" t="s">
        <v>1117</v>
      </c>
      <c r="B169" t="s">
        <v>1793</v>
      </c>
      <c r="C169" t="s">
        <v>807</v>
      </c>
      <c r="D169" s="1">
        <v>44055.479166666664</v>
      </c>
      <c r="E169" t="s">
        <v>761</v>
      </c>
      <c r="F169" t="s">
        <v>185</v>
      </c>
      <c r="G169">
        <v>12</v>
      </c>
      <c r="H169">
        <v>25</v>
      </c>
      <c r="I169" t="s">
        <v>732</v>
      </c>
      <c r="J169">
        <v>2020</v>
      </c>
      <c r="K169">
        <v>8</v>
      </c>
      <c r="L169">
        <v>12</v>
      </c>
      <c r="M169">
        <v>11</v>
      </c>
      <c r="N169" s="7">
        <f t="shared" si="14"/>
        <v>37</v>
      </c>
      <c r="O169" s="7" t="str">
        <f t="shared" si="17"/>
        <v>Normal</v>
      </c>
      <c r="P169" s="7" t="str">
        <f t="shared" si="15"/>
        <v>No</v>
      </c>
      <c r="Q169" s="7" t="str">
        <f t="shared" si="16"/>
        <v>Standard</v>
      </c>
      <c r="R169" s="7" t="str">
        <f t="shared" si="18"/>
        <v>Morning</v>
      </c>
      <c r="S169" s="7" t="str">
        <f t="shared" si="19"/>
        <v>Asia</v>
      </c>
      <c r="T169" s="30">
        <f t="shared" si="20"/>
        <v>2.0833333333333335</v>
      </c>
      <c r="U169" s="6"/>
      <c r="V169" s="6"/>
    </row>
    <row r="170" spans="1:22" x14ac:dyDescent="0.3">
      <c r="A170" t="s">
        <v>1118</v>
      </c>
      <c r="B170" t="s">
        <v>1794</v>
      </c>
      <c r="C170" t="s">
        <v>808</v>
      </c>
      <c r="D170" s="1">
        <v>43242.614583333336</v>
      </c>
      <c r="E170" t="s">
        <v>762</v>
      </c>
      <c r="F170" t="s">
        <v>186</v>
      </c>
      <c r="G170">
        <v>7</v>
      </c>
      <c r="H170">
        <v>15</v>
      </c>
      <c r="I170" t="s">
        <v>731</v>
      </c>
      <c r="J170">
        <v>2018</v>
      </c>
      <c r="K170">
        <v>5</v>
      </c>
      <c r="L170">
        <v>22</v>
      </c>
      <c r="M170">
        <v>14</v>
      </c>
      <c r="N170" s="7">
        <f t="shared" si="14"/>
        <v>22</v>
      </c>
      <c r="O170" s="7" t="str">
        <f t="shared" si="17"/>
        <v>Normal</v>
      </c>
      <c r="P170" s="7" t="str">
        <f t="shared" si="15"/>
        <v>No</v>
      </c>
      <c r="Q170" s="7" t="str">
        <f t="shared" si="16"/>
        <v>Standard</v>
      </c>
      <c r="R170" s="7" t="str">
        <f t="shared" si="18"/>
        <v>Afternoon</v>
      </c>
      <c r="S170" s="7" t="str">
        <f t="shared" si="19"/>
        <v>Oceania</v>
      </c>
      <c r="T170" s="30">
        <f t="shared" si="20"/>
        <v>2.1428571428571428</v>
      </c>
      <c r="U170" s="6"/>
      <c r="V170" s="6"/>
    </row>
    <row r="171" spans="1:22" x14ac:dyDescent="0.3">
      <c r="A171" t="s">
        <v>1119</v>
      </c>
      <c r="B171" t="s">
        <v>1795</v>
      </c>
      <c r="C171" t="s">
        <v>809</v>
      </c>
      <c r="D171" s="1">
        <v>42765.673611111109</v>
      </c>
      <c r="E171" t="s">
        <v>763</v>
      </c>
      <c r="F171" t="s">
        <v>187</v>
      </c>
      <c r="G171">
        <v>10</v>
      </c>
      <c r="H171">
        <v>20</v>
      </c>
      <c r="I171" t="s">
        <v>30</v>
      </c>
      <c r="J171">
        <v>2017</v>
      </c>
      <c r="K171">
        <v>1</v>
      </c>
      <c r="L171">
        <v>30</v>
      </c>
      <c r="M171">
        <v>16</v>
      </c>
      <c r="N171" s="7">
        <f t="shared" si="14"/>
        <v>30</v>
      </c>
      <c r="O171" s="7" t="str">
        <f t="shared" si="17"/>
        <v>Normal</v>
      </c>
      <c r="P171" s="7" t="str">
        <f t="shared" si="15"/>
        <v>No</v>
      </c>
      <c r="Q171" s="7" t="str">
        <f t="shared" si="16"/>
        <v>Standard</v>
      </c>
      <c r="R171" s="7" t="str">
        <f t="shared" si="18"/>
        <v>Afternoon</v>
      </c>
      <c r="S171" s="7" t="str">
        <f t="shared" si="19"/>
        <v>North America</v>
      </c>
      <c r="T171" s="30">
        <f t="shared" si="20"/>
        <v>2</v>
      </c>
      <c r="U171" s="6"/>
      <c r="V171" s="6"/>
    </row>
    <row r="172" spans="1:22" x14ac:dyDescent="0.3">
      <c r="A172" t="s">
        <v>1120</v>
      </c>
      <c r="B172" t="s">
        <v>1796</v>
      </c>
      <c r="C172" t="s">
        <v>810</v>
      </c>
      <c r="D172" s="1">
        <v>42641.822916666664</v>
      </c>
      <c r="E172" t="s">
        <v>761</v>
      </c>
      <c r="F172" t="s">
        <v>188</v>
      </c>
      <c r="G172">
        <v>8</v>
      </c>
      <c r="H172">
        <v>15</v>
      </c>
      <c r="I172" t="s">
        <v>720</v>
      </c>
      <c r="J172">
        <v>2016</v>
      </c>
      <c r="K172">
        <v>9</v>
      </c>
      <c r="L172">
        <v>28</v>
      </c>
      <c r="M172">
        <v>19</v>
      </c>
      <c r="N172" s="7">
        <f t="shared" si="14"/>
        <v>23</v>
      </c>
      <c r="O172" s="7" t="str">
        <f t="shared" si="17"/>
        <v>Normal</v>
      </c>
      <c r="P172" s="7" t="str">
        <f t="shared" si="15"/>
        <v>No</v>
      </c>
      <c r="Q172" s="7" t="str">
        <f t="shared" si="16"/>
        <v>Standard</v>
      </c>
      <c r="R172" s="7" t="str">
        <f t="shared" si="18"/>
        <v>Evening</v>
      </c>
      <c r="S172" s="7" t="str">
        <f t="shared" si="19"/>
        <v>North America</v>
      </c>
      <c r="T172" s="30">
        <f t="shared" si="20"/>
        <v>1.875</v>
      </c>
      <c r="U172" s="6"/>
      <c r="V172" s="6"/>
    </row>
    <row r="173" spans="1:22" x14ac:dyDescent="0.3">
      <c r="A173" t="s">
        <v>1121</v>
      </c>
      <c r="B173" t="s">
        <v>1797</v>
      </c>
      <c r="C173" t="s">
        <v>811</v>
      </c>
      <c r="D173" s="1">
        <v>43570.375</v>
      </c>
      <c r="E173" t="s">
        <v>762</v>
      </c>
      <c r="F173" t="s">
        <v>189</v>
      </c>
      <c r="G173">
        <v>12</v>
      </c>
      <c r="H173">
        <v>25</v>
      </c>
      <c r="I173" t="s">
        <v>722</v>
      </c>
      <c r="J173">
        <v>2019</v>
      </c>
      <c r="K173">
        <v>4</v>
      </c>
      <c r="L173">
        <v>15</v>
      </c>
      <c r="M173">
        <v>9</v>
      </c>
      <c r="N173" s="7">
        <f t="shared" si="14"/>
        <v>37</v>
      </c>
      <c r="O173" s="7" t="str">
        <f t="shared" si="17"/>
        <v>Normal</v>
      </c>
      <c r="P173" s="7" t="str">
        <f t="shared" si="15"/>
        <v>No</v>
      </c>
      <c r="Q173" s="7" t="str">
        <f t="shared" si="16"/>
        <v>Standard</v>
      </c>
      <c r="R173" s="7" t="str">
        <f t="shared" si="18"/>
        <v>Morning</v>
      </c>
      <c r="S173" s="7" t="str">
        <f t="shared" si="19"/>
        <v>Europe</v>
      </c>
      <c r="T173" s="30">
        <f t="shared" si="20"/>
        <v>2.0833333333333335</v>
      </c>
      <c r="U173" s="6"/>
      <c r="V173" s="6"/>
    </row>
    <row r="174" spans="1:22" x14ac:dyDescent="0.3">
      <c r="A174" t="s">
        <v>1122</v>
      </c>
      <c r="B174" t="s">
        <v>1798</v>
      </c>
      <c r="C174" t="s">
        <v>812</v>
      </c>
      <c r="D174" s="1">
        <v>44533.770833333336</v>
      </c>
      <c r="E174" t="s">
        <v>763</v>
      </c>
      <c r="F174" t="s">
        <v>190</v>
      </c>
      <c r="G174">
        <v>15</v>
      </c>
      <c r="H174">
        <v>30</v>
      </c>
      <c r="I174" t="s">
        <v>732</v>
      </c>
      <c r="J174">
        <v>2021</v>
      </c>
      <c r="K174">
        <v>12</v>
      </c>
      <c r="L174">
        <v>3</v>
      </c>
      <c r="M174">
        <v>18</v>
      </c>
      <c r="N174" s="7">
        <f t="shared" si="14"/>
        <v>45</v>
      </c>
      <c r="O174" s="7" t="str">
        <f t="shared" si="17"/>
        <v>Normal</v>
      </c>
      <c r="P174" s="7" t="str">
        <f t="shared" si="15"/>
        <v>No</v>
      </c>
      <c r="Q174" s="7" t="str">
        <f t="shared" si="16"/>
        <v>Standard</v>
      </c>
      <c r="R174" s="7" t="str">
        <f t="shared" si="18"/>
        <v>Evening</v>
      </c>
      <c r="S174" s="7" t="str">
        <f t="shared" si="19"/>
        <v>Asia</v>
      </c>
      <c r="T174" s="30">
        <f t="shared" si="20"/>
        <v>2</v>
      </c>
      <c r="U174" s="6"/>
      <c r="V174" s="6"/>
    </row>
    <row r="175" spans="1:22" x14ac:dyDescent="0.3">
      <c r="A175" t="s">
        <v>1123</v>
      </c>
      <c r="B175" t="s">
        <v>1799</v>
      </c>
      <c r="C175" t="s">
        <v>813</v>
      </c>
      <c r="D175" s="1">
        <v>44002.597222222219</v>
      </c>
      <c r="E175" t="s">
        <v>761</v>
      </c>
      <c r="F175" t="s">
        <v>191</v>
      </c>
      <c r="G175">
        <v>8</v>
      </c>
      <c r="H175">
        <v>15</v>
      </c>
      <c r="I175" t="s">
        <v>731</v>
      </c>
      <c r="J175">
        <v>2020</v>
      </c>
      <c r="K175">
        <v>6</v>
      </c>
      <c r="L175">
        <v>20</v>
      </c>
      <c r="M175">
        <v>14</v>
      </c>
      <c r="N175" s="7">
        <f t="shared" si="14"/>
        <v>23</v>
      </c>
      <c r="O175" s="7" t="str">
        <f t="shared" si="17"/>
        <v>Normal</v>
      </c>
      <c r="P175" s="7" t="str">
        <f t="shared" si="15"/>
        <v>No</v>
      </c>
      <c r="Q175" s="7" t="str">
        <f t="shared" si="16"/>
        <v>Standard</v>
      </c>
      <c r="R175" s="7" t="str">
        <f t="shared" si="18"/>
        <v>Afternoon</v>
      </c>
      <c r="S175" s="7" t="str">
        <f t="shared" si="19"/>
        <v>Oceania</v>
      </c>
      <c r="T175" s="30">
        <f t="shared" si="20"/>
        <v>1.875</v>
      </c>
      <c r="U175" s="6"/>
      <c r="V175" s="6"/>
    </row>
    <row r="176" spans="1:22" x14ac:dyDescent="0.3">
      <c r="A176" t="s">
        <v>1124</v>
      </c>
      <c r="B176" t="s">
        <v>1800</v>
      </c>
      <c r="C176" t="s">
        <v>814</v>
      </c>
      <c r="D176" s="1">
        <v>43411.479166666664</v>
      </c>
      <c r="E176" t="s">
        <v>762</v>
      </c>
      <c r="F176" t="s">
        <v>192</v>
      </c>
      <c r="G176">
        <v>10</v>
      </c>
      <c r="H176">
        <v>20</v>
      </c>
      <c r="I176" t="s">
        <v>720</v>
      </c>
      <c r="J176">
        <v>2018</v>
      </c>
      <c r="K176">
        <v>11</v>
      </c>
      <c r="L176">
        <v>7</v>
      </c>
      <c r="M176">
        <v>11</v>
      </c>
      <c r="N176" s="7">
        <f t="shared" si="14"/>
        <v>30</v>
      </c>
      <c r="O176" s="7" t="str">
        <f t="shared" si="17"/>
        <v>Normal</v>
      </c>
      <c r="P176" s="7" t="str">
        <f t="shared" si="15"/>
        <v>No</v>
      </c>
      <c r="Q176" s="7" t="str">
        <f t="shared" si="16"/>
        <v>Standard</v>
      </c>
      <c r="R176" s="7" t="str">
        <f t="shared" si="18"/>
        <v>Morning</v>
      </c>
      <c r="S176" s="7" t="str">
        <f t="shared" si="19"/>
        <v>North America</v>
      </c>
      <c r="T176" s="30">
        <f t="shared" si="20"/>
        <v>2</v>
      </c>
      <c r="U176" s="6"/>
      <c r="V176" s="6"/>
    </row>
    <row r="177" spans="1:22" x14ac:dyDescent="0.3">
      <c r="A177" t="s">
        <v>1125</v>
      </c>
      <c r="B177" t="s">
        <v>1801</v>
      </c>
      <c r="C177" t="s">
        <v>815</v>
      </c>
      <c r="D177" s="1">
        <v>42972.666666666664</v>
      </c>
      <c r="E177" t="s">
        <v>763</v>
      </c>
      <c r="F177" t="s">
        <v>193</v>
      </c>
      <c r="G177">
        <v>12</v>
      </c>
      <c r="H177">
        <v>25</v>
      </c>
      <c r="I177" t="s">
        <v>722</v>
      </c>
      <c r="J177">
        <v>2017</v>
      </c>
      <c r="K177">
        <v>8</v>
      </c>
      <c r="L177">
        <v>25</v>
      </c>
      <c r="M177">
        <v>16</v>
      </c>
      <c r="N177" s="7">
        <f t="shared" si="14"/>
        <v>37</v>
      </c>
      <c r="O177" s="7" t="str">
        <f t="shared" si="17"/>
        <v>Normal</v>
      </c>
      <c r="P177" s="7" t="str">
        <f t="shared" si="15"/>
        <v>No</v>
      </c>
      <c r="Q177" s="7" t="str">
        <f t="shared" si="16"/>
        <v>Standard</v>
      </c>
      <c r="R177" s="7" t="str">
        <f t="shared" si="18"/>
        <v>Afternoon</v>
      </c>
      <c r="S177" s="7" t="str">
        <f t="shared" si="19"/>
        <v>Europe</v>
      </c>
      <c r="T177" s="30">
        <f t="shared" si="20"/>
        <v>2.0833333333333335</v>
      </c>
      <c r="U177" s="6"/>
      <c r="V177" s="6"/>
    </row>
    <row r="178" spans="1:22" x14ac:dyDescent="0.3">
      <c r="A178" t="s">
        <v>1126</v>
      </c>
      <c r="B178" t="s">
        <v>1802</v>
      </c>
      <c r="C178" t="s">
        <v>770</v>
      </c>
      <c r="D178" s="1">
        <v>43507.40625</v>
      </c>
      <c r="E178" t="s">
        <v>761</v>
      </c>
      <c r="F178" t="s">
        <v>194</v>
      </c>
      <c r="G178">
        <v>7</v>
      </c>
      <c r="H178">
        <v>15</v>
      </c>
      <c r="I178" t="s">
        <v>732</v>
      </c>
      <c r="J178">
        <v>2019</v>
      </c>
      <c r="K178">
        <v>2</v>
      </c>
      <c r="L178">
        <v>11</v>
      </c>
      <c r="M178">
        <v>9</v>
      </c>
      <c r="N178" s="7">
        <f t="shared" si="14"/>
        <v>22</v>
      </c>
      <c r="O178" s="7" t="str">
        <f t="shared" si="17"/>
        <v>Normal</v>
      </c>
      <c r="P178" s="7" t="str">
        <f t="shared" si="15"/>
        <v>No</v>
      </c>
      <c r="Q178" s="7" t="str">
        <f t="shared" si="16"/>
        <v>Standard</v>
      </c>
      <c r="R178" s="7" t="str">
        <f t="shared" si="18"/>
        <v>Morning</v>
      </c>
      <c r="S178" s="7" t="str">
        <f t="shared" si="19"/>
        <v>Asia</v>
      </c>
      <c r="T178" s="30">
        <f t="shared" si="20"/>
        <v>2.1428571428571428</v>
      </c>
      <c r="U178" s="6"/>
      <c r="V178" s="6"/>
    </row>
    <row r="179" spans="1:22" x14ac:dyDescent="0.3">
      <c r="A179" t="s">
        <v>1127</v>
      </c>
      <c r="B179" t="s">
        <v>1803</v>
      </c>
      <c r="C179" t="s">
        <v>804</v>
      </c>
      <c r="D179" s="1">
        <v>42462.847222222219</v>
      </c>
      <c r="E179" t="s">
        <v>762</v>
      </c>
      <c r="F179" t="s">
        <v>195</v>
      </c>
      <c r="G179">
        <v>10</v>
      </c>
      <c r="H179">
        <v>20</v>
      </c>
      <c r="I179" t="s">
        <v>30</v>
      </c>
      <c r="J179">
        <v>2016</v>
      </c>
      <c r="K179">
        <v>4</v>
      </c>
      <c r="L179">
        <v>2</v>
      </c>
      <c r="M179">
        <v>20</v>
      </c>
      <c r="N179" s="7">
        <f t="shared" si="14"/>
        <v>30</v>
      </c>
      <c r="O179" s="7" t="str">
        <f t="shared" si="17"/>
        <v>Normal</v>
      </c>
      <c r="P179" s="7" t="str">
        <f t="shared" si="15"/>
        <v>No</v>
      </c>
      <c r="Q179" s="7" t="str">
        <f t="shared" si="16"/>
        <v>Standard</v>
      </c>
      <c r="R179" s="7" t="str">
        <f t="shared" si="18"/>
        <v>Evening</v>
      </c>
      <c r="S179" s="7" t="str">
        <f t="shared" si="19"/>
        <v>North America</v>
      </c>
      <c r="T179" s="30">
        <f t="shared" si="20"/>
        <v>2</v>
      </c>
      <c r="U179" s="6"/>
      <c r="V179" s="6"/>
    </row>
    <row r="180" spans="1:22" x14ac:dyDescent="0.3">
      <c r="A180" t="s">
        <v>1128</v>
      </c>
      <c r="B180" t="s">
        <v>1804</v>
      </c>
      <c r="C180" t="s">
        <v>805</v>
      </c>
      <c r="D180" s="1">
        <v>42295.645833333336</v>
      </c>
      <c r="E180" t="s">
        <v>763</v>
      </c>
      <c r="F180" t="s">
        <v>196</v>
      </c>
      <c r="G180">
        <v>12</v>
      </c>
      <c r="H180">
        <v>25</v>
      </c>
      <c r="I180" t="s">
        <v>720</v>
      </c>
      <c r="J180">
        <v>2015</v>
      </c>
      <c r="K180">
        <v>10</v>
      </c>
      <c r="L180">
        <v>18</v>
      </c>
      <c r="M180">
        <v>15</v>
      </c>
      <c r="N180" s="7">
        <f t="shared" si="14"/>
        <v>37</v>
      </c>
      <c r="O180" s="7" t="str">
        <f t="shared" si="17"/>
        <v>Normal</v>
      </c>
      <c r="P180" s="7" t="str">
        <f t="shared" si="15"/>
        <v>No</v>
      </c>
      <c r="Q180" s="7" t="str">
        <f t="shared" si="16"/>
        <v>Standard</v>
      </c>
      <c r="R180" s="7" t="str">
        <f t="shared" si="18"/>
        <v>Afternoon</v>
      </c>
      <c r="S180" s="7" t="str">
        <f t="shared" si="19"/>
        <v>North America</v>
      </c>
      <c r="T180" s="30">
        <f t="shared" si="20"/>
        <v>2.0833333333333335</v>
      </c>
      <c r="U180" s="6"/>
      <c r="V180" s="6"/>
    </row>
    <row r="181" spans="1:22" x14ac:dyDescent="0.3">
      <c r="A181" t="s">
        <v>1129</v>
      </c>
      <c r="B181" t="s">
        <v>1805</v>
      </c>
      <c r="C181" t="s">
        <v>806</v>
      </c>
      <c r="D181" s="1">
        <v>43658.756944444445</v>
      </c>
      <c r="E181" t="s">
        <v>761</v>
      </c>
      <c r="F181" t="s">
        <v>197</v>
      </c>
      <c r="G181">
        <v>15</v>
      </c>
      <c r="H181">
        <v>30</v>
      </c>
      <c r="I181" t="s">
        <v>722</v>
      </c>
      <c r="J181">
        <v>2019</v>
      </c>
      <c r="K181">
        <v>7</v>
      </c>
      <c r="L181">
        <v>12</v>
      </c>
      <c r="M181">
        <v>18</v>
      </c>
      <c r="N181" s="7">
        <f t="shared" si="14"/>
        <v>45</v>
      </c>
      <c r="O181" s="7" t="str">
        <f t="shared" si="17"/>
        <v>Normal</v>
      </c>
      <c r="P181" s="7" t="str">
        <f t="shared" si="15"/>
        <v>No</v>
      </c>
      <c r="Q181" s="7" t="str">
        <f t="shared" si="16"/>
        <v>Standard</v>
      </c>
      <c r="R181" s="7" t="str">
        <f t="shared" si="18"/>
        <v>Evening</v>
      </c>
      <c r="S181" s="7" t="str">
        <f t="shared" si="19"/>
        <v>Europe</v>
      </c>
      <c r="T181" s="30">
        <f t="shared" si="20"/>
        <v>2</v>
      </c>
      <c r="U181" s="6"/>
      <c r="V181" s="6"/>
    </row>
    <row r="182" spans="1:22" x14ac:dyDescent="0.3">
      <c r="A182" t="s">
        <v>1130</v>
      </c>
      <c r="B182" t="s">
        <v>1806</v>
      </c>
      <c r="C182" t="s">
        <v>807</v>
      </c>
      <c r="D182" s="1">
        <v>43254.6875</v>
      </c>
      <c r="E182" t="s">
        <v>762</v>
      </c>
      <c r="F182" t="s">
        <v>198</v>
      </c>
      <c r="G182">
        <v>8</v>
      </c>
      <c r="H182">
        <v>15</v>
      </c>
      <c r="I182" t="s">
        <v>732</v>
      </c>
      <c r="J182">
        <v>2018</v>
      </c>
      <c r="K182">
        <v>6</v>
      </c>
      <c r="L182">
        <v>3</v>
      </c>
      <c r="M182">
        <v>16</v>
      </c>
      <c r="N182" s="7">
        <f t="shared" si="14"/>
        <v>23</v>
      </c>
      <c r="O182" s="7" t="str">
        <f t="shared" si="17"/>
        <v>Normal</v>
      </c>
      <c r="P182" s="7" t="str">
        <f t="shared" si="15"/>
        <v>No</v>
      </c>
      <c r="Q182" s="7" t="str">
        <f t="shared" si="16"/>
        <v>Standard</v>
      </c>
      <c r="R182" s="7" t="str">
        <f t="shared" si="18"/>
        <v>Afternoon</v>
      </c>
      <c r="S182" s="7" t="str">
        <f t="shared" si="19"/>
        <v>Asia</v>
      </c>
      <c r="T182" s="30">
        <f t="shared" si="20"/>
        <v>1.875</v>
      </c>
      <c r="U182" s="6"/>
      <c r="V182" s="6"/>
    </row>
    <row r="183" spans="1:22" x14ac:dyDescent="0.3">
      <c r="A183" t="s">
        <v>1131</v>
      </c>
      <c r="B183" t="s">
        <v>1807</v>
      </c>
      <c r="C183" t="s">
        <v>808</v>
      </c>
      <c r="D183" s="1">
        <v>44576.5</v>
      </c>
      <c r="E183" t="s">
        <v>763</v>
      </c>
      <c r="F183" t="s">
        <v>199</v>
      </c>
      <c r="G183">
        <v>10</v>
      </c>
      <c r="H183">
        <v>20</v>
      </c>
      <c r="I183" t="s">
        <v>731</v>
      </c>
      <c r="J183">
        <v>2022</v>
      </c>
      <c r="K183">
        <v>1</v>
      </c>
      <c r="L183">
        <v>15</v>
      </c>
      <c r="M183">
        <v>12</v>
      </c>
      <c r="N183" s="7">
        <f t="shared" si="14"/>
        <v>30</v>
      </c>
      <c r="O183" s="7" t="str">
        <f t="shared" si="17"/>
        <v>Normal</v>
      </c>
      <c r="P183" s="7" t="str">
        <f t="shared" si="15"/>
        <v>No</v>
      </c>
      <c r="Q183" s="7" t="str">
        <f t="shared" si="16"/>
        <v>Standard</v>
      </c>
      <c r="R183" s="7" t="str">
        <f t="shared" si="18"/>
        <v>Afternoon</v>
      </c>
      <c r="S183" s="7" t="str">
        <f t="shared" si="19"/>
        <v>Oceania</v>
      </c>
      <c r="T183" s="30">
        <f t="shared" si="20"/>
        <v>2</v>
      </c>
      <c r="U183" s="6"/>
      <c r="V183" s="6"/>
    </row>
    <row r="184" spans="1:22" x14ac:dyDescent="0.3">
      <c r="A184" t="s">
        <v>1132</v>
      </c>
      <c r="B184" t="s">
        <v>1808</v>
      </c>
      <c r="C184" t="s">
        <v>809</v>
      </c>
      <c r="D184" s="1">
        <v>42835.614583333336</v>
      </c>
      <c r="E184" t="s">
        <v>761</v>
      </c>
      <c r="F184" t="s">
        <v>200</v>
      </c>
      <c r="G184">
        <v>12</v>
      </c>
      <c r="H184">
        <v>25</v>
      </c>
      <c r="I184" t="s">
        <v>30</v>
      </c>
      <c r="J184">
        <v>2017</v>
      </c>
      <c r="K184">
        <v>4</v>
      </c>
      <c r="L184">
        <v>10</v>
      </c>
      <c r="M184">
        <v>14</v>
      </c>
      <c r="N184" s="7">
        <f t="shared" si="14"/>
        <v>37</v>
      </c>
      <c r="O184" s="7" t="str">
        <f t="shared" si="17"/>
        <v>Normal</v>
      </c>
      <c r="P184" s="7" t="str">
        <f t="shared" si="15"/>
        <v>No</v>
      </c>
      <c r="Q184" s="7" t="str">
        <f t="shared" si="16"/>
        <v>Standard</v>
      </c>
      <c r="R184" s="7" t="str">
        <f t="shared" si="18"/>
        <v>Afternoon</v>
      </c>
      <c r="S184" s="7" t="str">
        <f t="shared" si="19"/>
        <v>North America</v>
      </c>
      <c r="T184" s="30">
        <f t="shared" si="20"/>
        <v>2.0833333333333335</v>
      </c>
      <c r="U184" s="6"/>
      <c r="V184" s="6"/>
    </row>
    <row r="185" spans="1:22" x14ac:dyDescent="0.3">
      <c r="A185" t="s">
        <v>1133</v>
      </c>
      <c r="B185" t="s">
        <v>1809</v>
      </c>
      <c r="C185" t="s">
        <v>810</v>
      </c>
      <c r="D185" s="1">
        <v>42702.791666666664</v>
      </c>
      <c r="E185" t="s">
        <v>762</v>
      </c>
      <c r="F185" t="s">
        <v>201</v>
      </c>
      <c r="G185">
        <v>7</v>
      </c>
      <c r="H185">
        <v>15</v>
      </c>
      <c r="I185" t="s">
        <v>720</v>
      </c>
      <c r="J185">
        <v>2016</v>
      </c>
      <c r="K185">
        <v>11</v>
      </c>
      <c r="L185">
        <v>28</v>
      </c>
      <c r="M185">
        <v>19</v>
      </c>
      <c r="N185" s="7">
        <f t="shared" si="14"/>
        <v>22</v>
      </c>
      <c r="O185" s="7" t="str">
        <f t="shared" si="17"/>
        <v>Normal</v>
      </c>
      <c r="P185" s="7" t="str">
        <f t="shared" si="15"/>
        <v>No</v>
      </c>
      <c r="Q185" s="7" t="str">
        <f t="shared" si="16"/>
        <v>Standard</v>
      </c>
      <c r="R185" s="7" t="str">
        <f t="shared" si="18"/>
        <v>Evening</v>
      </c>
      <c r="S185" s="7" t="str">
        <f t="shared" si="19"/>
        <v>North America</v>
      </c>
      <c r="T185" s="30">
        <f t="shared" si="20"/>
        <v>2.1428571428571428</v>
      </c>
      <c r="U185" s="6"/>
      <c r="V185" s="6"/>
    </row>
    <row r="186" spans="1:22" x14ac:dyDescent="0.3">
      <c r="A186" t="s">
        <v>1134</v>
      </c>
      <c r="B186" t="s">
        <v>1810</v>
      </c>
      <c r="C186" t="s">
        <v>811</v>
      </c>
      <c r="D186" s="1">
        <v>43348.395833333336</v>
      </c>
      <c r="E186" t="s">
        <v>763</v>
      </c>
      <c r="F186" t="s">
        <v>202</v>
      </c>
      <c r="G186">
        <v>10</v>
      </c>
      <c r="H186">
        <v>20</v>
      </c>
      <c r="I186" t="s">
        <v>722</v>
      </c>
      <c r="J186">
        <v>2018</v>
      </c>
      <c r="K186">
        <v>9</v>
      </c>
      <c r="L186">
        <v>5</v>
      </c>
      <c r="M186">
        <v>9</v>
      </c>
      <c r="N186" s="7">
        <f t="shared" si="14"/>
        <v>30</v>
      </c>
      <c r="O186" s="7" t="str">
        <f t="shared" si="17"/>
        <v>Normal</v>
      </c>
      <c r="P186" s="7" t="str">
        <f t="shared" si="15"/>
        <v>No</v>
      </c>
      <c r="Q186" s="7" t="str">
        <f t="shared" si="16"/>
        <v>Standard</v>
      </c>
      <c r="R186" s="7" t="str">
        <f t="shared" si="18"/>
        <v>Morning</v>
      </c>
      <c r="S186" s="7" t="str">
        <f t="shared" si="19"/>
        <v>Europe</v>
      </c>
      <c r="T186" s="30">
        <f t="shared" si="20"/>
        <v>2</v>
      </c>
      <c r="U186" s="6"/>
      <c r="V186" s="6"/>
    </row>
    <row r="187" spans="1:22" x14ac:dyDescent="0.3">
      <c r="A187" t="s">
        <v>1135</v>
      </c>
      <c r="B187" t="s">
        <v>1811</v>
      </c>
      <c r="C187" t="s">
        <v>812</v>
      </c>
      <c r="D187" s="1">
        <v>44491.770833333336</v>
      </c>
      <c r="E187" t="s">
        <v>761</v>
      </c>
      <c r="F187" t="s">
        <v>203</v>
      </c>
      <c r="G187">
        <v>15</v>
      </c>
      <c r="H187">
        <v>30</v>
      </c>
      <c r="I187" t="s">
        <v>732</v>
      </c>
      <c r="J187">
        <v>2021</v>
      </c>
      <c r="K187">
        <v>10</v>
      </c>
      <c r="L187">
        <v>22</v>
      </c>
      <c r="M187">
        <v>18</v>
      </c>
      <c r="N187" s="7">
        <f t="shared" si="14"/>
        <v>45</v>
      </c>
      <c r="O187" s="7" t="str">
        <f t="shared" si="17"/>
        <v>Normal</v>
      </c>
      <c r="P187" s="7" t="str">
        <f t="shared" si="15"/>
        <v>No</v>
      </c>
      <c r="Q187" s="7" t="str">
        <f t="shared" si="16"/>
        <v>Standard</v>
      </c>
      <c r="R187" s="7" t="str">
        <f t="shared" si="18"/>
        <v>Evening</v>
      </c>
      <c r="S187" s="7" t="str">
        <f t="shared" si="19"/>
        <v>Asia</v>
      </c>
      <c r="T187" s="30">
        <f t="shared" si="20"/>
        <v>2</v>
      </c>
      <c r="U187" s="6"/>
      <c r="V187" s="6"/>
    </row>
    <row r="188" spans="1:22" x14ac:dyDescent="0.3">
      <c r="A188" t="s">
        <v>1136</v>
      </c>
      <c r="B188" t="s">
        <v>1812</v>
      </c>
      <c r="C188" t="s">
        <v>813</v>
      </c>
      <c r="D188" s="1">
        <v>43593.597222222219</v>
      </c>
      <c r="E188" t="s">
        <v>762</v>
      </c>
      <c r="F188" t="s">
        <v>204</v>
      </c>
      <c r="G188">
        <v>8</v>
      </c>
      <c r="H188">
        <v>15</v>
      </c>
      <c r="I188" t="s">
        <v>731</v>
      </c>
      <c r="J188">
        <v>2019</v>
      </c>
      <c r="K188">
        <v>5</v>
      </c>
      <c r="L188">
        <v>8</v>
      </c>
      <c r="M188">
        <v>14</v>
      </c>
      <c r="N188" s="7">
        <f t="shared" si="14"/>
        <v>23</v>
      </c>
      <c r="O188" s="7" t="str">
        <f t="shared" si="17"/>
        <v>Normal</v>
      </c>
      <c r="P188" s="7" t="str">
        <f t="shared" si="15"/>
        <v>No</v>
      </c>
      <c r="Q188" s="7" t="str">
        <f t="shared" si="16"/>
        <v>Standard</v>
      </c>
      <c r="R188" s="7" t="str">
        <f t="shared" si="18"/>
        <v>Afternoon</v>
      </c>
      <c r="S188" s="7" t="str">
        <f t="shared" si="19"/>
        <v>Oceania</v>
      </c>
      <c r="T188" s="30">
        <f t="shared" si="20"/>
        <v>1.875</v>
      </c>
      <c r="U188" s="6"/>
      <c r="V188" s="6"/>
    </row>
    <row r="189" spans="1:22" x14ac:dyDescent="0.3">
      <c r="A189" t="s">
        <v>1137</v>
      </c>
      <c r="B189" t="s">
        <v>1813</v>
      </c>
      <c r="C189" t="s">
        <v>814</v>
      </c>
      <c r="D189" s="1">
        <v>42814.479166666664</v>
      </c>
      <c r="E189" t="s">
        <v>763</v>
      </c>
      <c r="F189" t="s">
        <v>205</v>
      </c>
      <c r="G189">
        <v>10</v>
      </c>
      <c r="H189">
        <v>20</v>
      </c>
      <c r="I189" t="s">
        <v>720</v>
      </c>
      <c r="J189">
        <v>2017</v>
      </c>
      <c r="K189">
        <v>3</v>
      </c>
      <c r="L189">
        <v>20</v>
      </c>
      <c r="M189">
        <v>11</v>
      </c>
      <c r="N189" s="7">
        <f t="shared" si="14"/>
        <v>30</v>
      </c>
      <c r="O189" s="7" t="str">
        <f t="shared" si="17"/>
        <v>Normal</v>
      </c>
      <c r="P189" s="7" t="str">
        <f t="shared" si="15"/>
        <v>No</v>
      </c>
      <c r="Q189" s="7" t="str">
        <f t="shared" si="16"/>
        <v>Standard</v>
      </c>
      <c r="R189" s="7" t="str">
        <f t="shared" si="18"/>
        <v>Morning</v>
      </c>
      <c r="S189" s="7" t="str">
        <f t="shared" si="19"/>
        <v>North America</v>
      </c>
      <c r="T189" s="30">
        <f t="shared" si="20"/>
        <v>2</v>
      </c>
      <c r="U189" s="6"/>
      <c r="V189" s="6"/>
    </row>
    <row r="190" spans="1:22" x14ac:dyDescent="0.3">
      <c r="A190" t="s">
        <v>1138</v>
      </c>
      <c r="B190" t="s">
        <v>1814</v>
      </c>
      <c r="C190" t="s">
        <v>815</v>
      </c>
      <c r="D190" s="1">
        <v>43449.666666666664</v>
      </c>
      <c r="E190" t="s">
        <v>761</v>
      </c>
      <c r="F190" t="s">
        <v>206</v>
      </c>
      <c r="G190">
        <v>12</v>
      </c>
      <c r="H190">
        <v>25</v>
      </c>
      <c r="I190" t="s">
        <v>30</v>
      </c>
      <c r="J190">
        <v>2018</v>
      </c>
      <c r="K190">
        <v>12</v>
      </c>
      <c r="L190">
        <v>15</v>
      </c>
      <c r="M190">
        <v>16</v>
      </c>
      <c r="N190" s="7">
        <f t="shared" si="14"/>
        <v>37</v>
      </c>
      <c r="O190" s="7" t="str">
        <f t="shared" si="17"/>
        <v>Normal</v>
      </c>
      <c r="P190" s="7" t="str">
        <f t="shared" si="15"/>
        <v>No</v>
      </c>
      <c r="Q190" s="7" t="str">
        <f t="shared" si="16"/>
        <v>Standard</v>
      </c>
      <c r="R190" s="7" t="str">
        <f t="shared" si="18"/>
        <v>Afternoon</v>
      </c>
      <c r="S190" s="7" t="str">
        <f t="shared" si="19"/>
        <v>North America</v>
      </c>
      <c r="T190" s="30">
        <f t="shared" si="20"/>
        <v>2.0833333333333335</v>
      </c>
      <c r="U190" s="6"/>
      <c r="V190" s="6"/>
    </row>
    <row r="191" spans="1:22" x14ac:dyDescent="0.3">
      <c r="A191" t="s">
        <v>1139</v>
      </c>
      <c r="B191" t="s">
        <v>1815</v>
      </c>
      <c r="C191" t="s">
        <v>770</v>
      </c>
      <c r="D191" s="1">
        <v>42552.40625</v>
      </c>
      <c r="E191" t="s">
        <v>762</v>
      </c>
      <c r="F191" t="s">
        <v>207</v>
      </c>
      <c r="G191">
        <v>7</v>
      </c>
      <c r="H191">
        <v>15</v>
      </c>
      <c r="I191" t="s">
        <v>722</v>
      </c>
      <c r="J191">
        <v>2016</v>
      </c>
      <c r="K191">
        <v>7</v>
      </c>
      <c r="L191">
        <v>1</v>
      </c>
      <c r="M191">
        <v>9</v>
      </c>
      <c r="N191" s="7">
        <f t="shared" si="14"/>
        <v>22</v>
      </c>
      <c r="O191" s="7" t="str">
        <f t="shared" si="17"/>
        <v>Normal</v>
      </c>
      <c r="P191" s="7" t="str">
        <f t="shared" si="15"/>
        <v>No</v>
      </c>
      <c r="Q191" s="7" t="str">
        <f t="shared" si="16"/>
        <v>Standard</v>
      </c>
      <c r="R191" s="7" t="str">
        <f t="shared" si="18"/>
        <v>Morning</v>
      </c>
      <c r="S191" s="7" t="str">
        <f t="shared" si="19"/>
        <v>Europe</v>
      </c>
      <c r="T191" s="30">
        <f t="shared" si="20"/>
        <v>2.1428571428571428</v>
      </c>
      <c r="U191" s="6"/>
      <c r="V191" s="6"/>
    </row>
    <row r="192" spans="1:22" x14ac:dyDescent="0.3">
      <c r="A192" t="s">
        <v>1140</v>
      </c>
      <c r="B192" t="s">
        <v>1816</v>
      </c>
      <c r="C192" t="s">
        <v>804</v>
      </c>
      <c r="D192" s="1">
        <v>44063.847222222219</v>
      </c>
      <c r="E192" t="s">
        <v>763</v>
      </c>
      <c r="F192" t="s">
        <v>208</v>
      </c>
      <c r="G192">
        <v>10</v>
      </c>
      <c r="H192">
        <v>20</v>
      </c>
      <c r="I192" t="s">
        <v>732</v>
      </c>
      <c r="J192">
        <v>2020</v>
      </c>
      <c r="K192">
        <v>8</v>
      </c>
      <c r="L192">
        <v>20</v>
      </c>
      <c r="M192">
        <v>20</v>
      </c>
      <c r="N192" s="7">
        <f t="shared" si="14"/>
        <v>30</v>
      </c>
      <c r="O192" s="7" t="str">
        <f t="shared" si="17"/>
        <v>Normal</v>
      </c>
      <c r="P192" s="7" t="str">
        <f t="shared" si="15"/>
        <v>No</v>
      </c>
      <c r="Q192" s="7" t="str">
        <f t="shared" si="16"/>
        <v>Standard</v>
      </c>
      <c r="R192" s="7" t="str">
        <f t="shared" si="18"/>
        <v>Evening</v>
      </c>
      <c r="S192" s="7" t="str">
        <f t="shared" si="19"/>
        <v>Asia</v>
      </c>
      <c r="T192" s="30">
        <f t="shared" si="20"/>
        <v>2</v>
      </c>
      <c r="U192" s="6"/>
      <c r="V192" s="6"/>
    </row>
    <row r="193" spans="1:22" x14ac:dyDescent="0.3">
      <c r="A193" t="s">
        <v>1141</v>
      </c>
      <c r="B193" t="s">
        <v>1817</v>
      </c>
      <c r="C193" t="s">
        <v>805</v>
      </c>
      <c r="D193" s="1">
        <v>44252.645833333336</v>
      </c>
      <c r="E193" t="s">
        <v>761</v>
      </c>
      <c r="F193" t="s">
        <v>209</v>
      </c>
      <c r="G193">
        <v>12</v>
      </c>
      <c r="H193">
        <v>25</v>
      </c>
      <c r="I193" t="s">
        <v>720</v>
      </c>
      <c r="J193">
        <v>2021</v>
      </c>
      <c r="K193">
        <v>2</v>
      </c>
      <c r="L193">
        <v>25</v>
      </c>
      <c r="M193">
        <v>15</v>
      </c>
      <c r="N193" s="7">
        <f t="shared" si="14"/>
        <v>37</v>
      </c>
      <c r="O193" s="7" t="str">
        <f t="shared" si="17"/>
        <v>Normal</v>
      </c>
      <c r="P193" s="7" t="str">
        <f t="shared" si="15"/>
        <v>No</v>
      </c>
      <c r="Q193" s="7" t="str">
        <f t="shared" si="16"/>
        <v>Standard</v>
      </c>
      <c r="R193" s="7" t="str">
        <f t="shared" si="18"/>
        <v>Afternoon</v>
      </c>
      <c r="S193" s="7" t="str">
        <f t="shared" si="19"/>
        <v>North America</v>
      </c>
      <c r="T193" s="30">
        <f t="shared" si="20"/>
        <v>2.0833333333333335</v>
      </c>
      <c r="U193" s="6"/>
      <c r="V193" s="6"/>
    </row>
    <row r="194" spans="1:22" x14ac:dyDescent="0.3">
      <c r="A194" t="s">
        <v>1142</v>
      </c>
      <c r="B194" t="s">
        <v>1818</v>
      </c>
      <c r="C194" t="s">
        <v>806</v>
      </c>
      <c r="D194" s="1">
        <v>43720.756944444445</v>
      </c>
      <c r="E194" t="s">
        <v>762</v>
      </c>
      <c r="F194" t="s">
        <v>210</v>
      </c>
      <c r="G194">
        <v>15</v>
      </c>
      <c r="H194">
        <v>30</v>
      </c>
      <c r="I194" t="s">
        <v>731</v>
      </c>
      <c r="J194">
        <v>2019</v>
      </c>
      <c r="K194">
        <v>9</v>
      </c>
      <c r="L194">
        <v>12</v>
      </c>
      <c r="M194">
        <v>18</v>
      </c>
      <c r="N194" s="7">
        <f t="shared" si="14"/>
        <v>45</v>
      </c>
      <c r="O194" s="7" t="str">
        <f t="shared" si="17"/>
        <v>Normal</v>
      </c>
      <c r="P194" s="7" t="str">
        <f t="shared" si="15"/>
        <v>No</v>
      </c>
      <c r="Q194" s="7" t="str">
        <f t="shared" si="16"/>
        <v>Standard</v>
      </c>
      <c r="R194" s="7" t="str">
        <f t="shared" si="18"/>
        <v>Evening</v>
      </c>
      <c r="S194" s="7" t="str">
        <f t="shared" si="19"/>
        <v>Oceania</v>
      </c>
      <c r="T194" s="30">
        <f t="shared" si="20"/>
        <v>2</v>
      </c>
      <c r="U194" s="6"/>
      <c r="V194" s="6"/>
    </row>
    <row r="195" spans="1:22" x14ac:dyDescent="0.3">
      <c r="A195" t="s">
        <v>1143</v>
      </c>
      <c r="B195" t="s">
        <v>1819</v>
      </c>
      <c r="C195" t="s">
        <v>807</v>
      </c>
      <c r="D195" s="1">
        <v>43317.6875</v>
      </c>
      <c r="E195" t="s">
        <v>763</v>
      </c>
      <c r="F195" t="s">
        <v>211</v>
      </c>
      <c r="G195">
        <v>8</v>
      </c>
      <c r="H195">
        <v>15</v>
      </c>
      <c r="I195" t="s">
        <v>30</v>
      </c>
      <c r="J195">
        <v>2018</v>
      </c>
      <c r="K195">
        <v>8</v>
      </c>
      <c r="L195">
        <v>5</v>
      </c>
      <c r="M195">
        <v>16</v>
      </c>
      <c r="N195" s="7">
        <f t="shared" ref="N195:N258" si="21">SUM(G195,H195)</f>
        <v>23</v>
      </c>
      <c r="O195" s="7" t="str">
        <f t="shared" si="17"/>
        <v>Normal</v>
      </c>
      <c r="P195" s="7" t="str">
        <f t="shared" ref="P195:P258" si="22">IF(AND(G195&gt;25, H195&gt;50), "Yes", "No")</f>
        <v>No</v>
      </c>
      <c r="Q195" s="7" t="str">
        <f t="shared" ref="Q195:Q258" si="23">IF(OR(H195&gt;40,G195&gt;20),"Wide Reach","Standard")</f>
        <v>Standard</v>
      </c>
      <c r="R195" s="7" t="str">
        <f t="shared" si="18"/>
        <v>Afternoon</v>
      </c>
      <c r="S195" s="7" t="str">
        <f t="shared" si="19"/>
        <v>North America</v>
      </c>
      <c r="T195" s="30">
        <f t="shared" si="20"/>
        <v>1.875</v>
      </c>
      <c r="U195" s="6"/>
      <c r="V195" s="6"/>
    </row>
    <row r="196" spans="1:22" x14ac:dyDescent="0.3">
      <c r="A196" t="s">
        <v>1144</v>
      </c>
      <c r="B196" t="s">
        <v>1820</v>
      </c>
      <c r="C196" t="s">
        <v>808</v>
      </c>
      <c r="D196" s="1">
        <v>42747.5</v>
      </c>
      <c r="E196" t="s">
        <v>761</v>
      </c>
      <c r="F196" t="s">
        <v>212</v>
      </c>
      <c r="G196">
        <v>10</v>
      </c>
      <c r="H196">
        <v>20</v>
      </c>
      <c r="I196" t="s">
        <v>732</v>
      </c>
      <c r="J196">
        <v>2017</v>
      </c>
      <c r="K196">
        <v>1</v>
      </c>
      <c r="L196">
        <v>12</v>
      </c>
      <c r="M196">
        <v>12</v>
      </c>
      <c r="N196" s="7">
        <f t="shared" si="21"/>
        <v>30</v>
      </c>
      <c r="O196" s="7" t="str">
        <f t="shared" ref="O196:O259" si="24">IF(N196&gt;60, "Popular", "Normal")</f>
        <v>Normal</v>
      </c>
      <c r="P196" s="7" t="str">
        <f t="shared" si="22"/>
        <v>No</v>
      </c>
      <c r="Q196" s="7" t="str">
        <f t="shared" si="23"/>
        <v>Standard</v>
      </c>
      <c r="R196" s="7" t="str">
        <f t="shared" ref="R196:R259" si="25">IF(M196&gt;17,"Evening",IF(M196&gt;11,"Afternoon",IF(M196&gt;5,"Morning","Night")))</f>
        <v>Afternoon</v>
      </c>
      <c r="S196" s="7" t="str">
        <f t="shared" ref="S196:S259" si="26">_xlfn.SWITCH(I196,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Asia</v>
      </c>
      <c r="T196" s="30">
        <f t="shared" ref="T196:T259" si="27">IFERROR(H196/G196,"Error")</f>
        <v>2</v>
      </c>
      <c r="U196" s="6"/>
      <c r="V196" s="6"/>
    </row>
    <row r="197" spans="1:22" x14ac:dyDescent="0.3">
      <c r="A197" t="s">
        <v>1145</v>
      </c>
      <c r="B197" t="s">
        <v>1821</v>
      </c>
      <c r="C197" t="s">
        <v>809</v>
      </c>
      <c r="D197" s="1">
        <v>44656.614583333336</v>
      </c>
      <c r="E197" t="s">
        <v>762</v>
      </c>
      <c r="F197" t="s">
        <v>213</v>
      </c>
      <c r="G197">
        <v>12</v>
      </c>
      <c r="H197">
        <v>25</v>
      </c>
      <c r="I197" t="s">
        <v>722</v>
      </c>
      <c r="J197">
        <v>2022</v>
      </c>
      <c r="K197">
        <v>4</v>
      </c>
      <c r="L197">
        <v>5</v>
      </c>
      <c r="M197">
        <v>14</v>
      </c>
      <c r="N197" s="7">
        <f t="shared" si="21"/>
        <v>37</v>
      </c>
      <c r="O197" s="7" t="str">
        <f t="shared" si="24"/>
        <v>Normal</v>
      </c>
      <c r="P197" s="7" t="str">
        <f t="shared" si="22"/>
        <v>No</v>
      </c>
      <c r="Q197" s="7" t="str">
        <f t="shared" si="23"/>
        <v>Standard</v>
      </c>
      <c r="R197" s="7" t="str">
        <f t="shared" si="25"/>
        <v>Afternoon</v>
      </c>
      <c r="S197" s="7" t="str">
        <f t="shared" si="26"/>
        <v>Europe</v>
      </c>
      <c r="T197" s="30">
        <f t="shared" si="27"/>
        <v>2.0833333333333335</v>
      </c>
      <c r="U197" s="6"/>
      <c r="V197" s="6"/>
    </row>
    <row r="198" spans="1:22" x14ac:dyDescent="0.3">
      <c r="A198" t="s">
        <v>1146</v>
      </c>
      <c r="B198" t="s">
        <v>1822</v>
      </c>
      <c r="C198" t="s">
        <v>810</v>
      </c>
      <c r="D198" s="1">
        <v>44471.791666666664</v>
      </c>
      <c r="E198" t="s">
        <v>763</v>
      </c>
      <c r="F198" t="s">
        <v>214</v>
      </c>
      <c r="G198">
        <v>7</v>
      </c>
      <c r="H198">
        <v>15</v>
      </c>
      <c r="I198" t="s">
        <v>720</v>
      </c>
      <c r="J198">
        <v>2021</v>
      </c>
      <c r="K198">
        <v>10</v>
      </c>
      <c r="L198">
        <v>2</v>
      </c>
      <c r="M198">
        <v>19</v>
      </c>
      <c r="N198" s="7">
        <f t="shared" si="21"/>
        <v>22</v>
      </c>
      <c r="O198" s="7" t="str">
        <f t="shared" si="24"/>
        <v>Normal</v>
      </c>
      <c r="P198" s="7" t="str">
        <f t="shared" si="22"/>
        <v>No</v>
      </c>
      <c r="Q198" s="7" t="str">
        <f t="shared" si="23"/>
        <v>Standard</v>
      </c>
      <c r="R198" s="7" t="str">
        <f t="shared" si="25"/>
        <v>Evening</v>
      </c>
      <c r="S198" s="7" t="str">
        <f t="shared" si="26"/>
        <v>North America</v>
      </c>
      <c r="T198" s="30">
        <f t="shared" si="27"/>
        <v>2.1428571428571428</v>
      </c>
      <c r="U198" s="6"/>
      <c r="V198" s="6"/>
    </row>
    <row r="199" spans="1:22" x14ac:dyDescent="0.3">
      <c r="A199" t="s">
        <v>1147</v>
      </c>
      <c r="B199" t="s">
        <v>1823</v>
      </c>
      <c r="C199" t="s">
        <v>816</v>
      </c>
      <c r="D199" s="1">
        <v>45031.427083333336</v>
      </c>
      <c r="E199" t="s">
        <v>761</v>
      </c>
      <c r="F199" t="s">
        <v>215</v>
      </c>
      <c r="G199">
        <v>15</v>
      </c>
      <c r="H199">
        <v>30</v>
      </c>
      <c r="I199" t="s">
        <v>30</v>
      </c>
      <c r="J199">
        <v>2023</v>
      </c>
      <c r="K199">
        <v>4</v>
      </c>
      <c r="L199">
        <v>15</v>
      </c>
      <c r="M199">
        <v>10</v>
      </c>
      <c r="N199" s="7">
        <f t="shared" si="21"/>
        <v>45</v>
      </c>
      <c r="O199" s="7" t="str">
        <f t="shared" si="24"/>
        <v>Normal</v>
      </c>
      <c r="P199" s="7" t="str">
        <f t="shared" si="22"/>
        <v>No</v>
      </c>
      <c r="Q199" s="7" t="str">
        <f t="shared" si="23"/>
        <v>Standard</v>
      </c>
      <c r="R199" s="7" t="str">
        <f t="shared" si="25"/>
        <v>Morning</v>
      </c>
      <c r="S199" s="7" t="str">
        <f t="shared" si="26"/>
        <v>North America</v>
      </c>
      <c r="T199" s="30">
        <f t="shared" si="27"/>
        <v>2</v>
      </c>
      <c r="U199" s="6"/>
      <c r="V199" s="6"/>
    </row>
    <row r="200" spans="1:22" x14ac:dyDescent="0.3">
      <c r="A200" t="s">
        <v>1148</v>
      </c>
      <c r="B200" t="s">
        <v>1824</v>
      </c>
      <c r="C200" t="s">
        <v>817</v>
      </c>
      <c r="D200" s="1">
        <v>44893.729166666664</v>
      </c>
      <c r="E200" t="s">
        <v>762</v>
      </c>
      <c r="F200" t="s">
        <v>216</v>
      </c>
      <c r="G200">
        <v>7</v>
      </c>
      <c r="H200">
        <v>15</v>
      </c>
      <c r="I200" t="s">
        <v>720</v>
      </c>
      <c r="J200">
        <v>2022</v>
      </c>
      <c r="K200">
        <v>11</v>
      </c>
      <c r="L200">
        <v>28</v>
      </c>
      <c r="M200">
        <v>17</v>
      </c>
      <c r="N200" s="7">
        <f t="shared" si="21"/>
        <v>22</v>
      </c>
      <c r="O200" s="7" t="str">
        <f t="shared" si="24"/>
        <v>Normal</v>
      </c>
      <c r="P200" s="7" t="str">
        <f t="shared" si="22"/>
        <v>No</v>
      </c>
      <c r="Q200" s="7" t="str">
        <f t="shared" si="23"/>
        <v>Standard</v>
      </c>
      <c r="R200" s="7" t="str">
        <f t="shared" si="25"/>
        <v>Afternoon</v>
      </c>
      <c r="S200" s="7" t="str">
        <f t="shared" si="26"/>
        <v>North America</v>
      </c>
      <c r="T200" s="30">
        <f t="shared" si="27"/>
        <v>2.1428571428571428</v>
      </c>
      <c r="U200" s="6"/>
      <c r="V200" s="6"/>
    </row>
    <row r="201" spans="1:22" x14ac:dyDescent="0.3">
      <c r="A201" t="s">
        <v>1149</v>
      </c>
      <c r="B201" t="s">
        <v>1825</v>
      </c>
      <c r="C201" t="s">
        <v>786</v>
      </c>
      <c r="D201" s="1">
        <v>43923.40625</v>
      </c>
      <c r="E201" t="s">
        <v>763</v>
      </c>
      <c r="F201" t="s">
        <v>217</v>
      </c>
      <c r="G201">
        <v>10</v>
      </c>
      <c r="H201">
        <v>20</v>
      </c>
      <c r="I201" t="s">
        <v>722</v>
      </c>
      <c r="J201">
        <v>2020</v>
      </c>
      <c r="K201">
        <v>4</v>
      </c>
      <c r="L201">
        <v>2</v>
      </c>
      <c r="M201">
        <v>9</v>
      </c>
      <c r="N201" s="7">
        <f t="shared" si="21"/>
        <v>30</v>
      </c>
      <c r="O201" s="7" t="str">
        <f t="shared" si="24"/>
        <v>Normal</v>
      </c>
      <c r="P201" s="7" t="str">
        <f t="shared" si="22"/>
        <v>No</v>
      </c>
      <c r="Q201" s="7" t="str">
        <f t="shared" si="23"/>
        <v>Standard</v>
      </c>
      <c r="R201" s="7" t="str">
        <f t="shared" si="25"/>
        <v>Morning</v>
      </c>
      <c r="S201" s="7" t="str">
        <f t="shared" si="26"/>
        <v>Europe</v>
      </c>
      <c r="T201" s="30">
        <f t="shared" si="27"/>
        <v>2</v>
      </c>
      <c r="U201" s="6"/>
      <c r="V201" s="6"/>
    </row>
    <row r="202" spans="1:22" x14ac:dyDescent="0.3">
      <c r="A202" t="s">
        <v>1150</v>
      </c>
      <c r="B202" t="s">
        <v>1826</v>
      </c>
      <c r="C202" t="s">
        <v>818</v>
      </c>
      <c r="D202" s="1">
        <v>44418.583333333336</v>
      </c>
      <c r="E202" t="s">
        <v>761</v>
      </c>
      <c r="F202" t="s">
        <v>218</v>
      </c>
      <c r="G202">
        <v>8</v>
      </c>
      <c r="H202">
        <v>15</v>
      </c>
      <c r="I202" t="s">
        <v>732</v>
      </c>
      <c r="J202">
        <v>2021</v>
      </c>
      <c r="K202">
        <v>8</v>
      </c>
      <c r="L202">
        <v>10</v>
      </c>
      <c r="M202">
        <v>14</v>
      </c>
      <c r="N202" s="7">
        <f t="shared" si="21"/>
        <v>23</v>
      </c>
      <c r="O202" s="7" t="str">
        <f t="shared" si="24"/>
        <v>Normal</v>
      </c>
      <c r="P202" s="7" t="str">
        <f t="shared" si="22"/>
        <v>No</v>
      </c>
      <c r="Q202" s="7" t="str">
        <f t="shared" si="23"/>
        <v>Standard</v>
      </c>
      <c r="R202" s="7" t="str">
        <f t="shared" si="25"/>
        <v>Afternoon</v>
      </c>
      <c r="S202" s="7" t="str">
        <f t="shared" si="26"/>
        <v>Asia</v>
      </c>
      <c r="T202" s="30">
        <f t="shared" si="27"/>
        <v>1.875</v>
      </c>
      <c r="U202" s="6"/>
      <c r="V202" s="6"/>
    </row>
    <row r="203" spans="1:22" x14ac:dyDescent="0.3">
      <c r="A203" t="s">
        <v>1151</v>
      </c>
      <c r="B203" t="s">
        <v>1827</v>
      </c>
      <c r="C203" t="s">
        <v>819</v>
      </c>
      <c r="D203" s="1">
        <v>43634.864583333336</v>
      </c>
      <c r="E203" t="s">
        <v>762</v>
      </c>
      <c r="F203" t="s">
        <v>219</v>
      </c>
      <c r="G203">
        <v>12</v>
      </c>
      <c r="H203">
        <v>25</v>
      </c>
      <c r="I203" t="s">
        <v>731</v>
      </c>
      <c r="J203">
        <v>2019</v>
      </c>
      <c r="K203">
        <v>6</v>
      </c>
      <c r="L203">
        <v>18</v>
      </c>
      <c r="M203">
        <v>20</v>
      </c>
      <c r="N203" s="7">
        <f t="shared" si="21"/>
        <v>37</v>
      </c>
      <c r="O203" s="7" t="str">
        <f t="shared" si="24"/>
        <v>Normal</v>
      </c>
      <c r="P203" s="7" t="str">
        <f t="shared" si="22"/>
        <v>No</v>
      </c>
      <c r="Q203" s="7" t="str">
        <f t="shared" si="23"/>
        <v>Standard</v>
      </c>
      <c r="R203" s="7" t="str">
        <f t="shared" si="25"/>
        <v>Evening</v>
      </c>
      <c r="S203" s="7" t="str">
        <f t="shared" si="26"/>
        <v>Oceania</v>
      </c>
      <c r="T203" s="30">
        <f t="shared" si="27"/>
        <v>2.0833333333333335</v>
      </c>
      <c r="U203" s="6"/>
      <c r="V203" s="6"/>
    </row>
    <row r="204" spans="1:22" x14ac:dyDescent="0.3">
      <c r="A204" t="s">
        <v>1152</v>
      </c>
      <c r="B204" t="s">
        <v>1828</v>
      </c>
      <c r="C204" t="s">
        <v>820</v>
      </c>
      <c r="D204" s="1">
        <v>43136.635416666664</v>
      </c>
      <c r="E204" t="s">
        <v>763</v>
      </c>
      <c r="F204" t="s">
        <v>220</v>
      </c>
      <c r="G204">
        <v>10</v>
      </c>
      <c r="H204">
        <v>20</v>
      </c>
      <c r="I204" t="s">
        <v>30</v>
      </c>
      <c r="J204">
        <v>2018</v>
      </c>
      <c r="K204">
        <v>2</v>
      </c>
      <c r="L204">
        <v>5</v>
      </c>
      <c r="M204">
        <v>15</v>
      </c>
      <c r="N204" s="7">
        <f t="shared" si="21"/>
        <v>30</v>
      </c>
      <c r="O204" s="7" t="str">
        <f t="shared" si="24"/>
        <v>Normal</v>
      </c>
      <c r="P204" s="7" t="str">
        <f t="shared" si="22"/>
        <v>No</v>
      </c>
      <c r="Q204" s="7" t="str">
        <f t="shared" si="23"/>
        <v>Standard</v>
      </c>
      <c r="R204" s="7" t="str">
        <f t="shared" si="25"/>
        <v>Afternoon</v>
      </c>
      <c r="S204" s="7" t="str">
        <f t="shared" si="26"/>
        <v>North America</v>
      </c>
      <c r="T204" s="30">
        <f t="shared" si="27"/>
        <v>2</v>
      </c>
      <c r="U204" s="6"/>
      <c r="V204" s="6"/>
    </row>
    <row r="205" spans="1:22" x14ac:dyDescent="0.3">
      <c r="A205" t="s">
        <v>1153</v>
      </c>
      <c r="B205" t="s">
        <v>1829</v>
      </c>
      <c r="C205" t="s">
        <v>821</v>
      </c>
      <c r="D205" s="1">
        <v>44711.479166666664</v>
      </c>
      <c r="E205" t="s">
        <v>761</v>
      </c>
      <c r="F205" t="s">
        <v>221</v>
      </c>
      <c r="G205">
        <v>12</v>
      </c>
      <c r="H205">
        <v>25</v>
      </c>
      <c r="I205" t="s">
        <v>720</v>
      </c>
      <c r="J205">
        <v>2022</v>
      </c>
      <c r="K205">
        <v>5</v>
      </c>
      <c r="L205">
        <v>30</v>
      </c>
      <c r="M205">
        <v>11</v>
      </c>
      <c r="N205" s="7">
        <f t="shared" si="21"/>
        <v>37</v>
      </c>
      <c r="O205" s="7" t="str">
        <f t="shared" si="24"/>
        <v>Normal</v>
      </c>
      <c r="P205" s="7" t="str">
        <f t="shared" si="22"/>
        <v>No</v>
      </c>
      <c r="Q205" s="7" t="str">
        <f t="shared" si="23"/>
        <v>Standard</v>
      </c>
      <c r="R205" s="7" t="str">
        <f t="shared" si="25"/>
        <v>Morning</v>
      </c>
      <c r="S205" s="7" t="str">
        <f t="shared" si="26"/>
        <v>North America</v>
      </c>
      <c r="T205" s="30">
        <f t="shared" si="27"/>
        <v>2.0833333333333335</v>
      </c>
      <c r="U205" s="6"/>
      <c r="V205" s="6"/>
    </row>
    <row r="206" spans="1:22" x14ac:dyDescent="0.3">
      <c r="A206" t="s">
        <v>1154</v>
      </c>
      <c r="B206" t="s">
        <v>1830</v>
      </c>
      <c r="C206" t="s">
        <v>781</v>
      </c>
      <c r="D206" s="1">
        <v>44936.680555555555</v>
      </c>
      <c r="E206" t="s">
        <v>762</v>
      </c>
      <c r="F206" t="s">
        <v>110</v>
      </c>
      <c r="G206">
        <v>15</v>
      </c>
      <c r="H206">
        <v>30</v>
      </c>
      <c r="I206" t="s">
        <v>722</v>
      </c>
      <c r="J206">
        <v>2023</v>
      </c>
      <c r="K206">
        <v>1</v>
      </c>
      <c r="L206">
        <v>10</v>
      </c>
      <c r="M206">
        <v>16</v>
      </c>
      <c r="N206" s="7">
        <f t="shared" si="21"/>
        <v>45</v>
      </c>
      <c r="O206" s="7" t="str">
        <f t="shared" si="24"/>
        <v>Normal</v>
      </c>
      <c r="P206" s="7" t="str">
        <f t="shared" si="22"/>
        <v>No</v>
      </c>
      <c r="Q206" s="7" t="str">
        <f t="shared" si="23"/>
        <v>Standard</v>
      </c>
      <c r="R206" s="7" t="str">
        <f t="shared" si="25"/>
        <v>Afternoon</v>
      </c>
      <c r="S206" s="7" t="str">
        <f t="shared" si="26"/>
        <v>Europe</v>
      </c>
      <c r="T206" s="30">
        <f t="shared" si="27"/>
        <v>2</v>
      </c>
      <c r="U206" s="6"/>
      <c r="V206" s="6"/>
    </row>
    <row r="207" spans="1:22" x14ac:dyDescent="0.3">
      <c r="A207" t="s">
        <v>1155</v>
      </c>
      <c r="B207" t="s">
        <v>1831</v>
      </c>
      <c r="C207" t="s">
        <v>822</v>
      </c>
      <c r="D207" s="1">
        <v>44092.572916666664</v>
      </c>
      <c r="E207" t="s">
        <v>763</v>
      </c>
      <c r="F207" t="s">
        <v>222</v>
      </c>
      <c r="G207">
        <v>10</v>
      </c>
      <c r="H207">
        <v>20</v>
      </c>
      <c r="I207" t="s">
        <v>732</v>
      </c>
      <c r="J207">
        <v>2020</v>
      </c>
      <c r="K207">
        <v>9</v>
      </c>
      <c r="L207">
        <v>18</v>
      </c>
      <c r="M207">
        <v>13</v>
      </c>
      <c r="N207" s="7">
        <f t="shared" si="21"/>
        <v>30</v>
      </c>
      <c r="O207" s="7" t="str">
        <f t="shared" si="24"/>
        <v>Normal</v>
      </c>
      <c r="P207" s="7" t="str">
        <f t="shared" si="22"/>
        <v>No</v>
      </c>
      <c r="Q207" s="7" t="str">
        <f t="shared" si="23"/>
        <v>Standard</v>
      </c>
      <c r="R207" s="7" t="str">
        <f t="shared" si="25"/>
        <v>Afternoon</v>
      </c>
      <c r="S207" s="7" t="str">
        <f t="shared" si="26"/>
        <v>Asia</v>
      </c>
      <c r="T207" s="30">
        <f t="shared" si="27"/>
        <v>2</v>
      </c>
      <c r="U207" s="6"/>
      <c r="V207" s="6"/>
    </row>
    <row r="208" spans="1:22" x14ac:dyDescent="0.3">
      <c r="A208" t="s">
        <v>1156</v>
      </c>
      <c r="B208" t="s">
        <v>1832</v>
      </c>
      <c r="C208" t="s">
        <v>794</v>
      </c>
      <c r="D208" s="1">
        <v>44380.791666666664</v>
      </c>
      <c r="E208" t="s">
        <v>761</v>
      </c>
      <c r="F208" t="s">
        <v>223</v>
      </c>
      <c r="G208">
        <v>12</v>
      </c>
      <c r="H208">
        <v>25</v>
      </c>
      <c r="I208" t="s">
        <v>731</v>
      </c>
      <c r="J208">
        <v>2021</v>
      </c>
      <c r="K208">
        <v>7</v>
      </c>
      <c r="L208">
        <v>3</v>
      </c>
      <c r="M208">
        <v>19</v>
      </c>
      <c r="N208" s="7">
        <f t="shared" si="21"/>
        <v>37</v>
      </c>
      <c r="O208" s="7" t="str">
        <f t="shared" si="24"/>
        <v>Normal</v>
      </c>
      <c r="P208" s="7" t="str">
        <f t="shared" si="22"/>
        <v>No</v>
      </c>
      <c r="Q208" s="7" t="str">
        <f t="shared" si="23"/>
        <v>Standard</v>
      </c>
      <c r="R208" s="7" t="str">
        <f t="shared" si="25"/>
        <v>Evening</v>
      </c>
      <c r="S208" s="7" t="str">
        <f t="shared" si="26"/>
        <v>Oceania</v>
      </c>
      <c r="T208" s="30">
        <f t="shared" si="27"/>
        <v>2.0833333333333335</v>
      </c>
      <c r="U208" s="6"/>
      <c r="V208" s="6"/>
    </row>
    <row r="209" spans="1:22" x14ac:dyDescent="0.3">
      <c r="A209" t="s">
        <v>1157</v>
      </c>
      <c r="B209" t="s">
        <v>1833</v>
      </c>
      <c r="C209" t="s">
        <v>816</v>
      </c>
      <c r="D209" s="1">
        <v>44842.34375</v>
      </c>
      <c r="E209" t="s">
        <v>762</v>
      </c>
      <c r="F209" t="s">
        <v>224</v>
      </c>
      <c r="G209">
        <v>20</v>
      </c>
      <c r="H209">
        <v>40</v>
      </c>
      <c r="I209" t="s">
        <v>30</v>
      </c>
      <c r="J209">
        <v>2022</v>
      </c>
      <c r="K209">
        <v>10</v>
      </c>
      <c r="L209">
        <v>8</v>
      </c>
      <c r="M209">
        <v>8</v>
      </c>
      <c r="N209" s="7">
        <f t="shared" si="21"/>
        <v>60</v>
      </c>
      <c r="O209" s="7" t="str">
        <f t="shared" si="24"/>
        <v>Normal</v>
      </c>
      <c r="P209" s="7" t="str">
        <f t="shared" si="22"/>
        <v>No</v>
      </c>
      <c r="Q209" s="7" t="str">
        <f t="shared" si="23"/>
        <v>Standard</v>
      </c>
      <c r="R209" s="7" t="str">
        <f t="shared" si="25"/>
        <v>Morning</v>
      </c>
      <c r="S209" s="7" t="str">
        <f t="shared" si="26"/>
        <v>North America</v>
      </c>
      <c r="T209" s="30">
        <f t="shared" si="27"/>
        <v>2</v>
      </c>
      <c r="U209" s="6"/>
      <c r="V209" s="6"/>
    </row>
    <row r="210" spans="1:22" x14ac:dyDescent="0.3">
      <c r="A210" t="s">
        <v>1158</v>
      </c>
      <c r="B210" t="s">
        <v>1834</v>
      </c>
      <c r="C210" t="s">
        <v>817</v>
      </c>
      <c r="D210" s="1">
        <v>45007.6875</v>
      </c>
      <c r="E210" t="s">
        <v>763</v>
      </c>
      <c r="F210" t="s">
        <v>225</v>
      </c>
      <c r="G210">
        <v>10</v>
      </c>
      <c r="H210">
        <v>20</v>
      </c>
      <c r="I210" t="s">
        <v>720</v>
      </c>
      <c r="J210">
        <v>2023</v>
      </c>
      <c r="K210">
        <v>3</v>
      </c>
      <c r="L210">
        <v>22</v>
      </c>
      <c r="M210">
        <v>16</v>
      </c>
      <c r="N210" s="7">
        <f t="shared" si="21"/>
        <v>30</v>
      </c>
      <c r="O210" s="7" t="str">
        <f t="shared" si="24"/>
        <v>Normal</v>
      </c>
      <c r="P210" s="7" t="str">
        <f t="shared" si="22"/>
        <v>No</v>
      </c>
      <c r="Q210" s="7" t="str">
        <f t="shared" si="23"/>
        <v>Standard</v>
      </c>
      <c r="R210" s="7" t="str">
        <f t="shared" si="25"/>
        <v>Afternoon</v>
      </c>
      <c r="S210" s="7" t="str">
        <f t="shared" si="26"/>
        <v>North America</v>
      </c>
      <c r="T210" s="30">
        <f t="shared" si="27"/>
        <v>2</v>
      </c>
      <c r="U210" s="6"/>
      <c r="V210" s="6"/>
    </row>
    <row r="211" spans="1:22" x14ac:dyDescent="0.3">
      <c r="A211" t="s">
        <v>1159</v>
      </c>
      <c r="B211" t="s">
        <v>1835</v>
      </c>
      <c r="C211" t="s">
        <v>786</v>
      </c>
      <c r="D211" s="1">
        <v>44331.489583333336</v>
      </c>
      <c r="E211" t="s">
        <v>761</v>
      </c>
      <c r="F211" t="s">
        <v>226</v>
      </c>
      <c r="G211">
        <v>15</v>
      </c>
      <c r="H211">
        <v>30</v>
      </c>
      <c r="I211" t="s">
        <v>722</v>
      </c>
      <c r="J211">
        <v>2021</v>
      </c>
      <c r="K211">
        <v>5</v>
      </c>
      <c r="L211">
        <v>15</v>
      </c>
      <c r="M211">
        <v>11</v>
      </c>
      <c r="N211" s="7">
        <f t="shared" si="21"/>
        <v>45</v>
      </c>
      <c r="O211" s="7" t="str">
        <f t="shared" si="24"/>
        <v>Normal</v>
      </c>
      <c r="P211" s="7" t="str">
        <f t="shared" si="22"/>
        <v>No</v>
      </c>
      <c r="Q211" s="7" t="str">
        <f t="shared" si="23"/>
        <v>Standard</v>
      </c>
      <c r="R211" s="7" t="str">
        <f t="shared" si="25"/>
        <v>Morning</v>
      </c>
      <c r="S211" s="7" t="str">
        <f t="shared" si="26"/>
        <v>Europe</v>
      </c>
      <c r="T211" s="30">
        <f t="shared" si="27"/>
        <v>2</v>
      </c>
      <c r="U211" s="6"/>
      <c r="V211" s="6"/>
    </row>
    <row r="212" spans="1:22" x14ac:dyDescent="0.3">
      <c r="A212" t="s">
        <v>1160</v>
      </c>
      <c r="B212" t="s">
        <v>1836</v>
      </c>
      <c r="C212" t="s">
        <v>818</v>
      </c>
      <c r="D212" s="1">
        <v>43827.604166666664</v>
      </c>
      <c r="E212" t="s">
        <v>762</v>
      </c>
      <c r="F212" t="s">
        <v>227</v>
      </c>
      <c r="G212">
        <v>8</v>
      </c>
      <c r="H212">
        <v>15</v>
      </c>
      <c r="I212" t="s">
        <v>731</v>
      </c>
      <c r="J212">
        <v>2019</v>
      </c>
      <c r="K212">
        <v>12</v>
      </c>
      <c r="L212">
        <v>28</v>
      </c>
      <c r="M212">
        <v>14</v>
      </c>
      <c r="N212" s="7">
        <f t="shared" si="21"/>
        <v>23</v>
      </c>
      <c r="O212" s="7" t="str">
        <f t="shared" si="24"/>
        <v>Normal</v>
      </c>
      <c r="P212" s="7" t="str">
        <f t="shared" si="22"/>
        <v>No</v>
      </c>
      <c r="Q212" s="7" t="str">
        <f t="shared" si="23"/>
        <v>Standard</v>
      </c>
      <c r="R212" s="7" t="str">
        <f t="shared" si="25"/>
        <v>Afternoon</v>
      </c>
      <c r="S212" s="7" t="str">
        <f t="shared" si="26"/>
        <v>Oceania</v>
      </c>
      <c r="T212" s="30">
        <f t="shared" si="27"/>
        <v>1.875</v>
      </c>
      <c r="U212" s="6"/>
      <c r="V212" s="6"/>
    </row>
    <row r="213" spans="1:22" x14ac:dyDescent="0.3">
      <c r="A213" t="s">
        <v>1161</v>
      </c>
      <c r="B213" t="s">
        <v>1837</v>
      </c>
      <c r="C213" t="s">
        <v>819</v>
      </c>
      <c r="D213" s="1">
        <v>43891.791666666664</v>
      </c>
      <c r="E213" t="s">
        <v>763</v>
      </c>
      <c r="F213" t="s">
        <v>228</v>
      </c>
      <c r="G213">
        <v>12</v>
      </c>
      <c r="H213">
        <v>25</v>
      </c>
      <c r="I213" t="s">
        <v>732</v>
      </c>
      <c r="J213">
        <v>2020</v>
      </c>
      <c r="K213">
        <v>3</v>
      </c>
      <c r="L213">
        <v>1</v>
      </c>
      <c r="M213">
        <v>19</v>
      </c>
      <c r="N213" s="7">
        <f t="shared" si="21"/>
        <v>37</v>
      </c>
      <c r="O213" s="7" t="str">
        <f t="shared" si="24"/>
        <v>Normal</v>
      </c>
      <c r="P213" s="7" t="str">
        <f t="shared" si="22"/>
        <v>No</v>
      </c>
      <c r="Q213" s="7" t="str">
        <f t="shared" si="23"/>
        <v>Standard</v>
      </c>
      <c r="R213" s="7" t="str">
        <f t="shared" si="25"/>
        <v>Evening</v>
      </c>
      <c r="S213" s="7" t="str">
        <f t="shared" si="26"/>
        <v>Asia</v>
      </c>
      <c r="T213" s="30">
        <f t="shared" si="27"/>
        <v>2.0833333333333335</v>
      </c>
      <c r="U213" s="6"/>
      <c r="V213" s="6"/>
    </row>
    <row r="214" spans="1:22" x14ac:dyDescent="0.3">
      <c r="A214" t="s">
        <v>1162</v>
      </c>
      <c r="B214" t="s">
        <v>1838</v>
      </c>
      <c r="C214" t="s">
        <v>820</v>
      </c>
      <c r="D214" s="1">
        <v>43291.65625</v>
      </c>
      <c r="E214" t="s">
        <v>761</v>
      </c>
      <c r="F214" t="s">
        <v>229</v>
      </c>
      <c r="G214">
        <v>10</v>
      </c>
      <c r="H214">
        <v>20</v>
      </c>
      <c r="I214" t="s">
        <v>720</v>
      </c>
      <c r="J214">
        <v>2018</v>
      </c>
      <c r="K214">
        <v>7</v>
      </c>
      <c r="L214">
        <v>10</v>
      </c>
      <c r="M214">
        <v>15</v>
      </c>
      <c r="N214" s="7">
        <f t="shared" si="21"/>
        <v>30</v>
      </c>
      <c r="O214" s="7" t="str">
        <f t="shared" si="24"/>
        <v>Normal</v>
      </c>
      <c r="P214" s="7" t="str">
        <f t="shared" si="22"/>
        <v>No</v>
      </c>
      <c r="Q214" s="7" t="str">
        <f t="shared" si="23"/>
        <v>Standard</v>
      </c>
      <c r="R214" s="7" t="str">
        <f t="shared" si="25"/>
        <v>Afternoon</v>
      </c>
      <c r="S214" s="7" t="str">
        <f t="shared" si="26"/>
        <v>North America</v>
      </c>
      <c r="T214" s="30">
        <f t="shared" si="27"/>
        <v>2</v>
      </c>
      <c r="U214" s="6"/>
      <c r="V214" s="6"/>
    </row>
    <row r="215" spans="1:22" x14ac:dyDescent="0.3">
      <c r="A215" t="s">
        <v>1163</v>
      </c>
      <c r="B215" t="s">
        <v>1839</v>
      </c>
      <c r="C215" t="s">
        <v>821</v>
      </c>
      <c r="D215" s="1">
        <v>44566.4375</v>
      </c>
      <c r="E215" t="s">
        <v>762</v>
      </c>
      <c r="F215" t="s">
        <v>230</v>
      </c>
      <c r="G215">
        <v>12</v>
      </c>
      <c r="H215">
        <v>25</v>
      </c>
      <c r="I215" t="s">
        <v>722</v>
      </c>
      <c r="J215">
        <v>2022</v>
      </c>
      <c r="K215">
        <v>1</v>
      </c>
      <c r="L215">
        <v>5</v>
      </c>
      <c r="M215">
        <v>10</v>
      </c>
      <c r="N215" s="7">
        <f t="shared" si="21"/>
        <v>37</v>
      </c>
      <c r="O215" s="7" t="str">
        <f t="shared" si="24"/>
        <v>Normal</v>
      </c>
      <c r="P215" s="7" t="str">
        <f t="shared" si="22"/>
        <v>No</v>
      </c>
      <c r="Q215" s="7" t="str">
        <f t="shared" si="23"/>
        <v>Standard</v>
      </c>
      <c r="R215" s="7" t="str">
        <f t="shared" si="25"/>
        <v>Morning</v>
      </c>
      <c r="S215" s="7" t="str">
        <f t="shared" si="26"/>
        <v>Europe</v>
      </c>
      <c r="T215" s="30">
        <f t="shared" si="27"/>
        <v>2.0833333333333335</v>
      </c>
      <c r="U215" s="6"/>
      <c r="V215" s="6"/>
    </row>
    <row r="216" spans="1:22" x14ac:dyDescent="0.3">
      <c r="A216" t="s">
        <v>1164</v>
      </c>
      <c r="B216" t="s">
        <v>1840</v>
      </c>
      <c r="C216" t="s">
        <v>781</v>
      </c>
      <c r="D216" s="1">
        <v>44428.680555555555</v>
      </c>
      <c r="E216" t="s">
        <v>763</v>
      </c>
      <c r="F216" t="s">
        <v>231</v>
      </c>
      <c r="G216">
        <v>15</v>
      </c>
      <c r="H216">
        <v>30</v>
      </c>
      <c r="I216" t="s">
        <v>731</v>
      </c>
      <c r="J216">
        <v>2021</v>
      </c>
      <c r="K216">
        <v>8</v>
      </c>
      <c r="L216">
        <v>20</v>
      </c>
      <c r="M216">
        <v>16</v>
      </c>
      <c r="N216" s="7">
        <f t="shared" si="21"/>
        <v>45</v>
      </c>
      <c r="O216" s="7" t="str">
        <f t="shared" si="24"/>
        <v>Normal</v>
      </c>
      <c r="P216" s="7" t="str">
        <f t="shared" si="22"/>
        <v>No</v>
      </c>
      <c r="Q216" s="7" t="str">
        <f t="shared" si="23"/>
        <v>Standard</v>
      </c>
      <c r="R216" s="7" t="str">
        <f t="shared" si="25"/>
        <v>Afternoon</v>
      </c>
      <c r="S216" s="7" t="str">
        <f t="shared" si="26"/>
        <v>Oceania</v>
      </c>
      <c r="T216" s="30">
        <f t="shared" si="27"/>
        <v>2</v>
      </c>
      <c r="U216" s="6"/>
      <c r="V216" s="6"/>
    </row>
    <row r="217" spans="1:22" x14ac:dyDescent="0.3">
      <c r="A217" t="s">
        <v>862</v>
      </c>
      <c r="B217" t="s">
        <v>1841</v>
      </c>
      <c r="C217" t="s">
        <v>822</v>
      </c>
      <c r="D217" s="1">
        <v>43772.572916666664</v>
      </c>
      <c r="E217" t="s">
        <v>761</v>
      </c>
      <c r="F217" t="s">
        <v>232</v>
      </c>
      <c r="G217">
        <v>18</v>
      </c>
      <c r="H217">
        <v>35</v>
      </c>
      <c r="I217" t="s">
        <v>30</v>
      </c>
      <c r="J217">
        <v>2019</v>
      </c>
      <c r="K217">
        <v>11</v>
      </c>
      <c r="L217">
        <v>3</v>
      </c>
      <c r="M217">
        <v>13</v>
      </c>
      <c r="N217" s="7">
        <f t="shared" si="21"/>
        <v>53</v>
      </c>
      <c r="O217" s="7" t="str">
        <f t="shared" si="24"/>
        <v>Normal</v>
      </c>
      <c r="P217" s="7" t="str">
        <f t="shared" si="22"/>
        <v>No</v>
      </c>
      <c r="Q217" s="7" t="str">
        <f t="shared" si="23"/>
        <v>Standard</v>
      </c>
      <c r="R217" s="7" t="str">
        <f t="shared" si="25"/>
        <v>Afternoon</v>
      </c>
      <c r="S217" s="7" t="str">
        <f t="shared" si="26"/>
        <v>North America</v>
      </c>
      <c r="T217" s="30">
        <f t="shared" si="27"/>
        <v>1.9444444444444444</v>
      </c>
      <c r="U217" s="6"/>
      <c r="V217" s="6"/>
    </row>
    <row r="218" spans="1:22" x14ac:dyDescent="0.3">
      <c r="A218" t="s">
        <v>1165</v>
      </c>
      <c r="B218" t="s">
        <v>1842</v>
      </c>
      <c r="C218" t="s">
        <v>794</v>
      </c>
      <c r="D218" s="1">
        <v>43933.8125</v>
      </c>
      <c r="E218" t="s">
        <v>762</v>
      </c>
      <c r="F218" t="s">
        <v>233</v>
      </c>
      <c r="G218">
        <v>25</v>
      </c>
      <c r="H218">
        <v>50</v>
      </c>
      <c r="I218" t="s">
        <v>720</v>
      </c>
      <c r="J218">
        <v>2020</v>
      </c>
      <c r="K218">
        <v>4</v>
      </c>
      <c r="L218">
        <v>12</v>
      </c>
      <c r="M218">
        <v>19</v>
      </c>
      <c r="N218" s="7">
        <f t="shared" si="21"/>
        <v>75</v>
      </c>
      <c r="O218" s="7" t="str">
        <f t="shared" si="24"/>
        <v>Popular</v>
      </c>
      <c r="P218" s="7" t="str">
        <f t="shared" si="22"/>
        <v>No</v>
      </c>
      <c r="Q218" s="7" t="str">
        <f t="shared" si="23"/>
        <v>Wide Reach</v>
      </c>
      <c r="R218" s="7" t="str">
        <f t="shared" si="25"/>
        <v>Evening</v>
      </c>
      <c r="S218" s="7" t="str">
        <f t="shared" si="26"/>
        <v>North America</v>
      </c>
      <c r="T218" s="30">
        <f t="shared" si="27"/>
        <v>2</v>
      </c>
      <c r="U218" s="6"/>
      <c r="V218" s="6"/>
    </row>
    <row r="219" spans="1:22" x14ac:dyDescent="0.3">
      <c r="A219" t="s">
        <v>1166</v>
      </c>
      <c r="B219" t="s">
        <v>1843</v>
      </c>
      <c r="C219" t="s">
        <v>816</v>
      </c>
      <c r="D219" s="1">
        <v>44666.364583333336</v>
      </c>
      <c r="E219" t="s">
        <v>763</v>
      </c>
      <c r="F219" t="s">
        <v>234</v>
      </c>
      <c r="G219">
        <v>22</v>
      </c>
      <c r="H219">
        <v>45</v>
      </c>
      <c r="I219" t="s">
        <v>732</v>
      </c>
      <c r="J219">
        <v>2022</v>
      </c>
      <c r="K219">
        <v>4</v>
      </c>
      <c r="L219">
        <v>15</v>
      </c>
      <c r="M219">
        <v>8</v>
      </c>
      <c r="N219" s="7">
        <f t="shared" si="21"/>
        <v>67</v>
      </c>
      <c r="O219" s="7" t="str">
        <f t="shared" si="24"/>
        <v>Popular</v>
      </c>
      <c r="P219" s="7" t="str">
        <f t="shared" si="22"/>
        <v>No</v>
      </c>
      <c r="Q219" s="7" t="str">
        <f t="shared" si="23"/>
        <v>Wide Reach</v>
      </c>
      <c r="R219" s="7" t="str">
        <f t="shared" si="25"/>
        <v>Morning</v>
      </c>
      <c r="S219" s="7" t="str">
        <f t="shared" si="26"/>
        <v>Asia</v>
      </c>
      <c r="T219" s="30">
        <f t="shared" si="27"/>
        <v>2.0454545454545454</v>
      </c>
      <c r="U219" s="6"/>
      <c r="V219" s="6"/>
    </row>
    <row r="220" spans="1:22" x14ac:dyDescent="0.3">
      <c r="A220" t="s">
        <v>1167</v>
      </c>
      <c r="B220" t="s">
        <v>1844</v>
      </c>
      <c r="C220" t="s">
        <v>817</v>
      </c>
      <c r="D220" s="1">
        <v>44967.708333333336</v>
      </c>
      <c r="E220" t="s">
        <v>761</v>
      </c>
      <c r="F220" t="s">
        <v>235</v>
      </c>
      <c r="G220">
        <v>9</v>
      </c>
      <c r="H220">
        <v>18</v>
      </c>
      <c r="I220" t="s">
        <v>722</v>
      </c>
      <c r="J220">
        <v>2023</v>
      </c>
      <c r="K220">
        <v>2</v>
      </c>
      <c r="L220">
        <v>10</v>
      </c>
      <c r="M220">
        <v>17</v>
      </c>
      <c r="N220" s="7">
        <f t="shared" si="21"/>
        <v>27</v>
      </c>
      <c r="O220" s="7" t="str">
        <f t="shared" si="24"/>
        <v>Normal</v>
      </c>
      <c r="P220" s="7" t="str">
        <f t="shared" si="22"/>
        <v>No</v>
      </c>
      <c r="Q220" s="7" t="str">
        <f t="shared" si="23"/>
        <v>Standard</v>
      </c>
      <c r="R220" s="7" t="str">
        <f t="shared" si="25"/>
        <v>Afternoon</v>
      </c>
      <c r="S220" s="7" t="str">
        <f t="shared" si="26"/>
        <v>Europe</v>
      </c>
      <c r="T220" s="30">
        <f t="shared" si="27"/>
        <v>2</v>
      </c>
      <c r="U220" s="6"/>
      <c r="V220" s="6"/>
    </row>
    <row r="221" spans="1:22" x14ac:dyDescent="0.3">
      <c r="A221" t="s">
        <v>1168</v>
      </c>
      <c r="B221" t="s">
        <v>1845</v>
      </c>
      <c r="C221" t="s">
        <v>786</v>
      </c>
      <c r="D221" s="1">
        <v>44048.510416666664</v>
      </c>
      <c r="E221" t="s">
        <v>762</v>
      </c>
      <c r="F221" t="s">
        <v>236</v>
      </c>
      <c r="G221">
        <v>14</v>
      </c>
      <c r="H221">
        <v>28</v>
      </c>
      <c r="I221" t="s">
        <v>731</v>
      </c>
      <c r="J221">
        <v>2020</v>
      </c>
      <c r="K221">
        <v>8</v>
      </c>
      <c r="L221">
        <v>5</v>
      </c>
      <c r="M221">
        <v>12</v>
      </c>
      <c r="N221" s="7">
        <f t="shared" si="21"/>
        <v>42</v>
      </c>
      <c r="O221" s="7" t="str">
        <f t="shared" si="24"/>
        <v>Normal</v>
      </c>
      <c r="P221" s="7" t="str">
        <f t="shared" si="22"/>
        <v>No</v>
      </c>
      <c r="Q221" s="7" t="str">
        <f t="shared" si="23"/>
        <v>Standard</v>
      </c>
      <c r="R221" s="7" t="str">
        <f t="shared" si="25"/>
        <v>Afternoon</v>
      </c>
      <c r="S221" s="7" t="str">
        <f t="shared" si="26"/>
        <v>Oceania</v>
      </c>
      <c r="T221" s="30">
        <f t="shared" si="27"/>
        <v>2</v>
      </c>
      <c r="U221" s="6"/>
      <c r="V221" s="6"/>
    </row>
    <row r="222" spans="1:22" x14ac:dyDescent="0.3">
      <c r="A222" t="s">
        <v>1169</v>
      </c>
      <c r="B222" t="s">
        <v>1846</v>
      </c>
      <c r="C222" t="s">
        <v>818</v>
      </c>
      <c r="D222" s="1">
        <v>44531.645833333336</v>
      </c>
      <c r="E222" t="s">
        <v>763</v>
      </c>
      <c r="F222" t="s">
        <v>237</v>
      </c>
      <c r="G222">
        <v>10</v>
      </c>
      <c r="H222">
        <v>20</v>
      </c>
      <c r="I222" t="s">
        <v>30</v>
      </c>
      <c r="J222">
        <v>2021</v>
      </c>
      <c r="K222">
        <v>12</v>
      </c>
      <c r="L222">
        <v>1</v>
      </c>
      <c r="M222">
        <v>15</v>
      </c>
      <c r="N222" s="7">
        <f t="shared" si="21"/>
        <v>30</v>
      </c>
      <c r="O222" s="7" t="str">
        <f t="shared" si="24"/>
        <v>Normal</v>
      </c>
      <c r="P222" s="7" t="str">
        <f t="shared" si="22"/>
        <v>No</v>
      </c>
      <c r="Q222" s="7" t="str">
        <f t="shared" si="23"/>
        <v>Standard</v>
      </c>
      <c r="R222" s="7" t="str">
        <f t="shared" si="25"/>
        <v>Afternoon</v>
      </c>
      <c r="S222" s="7" t="str">
        <f t="shared" si="26"/>
        <v>North America</v>
      </c>
      <c r="T222" s="30">
        <f t="shared" si="27"/>
        <v>2</v>
      </c>
      <c r="U222" s="6"/>
      <c r="V222" s="6"/>
    </row>
    <row r="223" spans="1:22" x14ac:dyDescent="0.3">
      <c r="A223" t="s">
        <v>1170</v>
      </c>
      <c r="B223" t="s">
        <v>1847</v>
      </c>
      <c r="C223" t="s">
        <v>819</v>
      </c>
      <c r="D223" s="1">
        <v>43549.875</v>
      </c>
      <c r="E223" t="s">
        <v>761</v>
      </c>
      <c r="F223" t="s">
        <v>238</v>
      </c>
      <c r="G223">
        <v>13</v>
      </c>
      <c r="H223">
        <v>26</v>
      </c>
      <c r="I223" t="s">
        <v>720</v>
      </c>
      <c r="J223">
        <v>2019</v>
      </c>
      <c r="K223">
        <v>3</v>
      </c>
      <c r="L223">
        <v>25</v>
      </c>
      <c r="M223">
        <v>21</v>
      </c>
      <c r="N223" s="7">
        <f t="shared" si="21"/>
        <v>39</v>
      </c>
      <c r="O223" s="7" t="str">
        <f t="shared" si="24"/>
        <v>Normal</v>
      </c>
      <c r="P223" s="7" t="str">
        <f t="shared" si="22"/>
        <v>No</v>
      </c>
      <c r="Q223" s="7" t="str">
        <f t="shared" si="23"/>
        <v>Standard</v>
      </c>
      <c r="R223" s="7" t="str">
        <f t="shared" si="25"/>
        <v>Evening</v>
      </c>
      <c r="S223" s="7" t="str">
        <f t="shared" si="26"/>
        <v>North America</v>
      </c>
      <c r="T223" s="30">
        <f t="shared" si="27"/>
        <v>2</v>
      </c>
      <c r="U223" s="6"/>
      <c r="V223" s="6"/>
    </row>
    <row r="224" spans="1:22" x14ac:dyDescent="0.3">
      <c r="A224" t="s">
        <v>1171</v>
      </c>
      <c r="B224" t="s">
        <v>1848</v>
      </c>
      <c r="C224" t="s">
        <v>820</v>
      </c>
      <c r="D224" s="1">
        <v>42904.614583333336</v>
      </c>
      <c r="E224" t="s">
        <v>762</v>
      </c>
      <c r="F224" t="s">
        <v>239</v>
      </c>
      <c r="G224">
        <v>12</v>
      </c>
      <c r="H224">
        <v>25</v>
      </c>
      <c r="I224" t="s">
        <v>732</v>
      </c>
      <c r="J224">
        <v>2017</v>
      </c>
      <c r="K224">
        <v>6</v>
      </c>
      <c r="L224">
        <v>18</v>
      </c>
      <c r="M224">
        <v>14</v>
      </c>
      <c r="N224" s="7">
        <f t="shared" si="21"/>
        <v>37</v>
      </c>
      <c r="O224" s="7" t="str">
        <f t="shared" si="24"/>
        <v>Normal</v>
      </c>
      <c r="P224" s="7" t="str">
        <f t="shared" si="22"/>
        <v>No</v>
      </c>
      <c r="Q224" s="7" t="str">
        <f t="shared" si="23"/>
        <v>Standard</v>
      </c>
      <c r="R224" s="7" t="str">
        <f t="shared" si="25"/>
        <v>Afternoon</v>
      </c>
      <c r="S224" s="7" t="str">
        <f t="shared" si="26"/>
        <v>Asia</v>
      </c>
      <c r="T224" s="30">
        <f t="shared" si="27"/>
        <v>2.0833333333333335</v>
      </c>
      <c r="U224" s="6"/>
      <c r="V224" s="6"/>
    </row>
    <row r="225" spans="1:22" x14ac:dyDescent="0.3">
      <c r="A225" t="s">
        <v>1172</v>
      </c>
      <c r="B225" t="s">
        <v>1849</v>
      </c>
      <c r="C225" t="s">
        <v>821</v>
      </c>
      <c r="D225" s="1">
        <v>44750.479166666664</v>
      </c>
      <c r="E225" t="s">
        <v>763</v>
      </c>
      <c r="F225" t="s">
        <v>240</v>
      </c>
      <c r="G225">
        <v>15</v>
      </c>
      <c r="H225">
        <v>30</v>
      </c>
      <c r="I225" t="s">
        <v>731</v>
      </c>
      <c r="J225">
        <v>2022</v>
      </c>
      <c r="K225">
        <v>7</v>
      </c>
      <c r="L225">
        <v>8</v>
      </c>
      <c r="M225">
        <v>11</v>
      </c>
      <c r="N225" s="7">
        <f t="shared" si="21"/>
        <v>45</v>
      </c>
      <c r="O225" s="7" t="str">
        <f t="shared" si="24"/>
        <v>Normal</v>
      </c>
      <c r="P225" s="7" t="str">
        <f t="shared" si="22"/>
        <v>No</v>
      </c>
      <c r="Q225" s="7" t="str">
        <f t="shared" si="23"/>
        <v>Standard</v>
      </c>
      <c r="R225" s="7" t="str">
        <f t="shared" si="25"/>
        <v>Morning</v>
      </c>
      <c r="S225" s="7" t="str">
        <f t="shared" si="26"/>
        <v>Oceania</v>
      </c>
      <c r="T225" s="30">
        <f t="shared" si="27"/>
        <v>2</v>
      </c>
      <c r="U225" s="6"/>
      <c r="V225" s="6"/>
    </row>
    <row r="226" spans="1:22" x14ac:dyDescent="0.3">
      <c r="A226" t="s">
        <v>1173</v>
      </c>
      <c r="B226" t="s">
        <v>1850</v>
      </c>
      <c r="C226" t="s">
        <v>781</v>
      </c>
      <c r="D226" s="1">
        <v>45061.680555555555</v>
      </c>
      <c r="E226" t="s">
        <v>761</v>
      </c>
      <c r="F226" t="s">
        <v>241</v>
      </c>
      <c r="G226">
        <v>18</v>
      </c>
      <c r="H226">
        <v>36</v>
      </c>
      <c r="I226" t="s">
        <v>720</v>
      </c>
      <c r="J226">
        <v>2023</v>
      </c>
      <c r="K226">
        <v>5</v>
      </c>
      <c r="L226">
        <v>15</v>
      </c>
      <c r="M226">
        <v>16</v>
      </c>
      <c r="N226" s="7">
        <f t="shared" si="21"/>
        <v>54</v>
      </c>
      <c r="O226" s="7" t="str">
        <f t="shared" si="24"/>
        <v>Normal</v>
      </c>
      <c r="P226" s="7" t="str">
        <f t="shared" si="22"/>
        <v>No</v>
      </c>
      <c r="Q226" s="7" t="str">
        <f t="shared" si="23"/>
        <v>Standard</v>
      </c>
      <c r="R226" s="7" t="str">
        <f t="shared" si="25"/>
        <v>Afternoon</v>
      </c>
      <c r="S226" s="7" t="str">
        <f t="shared" si="26"/>
        <v>North America</v>
      </c>
      <c r="T226" s="30">
        <f t="shared" si="27"/>
        <v>2</v>
      </c>
      <c r="U226" s="6"/>
      <c r="V226" s="6"/>
    </row>
    <row r="227" spans="1:22" x14ac:dyDescent="0.3">
      <c r="A227" t="s">
        <v>1174</v>
      </c>
      <c r="B227" t="s">
        <v>1851</v>
      </c>
      <c r="C227" t="s">
        <v>822</v>
      </c>
      <c r="D227" s="1">
        <v>44449.614583333336</v>
      </c>
      <c r="E227" t="s">
        <v>762</v>
      </c>
      <c r="F227" t="s">
        <v>242</v>
      </c>
      <c r="G227">
        <v>20</v>
      </c>
      <c r="H227">
        <v>40</v>
      </c>
      <c r="I227" t="s">
        <v>722</v>
      </c>
      <c r="J227">
        <v>2021</v>
      </c>
      <c r="K227">
        <v>9</v>
      </c>
      <c r="L227">
        <v>10</v>
      </c>
      <c r="M227">
        <v>14</v>
      </c>
      <c r="N227" s="7">
        <f t="shared" si="21"/>
        <v>60</v>
      </c>
      <c r="O227" s="7" t="str">
        <f t="shared" si="24"/>
        <v>Normal</v>
      </c>
      <c r="P227" s="7" t="str">
        <f t="shared" si="22"/>
        <v>No</v>
      </c>
      <c r="Q227" s="7" t="str">
        <f t="shared" si="23"/>
        <v>Standard</v>
      </c>
      <c r="R227" s="7" t="str">
        <f t="shared" si="25"/>
        <v>Afternoon</v>
      </c>
      <c r="S227" s="7" t="str">
        <f t="shared" si="26"/>
        <v>Europe</v>
      </c>
      <c r="T227" s="30">
        <f t="shared" si="27"/>
        <v>2</v>
      </c>
      <c r="U227" s="6"/>
      <c r="V227" s="6"/>
    </row>
    <row r="228" spans="1:22" x14ac:dyDescent="0.3">
      <c r="A228" t="s">
        <v>1175</v>
      </c>
      <c r="B228" t="s">
        <v>1852</v>
      </c>
      <c r="C228" t="s">
        <v>794</v>
      </c>
      <c r="D228" s="1">
        <v>43889.770833333336</v>
      </c>
      <c r="E228" t="s">
        <v>763</v>
      </c>
      <c r="F228" t="s">
        <v>243</v>
      </c>
      <c r="G228">
        <v>25</v>
      </c>
      <c r="H228">
        <v>50</v>
      </c>
      <c r="I228" t="s">
        <v>30</v>
      </c>
      <c r="J228">
        <v>2020</v>
      </c>
      <c r="K228">
        <v>2</v>
      </c>
      <c r="L228">
        <v>28</v>
      </c>
      <c r="M228">
        <v>18</v>
      </c>
      <c r="N228" s="7">
        <f t="shared" si="21"/>
        <v>75</v>
      </c>
      <c r="O228" s="7" t="str">
        <f t="shared" si="24"/>
        <v>Popular</v>
      </c>
      <c r="P228" s="7" t="str">
        <f t="shared" si="22"/>
        <v>No</v>
      </c>
      <c r="Q228" s="7" t="str">
        <f t="shared" si="23"/>
        <v>Wide Reach</v>
      </c>
      <c r="R228" s="7" t="str">
        <f t="shared" si="25"/>
        <v>Evening</v>
      </c>
      <c r="S228" s="7" t="str">
        <f t="shared" si="26"/>
        <v>North America</v>
      </c>
      <c r="T228" s="30">
        <f t="shared" si="27"/>
        <v>2</v>
      </c>
      <c r="U228" s="6"/>
      <c r="V228" s="6"/>
    </row>
    <row r="229" spans="1:22" x14ac:dyDescent="0.3">
      <c r="A229" t="s">
        <v>1176</v>
      </c>
      <c r="B229" t="s">
        <v>1853</v>
      </c>
      <c r="C229" t="s">
        <v>817</v>
      </c>
      <c r="D229" s="1">
        <v>44995.6875</v>
      </c>
      <c r="E229" t="s">
        <v>762</v>
      </c>
      <c r="F229" t="s">
        <v>244</v>
      </c>
      <c r="G229">
        <v>9</v>
      </c>
      <c r="H229">
        <v>18</v>
      </c>
      <c r="I229" t="s">
        <v>732</v>
      </c>
      <c r="J229">
        <v>2023</v>
      </c>
      <c r="K229">
        <v>3</v>
      </c>
      <c r="L229">
        <v>10</v>
      </c>
      <c r="M229">
        <v>16</v>
      </c>
      <c r="N229" s="7">
        <f t="shared" si="21"/>
        <v>27</v>
      </c>
      <c r="O229" s="7" t="str">
        <f t="shared" si="24"/>
        <v>Normal</v>
      </c>
      <c r="P229" s="7" t="str">
        <f t="shared" si="22"/>
        <v>No</v>
      </c>
      <c r="Q229" s="7" t="str">
        <f t="shared" si="23"/>
        <v>Standard</v>
      </c>
      <c r="R229" s="7" t="str">
        <f t="shared" si="25"/>
        <v>Afternoon</v>
      </c>
      <c r="S229" s="7" t="str">
        <f t="shared" si="26"/>
        <v>Asia</v>
      </c>
      <c r="T229" s="30">
        <f t="shared" si="27"/>
        <v>2</v>
      </c>
      <c r="U229" s="6"/>
      <c r="V229" s="6"/>
    </row>
    <row r="230" spans="1:22" x14ac:dyDescent="0.3">
      <c r="A230" t="s">
        <v>1177</v>
      </c>
      <c r="B230" t="s">
        <v>1854</v>
      </c>
      <c r="C230" t="s">
        <v>786</v>
      </c>
      <c r="D230" s="1">
        <v>44318.489583333336</v>
      </c>
      <c r="E230" t="s">
        <v>763</v>
      </c>
      <c r="F230" t="s">
        <v>226</v>
      </c>
      <c r="G230">
        <v>14</v>
      </c>
      <c r="H230">
        <v>28</v>
      </c>
      <c r="I230" t="s">
        <v>731</v>
      </c>
      <c r="J230">
        <v>2021</v>
      </c>
      <c r="K230">
        <v>5</v>
      </c>
      <c r="L230">
        <v>2</v>
      </c>
      <c r="M230">
        <v>11</v>
      </c>
      <c r="N230" s="7">
        <f t="shared" si="21"/>
        <v>42</v>
      </c>
      <c r="O230" s="7" t="str">
        <f t="shared" si="24"/>
        <v>Normal</v>
      </c>
      <c r="P230" s="7" t="str">
        <f t="shared" si="22"/>
        <v>No</v>
      </c>
      <c r="Q230" s="7" t="str">
        <f t="shared" si="23"/>
        <v>Standard</v>
      </c>
      <c r="R230" s="7" t="str">
        <f t="shared" si="25"/>
        <v>Morning</v>
      </c>
      <c r="S230" s="7" t="str">
        <f t="shared" si="26"/>
        <v>Oceania</v>
      </c>
      <c r="T230" s="30">
        <f t="shared" si="27"/>
        <v>2</v>
      </c>
      <c r="U230" s="6"/>
      <c r="V230" s="6"/>
    </row>
    <row r="231" spans="1:22" x14ac:dyDescent="0.3">
      <c r="A231" t="s">
        <v>1178</v>
      </c>
      <c r="B231" t="s">
        <v>1855</v>
      </c>
      <c r="C231" t="s">
        <v>818</v>
      </c>
      <c r="D231" s="1">
        <v>43756.604166666664</v>
      </c>
      <c r="E231" t="s">
        <v>761</v>
      </c>
      <c r="F231" t="s">
        <v>245</v>
      </c>
      <c r="G231">
        <v>11</v>
      </c>
      <c r="H231">
        <v>22</v>
      </c>
      <c r="I231" t="s">
        <v>722</v>
      </c>
      <c r="J231">
        <v>2019</v>
      </c>
      <c r="K231">
        <v>10</v>
      </c>
      <c r="L231">
        <v>18</v>
      </c>
      <c r="M231">
        <v>14</v>
      </c>
      <c r="N231" s="7">
        <f t="shared" si="21"/>
        <v>33</v>
      </c>
      <c r="O231" s="7" t="str">
        <f t="shared" si="24"/>
        <v>Normal</v>
      </c>
      <c r="P231" s="7" t="str">
        <f t="shared" si="22"/>
        <v>No</v>
      </c>
      <c r="Q231" s="7" t="str">
        <f t="shared" si="23"/>
        <v>Standard</v>
      </c>
      <c r="R231" s="7" t="str">
        <f t="shared" si="25"/>
        <v>Afternoon</v>
      </c>
      <c r="S231" s="7" t="str">
        <f t="shared" si="26"/>
        <v>Europe</v>
      </c>
      <c r="T231" s="30">
        <f t="shared" si="27"/>
        <v>2</v>
      </c>
      <c r="U231" s="6"/>
      <c r="V231" s="6"/>
    </row>
    <row r="232" spans="1:22" x14ac:dyDescent="0.3">
      <c r="A232" t="s">
        <v>1179</v>
      </c>
      <c r="B232" t="s">
        <v>1856</v>
      </c>
      <c r="C232" t="s">
        <v>819</v>
      </c>
      <c r="D232" s="1">
        <v>43835.833333333336</v>
      </c>
      <c r="E232" t="s">
        <v>762</v>
      </c>
      <c r="F232" t="s">
        <v>246</v>
      </c>
      <c r="G232">
        <v>13</v>
      </c>
      <c r="H232">
        <v>26</v>
      </c>
      <c r="I232" t="s">
        <v>30</v>
      </c>
      <c r="J232">
        <v>2020</v>
      </c>
      <c r="K232">
        <v>1</v>
      </c>
      <c r="L232">
        <v>5</v>
      </c>
      <c r="M232">
        <v>20</v>
      </c>
      <c r="N232" s="7">
        <f t="shared" si="21"/>
        <v>39</v>
      </c>
      <c r="O232" s="7" t="str">
        <f t="shared" si="24"/>
        <v>Normal</v>
      </c>
      <c r="P232" s="7" t="str">
        <f t="shared" si="22"/>
        <v>No</v>
      </c>
      <c r="Q232" s="7" t="str">
        <f t="shared" si="23"/>
        <v>Standard</v>
      </c>
      <c r="R232" s="7" t="str">
        <f t="shared" si="25"/>
        <v>Evening</v>
      </c>
      <c r="S232" s="7" t="str">
        <f t="shared" si="26"/>
        <v>North America</v>
      </c>
      <c r="T232" s="30">
        <f t="shared" si="27"/>
        <v>2</v>
      </c>
      <c r="U232" s="6"/>
      <c r="V232" s="6"/>
    </row>
    <row r="233" spans="1:22" x14ac:dyDescent="0.3">
      <c r="A233" t="s">
        <v>1180</v>
      </c>
      <c r="B233" t="s">
        <v>1857</v>
      </c>
      <c r="C233" t="s">
        <v>820</v>
      </c>
      <c r="D233" s="1">
        <v>43322.65625</v>
      </c>
      <c r="E233" t="s">
        <v>763</v>
      </c>
      <c r="F233" t="s">
        <v>247</v>
      </c>
      <c r="G233">
        <v>12</v>
      </c>
      <c r="H233">
        <v>25</v>
      </c>
      <c r="I233" t="s">
        <v>720</v>
      </c>
      <c r="J233">
        <v>2018</v>
      </c>
      <c r="K233">
        <v>8</v>
      </c>
      <c r="L233">
        <v>10</v>
      </c>
      <c r="M233">
        <v>15</v>
      </c>
      <c r="N233" s="7">
        <f t="shared" si="21"/>
        <v>37</v>
      </c>
      <c r="O233" s="7" t="str">
        <f t="shared" si="24"/>
        <v>Normal</v>
      </c>
      <c r="P233" s="7" t="str">
        <f t="shared" si="22"/>
        <v>No</v>
      </c>
      <c r="Q233" s="7" t="str">
        <f t="shared" si="23"/>
        <v>Standard</v>
      </c>
      <c r="R233" s="7" t="str">
        <f t="shared" si="25"/>
        <v>Afternoon</v>
      </c>
      <c r="S233" s="7" t="str">
        <f t="shared" si="26"/>
        <v>North America</v>
      </c>
      <c r="T233" s="30">
        <f t="shared" si="27"/>
        <v>2.0833333333333335</v>
      </c>
      <c r="U233" s="6"/>
      <c r="V233" s="6"/>
    </row>
    <row r="234" spans="1:22" x14ac:dyDescent="0.3">
      <c r="A234" t="s">
        <v>1181</v>
      </c>
      <c r="B234" t="s">
        <v>1858</v>
      </c>
      <c r="C234" t="s">
        <v>821</v>
      </c>
      <c r="D234" s="1">
        <v>44576.4375</v>
      </c>
      <c r="E234" t="s">
        <v>761</v>
      </c>
      <c r="F234" t="s">
        <v>248</v>
      </c>
      <c r="G234">
        <v>15</v>
      </c>
      <c r="H234">
        <v>30</v>
      </c>
      <c r="I234" t="s">
        <v>732</v>
      </c>
      <c r="J234">
        <v>2022</v>
      </c>
      <c r="K234">
        <v>1</v>
      </c>
      <c r="L234">
        <v>15</v>
      </c>
      <c r="M234">
        <v>10</v>
      </c>
      <c r="N234" s="7">
        <f t="shared" si="21"/>
        <v>45</v>
      </c>
      <c r="O234" s="7" t="str">
        <f t="shared" si="24"/>
        <v>Normal</v>
      </c>
      <c r="P234" s="7" t="str">
        <f t="shared" si="22"/>
        <v>No</v>
      </c>
      <c r="Q234" s="7" t="str">
        <f t="shared" si="23"/>
        <v>Standard</v>
      </c>
      <c r="R234" s="7" t="str">
        <f t="shared" si="25"/>
        <v>Morning</v>
      </c>
      <c r="S234" s="7" t="str">
        <f t="shared" si="26"/>
        <v>Asia</v>
      </c>
      <c r="T234" s="30">
        <f t="shared" si="27"/>
        <v>2</v>
      </c>
      <c r="U234" s="6"/>
      <c r="V234" s="6"/>
    </row>
    <row r="235" spans="1:22" x14ac:dyDescent="0.3">
      <c r="A235" t="s">
        <v>1182</v>
      </c>
      <c r="B235" t="s">
        <v>1859</v>
      </c>
      <c r="C235" t="s">
        <v>781</v>
      </c>
      <c r="D235" s="1">
        <v>44397.680555555555</v>
      </c>
      <c r="E235" t="s">
        <v>762</v>
      </c>
      <c r="F235" t="s">
        <v>249</v>
      </c>
      <c r="G235">
        <v>18</v>
      </c>
      <c r="H235">
        <v>36</v>
      </c>
      <c r="I235" t="s">
        <v>731</v>
      </c>
      <c r="J235">
        <v>2021</v>
      </c>
      <c r="K235">
        <v>7</v>
      </c>
      <c r="L235">
        <v>20</v>
      </c>
      <c r="M235">
        <v>16</v>
      </c>
      <c r="N235" s="7">
        <f t="shared" si="21"/>
        <v>54</v>
      </c>
      <c r="O235" s="7" t="str">
        <f t="shared" si="24"/>
        <v>Normal</v>
      </c>
      <c r="P235" s="7" t="str">
        <f t="shared" si="22"/>
        <v>No</v>
      </c>
      <c r="Q235" s="7" t="str">
        <f t="shared" si="23"/>
        <v>Standard</v>
      </c>
      <c r="R235" s="7" t="str">
        <f t="shared" si="25"/>
        <v>Afternoon</v>
      </c>
      <c r="S235" s="7" t="str">
        <f t="shared" si="26"/>
        <v>Oceania</v>
      </c>
      <c r="T235" s="30">
        <f t="shared" si="27"/>
        <v>2</v>
      </c>
      <c r="U235" s="6"/>
      <c r="V235" s="6"/>
    </row>
    <row r="236" spans="1:22" x14ac:dyDescent="0.3">
      <c r="A236" t="s">
        <v>1183</v>
      </c>
      <c r="B236" t="s">
        <v>1860</v>
      </c>
      <c r="C236" t="s">
        <v>822</v>
      </c>
      <c r="D236" s="1">
        <v>43802.572916666664</v>
      </c>
      <c r="E236" t="s">
        <v>763</v>
      </c>
      <c r="F236" t="s">
        <v>250</v>
      </c>
      <c r="G236">
        <v>20</v>
      </c>
      <c r="H236">
        <v>40</v>
      </c>
      <c r="I236" t="s">
        <v>30</v>
      </c>
      <c r="J236">
        <v>2019</v>
      </c>
      <c r="K236">
        <v>12</v>
      </c>
      <c r="L236">
        <v>3</v>
      </c>
      <c r="M236">
        <v>13</v>
      </c>
      <c r="N236" s="7">
        <f t="shared" si="21"/>
        <v>60</v>
      </c>
      <c r="O236" s="7" t="str">
        <f t="shared" si="24"/>
        <v>Normal</v>
      </c>
      <c r="P236" s="7" t="str">
        <f t="shared" si="22"/>
        <v>No</v>
      </c>
      <c r="Q236" s="7" t="str">
        <f t="shared" si="23"/>
        <v>Standard</v>
      </c>
      <c r="R236" s="7" t="str">
        <f t="shared" si="25"/>
        <v>Afternoon</v>
      </c>
      <c r="S236" s="7" t="str">
        <f t="shared" si="26"/>
        <v>North America</v>
      </c>
      <c r="T236" s="30">
        <f t="shared" si="27"/>
        <v>2</v>
      </c>
      <c r="U236" s="6"/>
      <c r="V236" s="6"/>
    </row>
    <row r="237" spans="1:22" x14ac:dyDescent="0.3">
      <c r="A237" t="s">
        <v>1184</v>
      </c>
      <c r="B237" t="s">
        <v>1861</v>
      </c>
      <c r="C237" t="s">
        <v>794</v>
      </c>
      <c r="D237" s="1">
        <v>43933.8125</v>
      </c>
      <c r="E237" t="s">
        <v>761</v>
      </c>
      <c r="F237" t="s">
        <v>251</v>
      </c>
      <c r="G237">
        <v>25</v>
      </c>
      <c r="H237">
        <v>50</v>
      </c>
      <c r="I237" t="s">
        <v>720</v>
      </c>
      <c r="J237">
        <v>2020</v>
      </c>
      <c r="K237">
        <v>4</v>
      </c>
      <c r="L237">
        <v>12</v>
      </c>
      <c r="M237">
        <v>19</v>
      </c>
      <c r="N237" s="7">
        <f t="shared" si="21"/>
        <v>75</v>
      </c>
      <c r="O237" s="7" t="str">
        <f t="shared" si="24"/>
        <v>Popular</v>
      </c>
      <c r="P237" s="7" t="str">
        <f t="shared" si="22"/>
        <v>No</v>
      </c>
      <c r="Q237" s="7" t="str">
        <f t="shared" si="23"/>
        <v>Wide Reach</v>
      </c>
      <c r="R237" s="7" t="str">
        <f t="shared" si="25"/>
        <v>Evening</v>
      </c>
      <c r="S237" s="7" t="str">
        <f t="shared" si="26"/>
        <v>North America</v>
      </c>
      <c r="T237" s="30">
        <f t="shared" si="27"/>
        <v>2</v>
      </c>
      <c r="U237" s="6"/>
      <c r="V237" s="6"/>
    </row>
    <row r="238" spans="1:22" x14ac:dyDescent="0.3">
      <c r="A238" t="s">
        <v>1185</v>
      </c>
      <c r="B238" t="s">
        <v>1862</v>
      </c>
      <c r="C238" t="s">
        <v>816</v>
      </c>
      <c r="D238" s="1">
        <v>44689.364583333336</v>
      </c>
      <c r="E238" t="s">
        <v>762</v>
      </c>
      <c r="F238" t="s">
        <v>252</v>
      </c>
      <c r="G238">
        <v>22</v>
      </c>
      <c r="H238">
        <v>45</v>
      </c>
      <c r="I238" t="s">
        <v>722</v>
      </c>
      <c r="J238">
        <v>2022</v>
      </c>
      <c r="K238">
        <v>5</v>
      </c>
      <c r="L238">
        <v>8</v>
      </c>
      <c r="M238">
        <v>8</v>
      </c>
      <c r="N238" s="7">
        <f t="shared" si="21"/>
        <v>67</v>
      </c>
      <c r="O238" s="7" t="str">
        <f t="shared" si="24"/>
        <v>Popular</v>
      </c>
      <c r="P238" s="7" t="str">
        <f t="shared" si="22"/>
        <v>No</v>
      </c>
      <c r="Q238" s="7" t="str">
        <f t="shared" si="23"/>
        <v>Wide Reach</v>
      </c>
      <c r="R238" s="7" t="str">
        <f t="shared" si="25"/>
        <v>Morning</v>
      </c>
      <c r="S238" s="7" t="str">
        <f t="shared" si="26"/>
        <v>Europe</v>
      </c>
      <c r="T238" s="30">
        <f t="shared" si="27"/>
        <v>2.0454545454545454</v>
      </c>
      <c r="U238" s="6"/>
      <c r="V238" s="6"/>
    </row>
    <row r="239" spans="1:22" x14ac:dyDescent="0.3">
      <c r="A239" t="s">
        <v>1186</v>
      </c>
      <c r="B239" t="s">
        <v>1863</v>
      </c>
      <c r="C239" t="s">
        <v>817</v>
      </c>
      <c r="D239" s="1">
        <v>44979.708333333336</v>
      </c>
      <c r="E239" t="s">
        <v>763</v>
      </c>
      <c r="F239" t="s">
        <v>235</v>
      </c>
      <c r="G239">
        <v>9</v>
      </c>
      <c r="H239">
        <v>18</v>
      </c>
      <c r="I239" t="s">
        <v>732</v>
      </c>
      <c r="J239">
        <v>2023</v>
      </c>
      <c r="K239">
        <v>2</v>
      </c>
      <c r="L239">
        <v>22</v>
      </c>
      <c r="M239">
        <v>17</v>
      </c>
      <c r="N239" s="7">
        <f t="shared" si="21"/>
        <v>27</v>
      </c>
      <c r="O239" s="7" t="str">
        <f t="shared" si="24"/>
        <v>Normal</v>
      </c>
      <c r="P239" s="7" t="str">
        <f t="shared" si="22"/>
        <v>No</v>
      </c>
      <c r="Q239" s="7" t="str">
        <f t="shared" si="23"/>
        <v>Standard</v>
      </c>
      <c r="R239" s="7" t="str">
        <f t="shared" si="25"/>
        <v>Afternoon</v>
      </c>
      <c r="S239" s="7" t="str">
        <f t="shared" si="26"/>
        <v>Asia</v>
      </c>
      <c r="T239" s="30">
        <f t="shared" si="27"/>
        <v>2</v>
      </c>
      <c r="U239" s="6"/>
      <c r="V239" s="6"/>
    </row>
    <row r="240" spans="1:22" x14ac:dyDescent="0.3">
      <c r="A240" t="s">
        <v>1187</v>
      </c>
      <c r="B240" t="s">
        <v>1864</v>
      </c>
      <c r="C240" t="s">
        <v>786</v>
      </c>
      <c r="D240" s="1">
        <v>43987.510416666664</v>
      </c>
      <c r="E240" t="s">
        <v>761</v>
      </c>
      <c r="F240" t="s">
        <v>253</v>
      </c>
      <c r="G240">
        <v>14</v>
      </c>
      <c r="H240">
        <v>28</v>
      </c>
      <c r="I240" t="s">
        <v>731</v>
      </c>
      <c r="J240">
        <v>2020</v>
      </c>
      <c r="K240">
        <v>6</v>
      </c>
      <c r="L240">
        <v>5</v>
      </c>
      <c r="M240">
        <v>12</v>
      </c>
      <c r="N240" s="7">
        <f t="shared" si="21"/>
        <v>42</v>
      </c>
      <c r="O240" s="7" t="str">
        <f t="shared" si="24"/>
        <v>Normal</v>
      </c>
      <c r="P240" s="7" t="str">
        <f t="shared" si="22"/>
        <v>No</v>
      </c>
      <c r="Q240" s="7" t="str">
        <f t="shared" si="23"/>
        <v>Standard</v>
      </c>
      <c r="R240" s="7" t="str">
        <f t="shared" si="25"/>
        <v>Afternoon</v>
      </c>
      <c r="S240" s="7" t="str">
        <f t="shared" si="26"/>
        <v>Oceania</v>
      </c>
      <c r="T240" s="30">
        <f t="shared" si="27"/>
        <v>2</v>
      </c>
      <c r="U240" s="6"/>
      <c r="V240" s="6"/>
    </row>
    <row r="241" spans="1:22" x14ac:dyDescent="0.3">
      <c r="A241" t="s">
        <v>1188</v>
      </c>
      <c r="B241" t="s">
        <v>1865</v>
      </c>
      <c r="C241" t="s">
        <v>818</v>
      </c>
      <c r="D241" s="1">
        <v>44530.645833333336</v>
      </c>
      <c r="E241" t="s">
        <v>762</v>
      </c>
      <c r="F241" t="s">
        <v>254</v>
      </c>
      <c r="G241">
        <v>10</v>
      </c>
      <c r="H241">
        <v>20</v>
      </c>
      <c r="I241" t="s">
        <v>720</v>
      </c>
      <c r="J241">
        <v>2021</v>
      </c>
      <c r="K241">
        <v>11</v>
      </c>
      <c r="L241">
        <v>30</v>
      </c>
      <c r="M241">
        <v>15</v>
      </c>
      <c r="N241" s="7">
        <f t="shared" si="21"/>
        <v>30</v>
      </c>
      <c r="O241" s="7" t="str">
        <f t="shared" si="24"/>
        <v>Normal</v>
      </c>
      <c r="P241" s="7" t="str">
        <f t="shared" si="22"/>
        <v>No</v>
      </c>
      <c r="Q241" s="7" t="str">
        <f t="shared" si="23"/>
        <v>Standard</v>
      </c>
      <c r="R241" s="7" t="str">
        <f t="shared" si="25"/>
        <v>Afternoon</v>
      </c>
      <c r="S241" s="7" t="str">
        <f t="shared" si="26"/>
        <v>North America</v>
      </c>
      <c r="T241" s="30">
        <f t="shared" si="27"/>
        <v>2</v>
      </c>
      <c r="U241" s="6"/>
      <c r="V241" s="6"/>
    </row>
    <row r="242" spans="1:22" x14ac:dyDescent="0.3">
      <c r="A242" t="s">
        <v>1189</v>
      </c>
      <c r="B242" t="s">
        <v>1866</v>
      </c>
      <c r="C242" t="s">
        <v>819</v>
      </c>
      <c r="D242" s="1">
        <v>43521.875</v>
      </c>
      <c r="E242" t="s">
        <v>763</v>
      </c>
      <c r="F242" t="s">
        <v>255</v>
      </c>
      <c r="G242">
        <v>13</v>
      </c>
      <c r="H242">
        <v>26</v>
      </c>
      <c r="I242" t="s">
        <v>722</v>
      </c>
      <c r="J242">
        <v>2019</v>
      </c>
      <c r="K242">
        <v>2</v>
      </c>
      <c r="L242">
        <v>25</v>
      </c>
      <c r="M242">
        <v>21</v>
      </c>
      <c r="N242" s="7">
        <f t="shared" si="21"/>
        <v>39</v>
      </c>
      <c r="O242" s="7" t="str">
        <f t="shared" si="24"/>
        <v>Normal</v>
      </c>
      <c r="P242" s="7" t="str">
        <f t="shared" si="22"/>
        <v>No</v>
      </c>
      <c r="Q242" s="7" t="str">
        <f t="shared" si="23"/>
        <v>Standard</v>
      </c>
      <c r="R242" s="7" t="str">
        <f t="shared" si="25"/>
        <v>Evening</v>
      </c>
      <c r="S242" s="7" t="str">
        <f t="shared" si="26"/>
        <v>Europe</v>
      </c>
      <c r="T242" s="30">
        <f t="shared" si="27"/>
        <v>2</v>
      </c>
      <c r="U242" s="6"/>
      <c r="V242" s="6"/>
    </row>
    <row r="243" spans="1:22" x14ac:dyDescent="0.3">
      <c r="A243" t="s">
        <v>1190</v>
      </c>
      <c r="B243" t="s">
        <v>1867</v>
      </c>
      <c r="C243" t="s">
        <v>820</v>
      </c>
      <c r="D243" s="1">
        <v>42873.614583333336</v>
      </c>
      <c r="E243" t="s">
        <v>761</v>
      </c>
      <c r="F243" t="s">
        <v>256</v>
      </c>
      <c r="G243">
        <v>12</v>
      </c>
      <c r="H243">
        <v>25</v>
      </c>
      <c r="I243" t="s">
        <v>30</v>
      </c>
      <c r="J243">
        <v>2017</v>
      </c>
      <c r="K243">
        <v>5</v>
      </c>
      <c r="L243">
        <v>18</v>
      </c>
      <c r="M243">
        <v>14</v>
      </c>
      <c r="N243" s="7">
        <f t="shared" si="21"/>
        <v>37</v>
      </c>
      <c r="O243" s="7" t="str">
        <f t="shared" si="24"/>
        <v>Normal</v>
      </c>
      <c r="P243" s="7" t="str">
        <f t="shared" si="22"/>
        <v>No</v>
      </c>
      <c r="Q243" s="7" t="str">
        <f t="shared" si="23"/>
        <v>Standard</v>
      </c>
      <c r="R243" s="7" t="str">
        <f t="shared" si="25"/>
        <v>Afternoon</v>
      </c>
      <c r="S243" s="7" t="str">
        <f t="shared" si="26"/>
        <v>North America</v>
      </c>
      <c r="T243" s="30">
        <f t="shared" si="27"/>
        <v>2.0833333333333335</v>
      </c>
      <c r="U243" s="6"/>
      <c r="V243" s="6"/>
    </row>
    <row r="244" spans="1:22" x14ac:dyDescent="0.3">
      <c r="A244" t="s">
        <v>1191</v>
      </c>
      <c r="B244" t="s">
        <v>1868</v>
      </c>
      <c r="C244" t="s">
        <v>821</v>
      </c>
      <c r="D244" s="1">
        <v>44778.479166666664</v>
      </c>
      <c r="E244" t="s">
        <v>762</v>
      </c>
      <c r="F244" t="s">
        <v>257</v>
      </c>
      <c r="G244">
        <v>15</v>
      </c>
      <c r="H244">
        <v>30</v>
      </c>
      <c r="I244" t="s">
        <v>720</v>
      </c>
      <c r="J244">
        <v>2022</v>
      </c>
      <c r="K244">
        <v>8</v>
      </c>
      <c r="L244">
        <v>5</v>
      </c>
      <c r="M244">
        <v>11</v>
      </c>
      <c r="N244" s="7">
        <f t="shared" si="21"/>
        <v>45</v>
      </c>
      <c r="O244" s="7" t="str">
        <f t="shared" si="24"/>
        <v>Normal</v>
      </c>
      <c r="P244" s="7" t="str">
        <f t="shared" si="22"/>
        <v>No</v>
      </c>
      <c r="Q244" s="7" t="str">
        <f t="shared" si="23"/>
        <v>Standard</v>
      </c>
      <c r="R244" s="7" t="str">
        <f t="shared" si="25"/>
        <v>Morning</v>
      </c>
      <c r="S244" s="7" t="str">
        <f t="shared" si="26"/>
        <v>North America</v>
      </c>
      <c r="T244" s="30">
        <f t="shared" si="27"/>
        <v>2</v>
      </c>
      <c r="U244" s="6"/>
      <c r="V244" s="6"/>
    </row>
    <row r="245" spans="1:22" x14ac:dyDescent="0.3">
      <c r="A245" t="s">
        <v>1192</v>
      </c>
      <c r="B245" t="s">
        <v>1869</v>
      </c>
      <c r="C245" t="s">
        <v>781</v>
      </c>
      <c r="D245" s="1">
        <v>45092.680555555555</v>
      </c>
      <c r="E245" t="s">
        <v>763</v>
      </c>
      <c r="F245" t="s">
        <v>258</v>
      </c>
      <c r="G245">
        <v>18</v>
      </c>
      <c r="H245">
        <v>36</v>
      </c>
      <c r="I245" t="s">
        <v>731</v>
      </c>
      <c r="J245">
        <v>2023</v>
      </c>
      <c r="K245">
        <v>6</v>
      </c>
      <c r="L245">
        <v>15</v>
      </c>
      <c r="M245">
        <v>16</v>
      </c>
      <c r="N245" s="7">
        <f t="shared" si="21"/>
        <v>54</v>
      </c>
      <c r="O245" s="7" t="str">
        <f t="shared" si="24"/>
        <v>Normal</v>
      </c>
      <c r="P245" s="7" t="str">
        <f t="shared" si="22"/>
        <v>No</v>
      </c>
      <c r="Q245" s="7" t="str">
        <f t="shared" si="23"/>
        <v>Standard</v>
      </c>
      <c r="R245" s="7" t="str">
        <f t="shared" si="25"/>
        <v>Afternoon</v>
      </c>
      <c r="S245" s="7" t="str">
        <f t="shared" si="26"/>
        <v>Oceania</v>
      </c>
      <c r="T245" s="30">
        <f t="shared" si="27"/>
        <v>2</v>
      </c>
      <c r="U245" s="6"/>
      <c r="V245" s="6"/>
    </row>
    <row r="246" spans="1:22" x14ac:dyDescent="0.3">
      <c r="A246" t="s">
        <v>1193</v>
      </c>
      <c r="B246" t="s">
        <v>1870</v>
      </c>
      <c r="C246" t="s">
        <v>822</v>
      </c>
      <c r="D246" s="1">
        <v>44479.614583333336</v>
      </c>
      <c r="E246" t="s">
        <v>761</v>
      </c>
      <c r="F246" t="s">
        <v>259</v>
      </c>
      <c r="G246">
        <v>20</v>
      </c>
      <c r="H246">
        <v>40</v>
      </c>
      <c r="I246" t="s">
        <v>722</v>
      </c>
      <c r="J246">
        <v>2021</v>
      </c>
      <c r="K246">
        <v>10</v>
      </c>
      <c r="L246">
        <v>10</v>
      </c>
      <c r="M246">
        <v>14</v>
      </c>
      <c r="N246" s="7">
        <f t="shared" si="21"/>
        <v>60</v>
      </c>
      <c r="O246" s="7" t="str">
        <f t="shared" si="24"/>
        <v>Normal</v>
      </c>
      <c r="P246" s="7" t="str">
        <f t="shared" si="22"/>
        <v>No</v>
      </c>
      <c r="Q246" s="7" t="str">
        <f t="shared" si="23"/>
        <v>Standard</v>
      </c>
      <c r="R246" s="7" t="str">
        <f t="shared" si="25"/>
        <v>Afternoon</v>
      </c>
      <c r="S246" s="7" t="str">
        <f t="shared" si="26"/>
        <v>Europe</v>
      </c>
      <c r="T246" s="30">
        <f t="shared" si="27"/>
        <v>2</v>
      </c>
      <c r="U246" s="6"/>
      <c r="V246" s="6"/>
    </row>
    <row r="247" spans="1:22" x14ac:dyDescent="0.3">
      <c r="A247" t="s">
        <v>1194</v>
      </c>
      <c r="B247" t="s">
        <v>1871</v>
      </c>
      <c r="C247" t="s">
        <v>794</v>
      </c>
      <c r="D247" s="1">
        <v>43963.8125</v>
      </c>
      <c r="E247" t="s">
        <v>762</v>
      </c>
      <c r="F247" t="s">
        <v>260</v>
      </c>
      <c r="G247">
        <v>25</v>
      </c>
      <c r="H247">
        <v>50</v>
      </c>
      <c r="I247" t="s">
        <v>30</v>
      </c>
      <c r="J247">
        <v>2020</v>
      </c>
      <c r="K247">
        <v>5</v>
      </c>
      <c r="L247">
        <v>12</v>
      </c>
      <c r="M247">
        <v>19</v>
      </c>
      <c r="N247" s="7">
        <f t="shared" si="21"/>
        <v>75</v>
      </c>
      <c r="O247" s="7" t="str">
        <f t="shared" si="24"/>
        <v>Popular</v>
      </c>
      <c r="P247" s="7" t="str">
        <f t="shared" si="22"/>
        <v>No</v>
      </c>
      <c r="Q247" s="7" t="str">
        <f t="shared" si="23"/>
        <v>Wide Reach</v>
      </c>
      <c r="R247" s="7" t="str">
        <f t="shared" si="25"/>
        <v>Evening</v>
      </c>
      <c r="S247" s="7" t="str">
        <f t="shared" si="26"/>
        <v>North America</v>
      </c>
      <c r="T247" s="30">
        <f t="shared" si="27"/>
        <v>2</v>
      </c>
      <c r="U247" s="6"/>
      <c r="V247" s="6"/>
    </row>
    <row r="248" spans="1:22" x14ac:dyDescent="0.3">
      <c r="A248" t="s">
        <v>1195</v>
      </c>
      <c r="B248" t="s">
        <v>1872</v>
      </c>
      <c r="C248" t="s">
        <v>816</v>
      </c>
      <c r="D248" s="1">
        <v>44896.385416666664</v>
      </c>
      <c r="E248" t="s">
        <v>763</v>
      </c>
      <c r="F248" t="s">
        <v>261</v>
      </c>
      <c r="G248">
        <v>22</v>
      </c>
      <c r="H248">
        <v>44</v>
      </c>
      <c r="I248" t="s">
        <v>732</v>
      </c>
      <c r="J248">
        <v>2022</v>
      </c>
      <c r="K248">
        <v>12</v>
      </c>
      <c r="L248">
        <v>1</v>
      </c>
      <c r="M248">
        <v>9</v>
      </c>
      <c r="N248" s="7">
        <f t="shared" si="21"/>
        <v>66</v>
      </c>
      <c r="O248" s="7" t="str">
        <f t="shared" si="24"/>
        <v>Popular</v>
      </c>
      <c r="P248" s="7" t="str">
        <f t="shared" si="22"/>
        <v>No</v>
      </c>
      <c r="Q248" s="7" t="str">
        <f t="shared" si="23"/>
        <v>Wide Reach</v>
      </c>
      <c r="R248" s="7" t="str">
        <f t="shared" si="25"/>
        <v>Morning</v>
      </c>
      <c r="S248" s="7" t="str">
        <f t="shared" si="26"/>
        <v>Asia</v>
      </c>
      <c r="T248" s="30">
        <f t="shared" si="27"/>
        <v>2</v>
      </c>
      <c r="U248" s="6"/>
      <c r="V248" s="6"/>
    </row>
    <row r="249" spans="1:22" x14ac:dyDescent="0.3">
      <c r="A249" t="s">
        <v>1188</v>
      </c>
      <c r="B249" t="s">
        <v>1865</v>
      </c>
      <c r="C249" t="s">
        <v>818</v>
      </c>
      <c r="D249" s="1">
        <v>44530.645833333336</v>
      </c>
      <c r="E249" t="s">
        <v>762</v>
      </c>
      <c r="F249" t="s">
        <v>262</v>
      </c>
      <c r="G249">
        <v>10</v>
      </c>
      <c r="H249">
        <v>20</v>
      </c>
      <c r="I249" t="s">
        <v>720</v>
      </c>
      <c r="J249">
        <v>2021</v>
      </c>
      <c r="K249">
        <v>11</v>
      </c>
      <c r="L249">
        <v>30</v>
      </c>
      <c r="M249">
        <v>15</v>
      </c>
      <c r="N249" s="7">
        <f t="shared" si="21"/>
        <v>30</v>
      </c>
      <c r="O249" s="7" t="str">
        <f t="shared" si="24"/>
        <v>Normal</v>
      </c>
      <c r="P249" s="7" t="str">
        <f t="shared" si="22"/>
        <v>No</v>
      </c>
      <c r="Q249" s="7" t="str">
        <f t="shared" si="23"/>
        <v>Standard</v>
      </c>
      <c r="R249" s="7" t="str">
        <f t="shared" si="25"/>
        <v>Afternoon</v>
      </c>
      <c r="S249" s="7" t="str">
        <f t="shared" si="26"/>
        <v>North America</v>
      </c>
      <c r="T249" s="30">
        <f t="shared" si="27"/>
        <v>2</v>
      </c>
      <c r="U249" s="6"/>
      <c r="V249" s="6"/>
    </row>
    <row r="250" spans="1:22" x14ac:dyDescent="0.3">
      <c r="A250" t="s">
        <v>1196</v>
      </c>
      <c r="B250" t="s">
        <v>1873</v>
      </c>
      <c r="C250" t="s">
        <v>823</v>
      </c>
      <c r="D250" s="1">
        <v>43293.739583333336</v>
      </c>
      <c r="E250" t="s">
        <v>761</v>
      </c>
      <c r="F250" t="s">
        <v>263</v>
      </c>
      <c r="G250">
        <v>15</v>
      </c>
      <c r="H250">
        <v>30</v>
      </c>
      <c r="I250" t="s">
        <v>30</v>
      </c>
      <c r="J250">
        <v>2018</v>
      </c>
      <c r="K250">
        <v>7</v>
      </c>
      <c r="L250">
        <v>12</v>
      </c>
      <c r="M250">
        <v>17</v>
      </c>
      <c r="N250" s="7">
        <f t="shared" si="21"/>
        <v>45</v>
      </c>
      <c r="O250" s="7" t="str">
        <f t="shared" si="24"/>
        <v>Normal</v>
      </c>
      <c r="P250" s="7" t="str">
        <f t="shared" si="22"/>
        <v>No</v>
      </c>
      <c r="Q250" s="7" t="str">
        <f t="shared" si="23"/>
        <v>Standard</v>
      </c>
      <c r="R250" s="7" t="str">
        <f t="shared" si="25"/>
        <v>Afternoon</v>
      </c>
      <c r="S250" s="7" t="str">
        <f t="shared" si="26"/>
        <v>North America</v>
      </c>
      <c r="T250" s="30">
        <f t="shared" si="27"/>
        <v>2</v>
      </c>
      <c r="U250" s="6"/>
      <c r="V250" s="6"/>
    </row>
    <row r="251" spans="1:22" x14ac:dyDescent="0.3">
      <c r="A251" t="s">
        <v>1197</v>
      </c>
      <c r="B251" t="s">
        <v>1874</v>
      </c>
      <c r="C251" t="s">
        <v>793</v>
      </c>
      <c r="D251" s="1">
        <v>44079.840277777781</v>
      </c>
      <c r="E251" t="s">
        <v>763</v>
      </c>
      <c r="F251" t="s">
        <v>264</v>
      </c>
      <c r="G251">
        <v>18</v>
      </c>
      <c r="H251">
        <v>36</v>
      </c>
      <c r="I251" t="s">
        <v>731</v>
      </c>
      <c r="J251">
        <v>2020</v>
      </c>
      <c r="K251">
        <v>9</v>
      </c>
      <c r="L251">
        <v>5</v>
      </c>
      <c r="M251">
        <v>20</v>
      </c>
      <c r="N251" s="7">
        <f t="shared" si="21"/>
        <v>54</v>
      </c>
      <c r="O251" s="7" t="str">
        <f t="shared" si="24"/>
        <v>Normal</v>
      </c>
      <c r="P251" s="7" t="str">
        <f t="shared" si="22"/>
        <v>No</v>
      </c>
      <c r="Q251" s="7" t="str">
        <f t="shared" si="23"/>
        <v>Standard</v>
      </c>
      <c r="R251" s="7" t="str">
        <f t="shared" si="25"/>
        <v>Evening</v>
      </c>
      <c r="S251" s="7" t="str">
        <f t="shared" si="26"/>
        <v>Oceania</v>
      </c>
      <c r="T251" s="30">
        <f t="shared" si="27"/>
        <v>2</v>
      </c>
      <c r="U251" s="6"/>
      <c r="V251" s="6"/>
    </row>
    <row r="252" spans="1:22" x14ac:dyDescent="0.3">
      <c r="A252" t="s">
        <v>1198</v>
      </c>
      <c r="B252" t="s">
        <v>1875</v>
      </c>
      <c r="C252" t="s">
        <v>824</v>
      </c>
      <c r="D252" s="1">
        <v>44669.333333333336</v>
      </c>
      <c r="E252" t="s">
        <v>762</v>
      </c>
      <c r="F252" t="s">
        <v>265</v>
      </c>
      <c r="G252">
        <v>12</v>
      </c>
      <c r="H252">
        <v>24</v>
      </c>
      <c r="I252" t="s">
        <v>732</v>
      </c>
      <c r="J252">
        <v>2022</v>
      </c>
      <c r="K252">
        <v>4</v>
      </c>
      <c r="L252">
        <v>18</v>
      </c>
      <c r="M252">
        <v>8</v>
      </c>
      <c r="N252" s="7">
        <f t="shared" si="21"/>
        <v>36</v>
      </c>
      <c r="O252" s="7" t="str">
        <f t="shared" si="24"/>
        <v>Normal</v>
      </c>
      <c r="P252" s="7" t="str">
        <f t="shared" si="22"/>
        <v>No</v>
      </c>
      <c r="Q252" s="7" t="str">
        <f t="shared" si="23"/>
        <v>Standard</v>
      </c>
      <c r="R252" s="7" t="str">
        <f t="shared" si="25"/>
        <v>Morning</v>
      </c>
      <c r="S252" s="7" t="str">
        <f t="shared" si="26"/>
        <v>Asia</v>
      </c>
      <c r="T252" s="30">
        <f t="shared" si="27"/>
        <v>2</v>
      </c>
      <c r="U252" s="6"/>
      <c r="V252" s="6"/>
    </row>
    <row r="253" spans="1:22" x14ac:dyDescent="0.3">
      <c r="A253" t="s">
        <v>1199</v>
      </c>
      <c r="B253" t="s">
        <v>1876</v>
      </c>
      <c r="C253" t="s">
        <v>825</v>
      </c>
      <c r="D253" s="1">
        <v>43809.513888888891</v>
      </c>
      <c r="E253" t="s">
        <v>761</v>
      </c>
      <c r="F253" t="s">
        <v>266</v>
      </c>
      <c r="G253">
        <v>25</v>
      </c>
      <c r="H253">
        <v>50</v>
      </c>
      <c r="I253" t="s">
        <v>720</v>
      </c>
      <c r="J253">
        <v>2019</v>
      </c>
      <c r="K253">
        <v>12</v>
      </c>
      <c r="L253">
        <v>10</v>
      </c>
      <c r="M253">
        <v>12</v>
      </c>
      <c r="N253" s="7">
        <f t="shared" si="21"/>
        <v>75</v>
      </c>
      <c r="O253" s="7" t="str">
        <f t="shared" si="24"/>
        <v>Popular</v>
      </c>
      <c r="P253" s="7" t="str">
        <f t="shared" si="22"/>
        <v>No</v>
      </c>
      <c r="Q253" s="7" t="str">
        <f t="shared" si="23"/>
        <v>Wide Reach</v>
      </c>
      <c r="R253" s="7" t="str">
        <f t="shared" si="25"/>
        <v>Afternoon</v>
      </c>
      <c r="S253" s="7" t="str">
        <f t="shared" si="26"/>
        <v>North America</v>
      </c>
      <c r="T253" s="30">
        <f t="shared" si="27"/>
        <v>2</v>
      </c>
      <c r="U253" s="6"/>
      <c r="V253" s="6"/>
    </row>
    <row r="254" spans="1:22" x14ac:dyDescent="0.3">
      <c r="A254" t="s">
        <v>1200</v>
      </c>
      <c r="B254" t="s">
        <v>1877</v>
      </c>
      <c r="C254" t="s">
        <v>826</v>
      </c>
      <c r="D254" s="1">
        <v>44985.40625</v>
      </c>
      <c r="E254" t="s">
        <v>763</v>
      </c>
      <c r="F254" t="s">
        <v>267</v>
      </c>
      <c r="G254">
        <v>20</v>
      </c>
      <c r="H254">
        <v>40</v>
      </c>
      <c r="I254" t="s">
        <v>30</v>
      </c>
      <c r="J254">
        <v>2023</v>
      </c>
      <c r="K254">
        <v>2</v>
      </c>
      <c r="L254">
        <v>28</v>
      </c>
      <c r="M254">
        <v>9</v>
      </c>
      <c r="N254" s="7">
        <f t="shared" si="21"/>
        <v>60</v>
      </c>
      <c r="O254" s="7" t="str">
        <f t="shared" si="24"/>
        <v>Normal</v>
      </c>
      <c r="P254" s="7" t="str">
        <f t="shared" si="22"/>
        <v>No</v>
      </c>
      <c r="Q254" s="7" t="str">
        <f t="shared" si="23"/>
        <v>Standard</v>
      </c>
      <c r="R254" s="7" t="str">
        <f t="shared" si="25"/>
        <v>Morning</v>
      </c>
      <c r="S254" s="7" t="str">
        <f t="shared" si="26"/>
        <v>North America</v>
      </c>
      <c r="T254" s="30">
        <f t="shared" si="27"/>
        <v>2</v>
      </c>
      <c r="U254" s="6"/>
      <c r="V254" s="6"/>
    </row>
    <row r="255" spans="1:22" x14ac:dyDescent="0.3">
      <c r="A255" t="s">
        <v>1163</v>
      </c>
      <c r="B255" t="s">
        <v>1878</v>
      </c>
      <c r="C255" t="s">
        <v>827</v>
      </c>
      <c r="D255" s="1">
        <v>43193.59375</v>
      </c>
      <c r="E255" t="s">
        <v>762</v>
      </c>
      <c r="F255" t="s">
        <v>268</v>
      </c>
      <c r="G255">
        <v>15</v>
      </c>
      <c r="H255">
        <v>30</v>
      </c>
      <c r="I255" t="s">
        <v>722</v>
      </c>
      <c r="J255">
        <v>2018</v>
      </c>
      <c r="K255">
        <v>4</v>
      </c>
      <c r="L255">
        <v>3</v>
      </c>
      <c r="M255">
        <v>14</v>
      </c>
      <c r="N255" s="7">
        <f t="shared" si="21"/>
        <v>45</v>
      </c>
      <c r="O255" s="7" t="str">
        <f t="shared" si="24"/>
        <v>Normal</v>
      </c>
      <c r="P255" s="7" t="str">
        <f t="shared" si="22"/>
        <v>No</v>
      </c>
      <c r="Q255" s="7" t="str">
        <f t="shared" si="23"/>
        <v>Standard</v>
      </c>
      <c r="R255" s="7" t="str">
        <f t="shared" si="25"/>
        <v>Afternoon</v>
      </c>
      <c r="S255" s="7" t="str">
        <f t="shared" si="26"/>
        <v>Europe</v>
      </c>
      <c r="T255" s="30">
        <f t="shared" si="27"/>
        <v>2</v>
      </c>
      <c r="U255" s="6"/>
      <c r="V255" s="6"/>
    </row>
    <row r="256" spans="1:22" x14ac:dyDescent="0.3">
      <c r="A256" t="s">
        <v>1201</v>
      </c>
      <c r="B256" t="s">
        <v>1879</v>
      </c>
      <c r="C256" t="s">
        <v>828</v>
      </c>
      <c r="D256" s="1">
        <v>44732.4375</v>
      </c>
      <c r="E256" t="s">
        <v>761</v>
      </c>
      <c r="F256" t="s">
        <v>269</v>
      </c>
      <c r="G256">
        <v>18</v>
      </c>
      <c r="H256">
        <v>36</v>
      </c>
      <c r="I256" t="s">
        <v>731</v>
      </c>
      <c r="J256">
        <v>2022</v>
      </c>
      <c r="K256">
        <v>6</v>
      </c>
      <c r="L256">
        <v>20</v>
      </c>
      <c r="M256">
        <v>10</v>
      </c>
      <c r="N256" s="7">
        <f t="shared" si="21"/>
        <v>54</v>
      </c>
      <c r="O256" s="7" t="str">
        <f t="shared" si="24"/>
        <v>Normal</v>
      </c>
      <c r="P256" s="7" t="str">
        <f t="shared" si="22"/>
        <v>No</v>
      </c>
      <c r="Q256" s="7" t="str">
        <f t="shared" si="23"/>
        <v>Standard</v>
      </c>
      <c r="R256" s="7" t="str">
        <f t="shared" si="25"/>
        <v>Morning</v>
      </c>
      <c r="S256" s="7" t="str">
        <f t="shared" si="26"/>
        <v>Oceania</v>
      </c>
      <c r="T256" s="30">
        <f t="shared" si="27"/>
        <v>2</v>
      </c>
      <c r="U256" s="6"/>
      <c r="V256" s="6"/>
    </row>
    <row r="257" spans="1:22" x14ac:dyDescent="0.3">
      <c r="A257" t="s">
        <v>1202</v>
      </c>
      <c r="B257" t="s">
        <v>1880</v>
      </c>
      <c r="C257" t="s">
        <v>829</v>
      </c>
      <c r="D257" s="1">
        <v>44020.75</v>
      </c>
      <c r="E257" t="s">
        <v>763</v>
      </c>
      <c r="F257" t="s">
        <v>270</v>
      </c>
      <c r="G257">
        <v>22</v>
      </c>
      <c r="H257">
        <v>44</v>
      </c>
      <c r="I257" t="s">
        <v>720</v>
      </c>
      <c r="J257">
        <v>2020</v>
      </c>
      <c r="K257">
        <v>7</v>
      </c>
      <c r="L257">
        <v>8</v>
      </c>
      <c r="M257">
        <v>18</v>
      </c>
      <c r="N257" s="7">
        <f t="shared" si="21"/>
        <v>66</v>
      </c>
      <c r="O257" s="7" t="str">
        <f t="shared" si="24"/>
        <v>Popular</v>
      </c>
      <c r="P257" s="7" t="str">
        <f t="shared" si="22"/>
        <v>No</v>
      </c>
      <c r="Q257" s="7" t="str">
        <f t="shared" si="23"/>
        <v>Wide Reach</v>
      </c>
      <c r="R257" s="7" t="str">
        <f t="shared" si="25"/>
        <v>Evening</v>
      </c>
      <c r="S257" s="7" t="str">
        <f t="shared" si="26"/>
        <v>North America</v>
      </c>
      <c r="T257" s="30">
        <f t="shared" si="27"/>
        <v>2</v>
      </c>
      <c r="U257" s="6"/>
      <c r="V257" s="6"/>
    </row>
    <row r="258" spans="1:22" x14ac:dyDescent="0.3">
      <c r="A258" t="s">
        <v>1203</v>
      </c>
      <c r="B258" t="s">
        <v>1881</v>
      </c>
      <c r="C258" t="s">
        <v>830</v>
      </c>
      <c r="D258" s="1">
        <v>44423.465277777781</v>
      </c>
      <c r="E258" t="s">
        <v>762</v>
      </c>
      <c r="F258" t="s">
        <v>271</v>
      </c>
      <c r="G258">
        <v>20</v>
      </c>
      <c r="H258">
        <v>40</v>
      </c>
      <c r="I258" t="s">
        <v>732</v>
      </c>
      <c r="J258">
        <v>2021</v>
      </c>
      <c r="K258">
        <v>8</v>
      </c>
      <c r="L258">
        <v>15</v>
      </c>
      <c r="M258">
        <v>11</v>
      </c>
      <c r="N258" s="7">
        <f t="shared" si="21"/>
        <v>60</v>
      </c>
      <c r="O258" s="7" t="str">
        <f t="shared" si="24"/>
        <v>Normal</v>
      </c>
      <c r="P258" s="7" t="str">
        <f t="shared" si="22"/>
        <v>No</v>
      </c>
      <c r="Q258" s="7" t="str">
        <f t="shared" si="23"/>
        <v>Standard</v>
      </c>
      <c r="R258" s="7" t="str">
        <f t="shared" si="25"/>
        <v>Morning</v>
      </c>
      <c r="S258" s="7" t="str">
        <f t="shared" si="26"/>
        <v>Asia</v>
      </c>
      <c r="T258" s="30">
        <f t="shared" si="27"/>
        <v>2</v>
      </c>
      <c r="U258" s="6"/>
      <c r="V258" s="6"/>
    </row>
    <row r="259" spans="1:22" x14ac:dyDescent="0.3">
      <c r="A259" t="s">
        <v>1204</v>
      </c>
      <c r="B259" t="s">
        <v>1882</v>
      </c>
      <c r="C259" t="s">
        <v>831</v>
      </c>
      <c r="D259" s="1">
        <v>43763.701388888891</v>
      </c>
      <c r="E259" t="s">
        <v>761</v>
      </c>
      <c r="F259" t="s">
        <v>272</v>
      </c>
      <c r="G259">
        <v>15</v>
      </c>
      <c r="H259">
        <v>30</v>
      </c>
      <c r="I259" t="s">
        <v>722</v>
      </c>
      <c r="J259">
        <v>2019</v>
      </c>
      <c r="K259">
        <v>10</v>
      </c>
      <c r="L259">
        <v>25</v>
      </c>
      <c r="M259">
        <v>16</v>
      </c>
      <c r="N259" s="7">
        <f t="shared" ref="N259:N322" si="28">SUM(G259,H259)</f>
        <v>45</v>
      </c>
      <c r="O259" s="7" t="str">
        <f t="shared" si="24"/>
        <v>Normal</v>
      </c>
      <c r="P259" s="7" t="str">
        <f t="shared" ref="P259:P322" si="29">IF(AND(G259&gt;25, H259&gt;50), "Yes", "No")</f>
        <v>No</v>
      </c>
      <c r="Q259" s="7" t="str">
        <f t="shared" ref="Q259:Q322" si="30">IF(OR(H259&gt;40,G259&gt;20),"Wide Reach","Standard")</f>
        <v>Standard</v>
      </c>
      <c r="R259" s="7" t="str">
        <f t="shared" si="25"/>
        <v>Afternoon</v>
      </c>
      <c r="S259" s="7" t="str">
        <f t="shared" si="26"/>
        <v>Europe</v>
      </c>
      <c r="T259" s="30">
        <f t="shared" si="27"/>
        <v>2</v>
      </c>
      <c r="U259" s="6"/>
      <c r="V259" s="6"/>
    </row>
    <row r="260" spans="1:22" x14ac:dyDescent="0.3">
      <c r="A260" t="s">
        <v>1205</v>
      </c>
      <c r="B260" t="s">
        <v>1883</v>
      </c>
      <c r="C260" t="s">
        <v>824</v>
      </c>
      <c r="D260" s="1">
        <v>45204.3125</v>
      </c>
      <c r="E260" t="s">
        <v>763</v>
      </c>
      <c r="F260" t="s">
        <v>273</v>
      </c>
      <c r="G260">
        <v>12</v>
      </c>
      <c r="H260">
        <v>24</v>
      </c>
      <c r="I260" t="s">
        <v>30</v>
      </c>
      <c r="J260">
        <v>2023</v>
      </c>
      <c r="K260">
        <v>10</v>
      </c>
      <c r="L260">
        <v>5</v>
      </c>
      <c r="M260">
        <v>7</v>
      </c>
      <c r="N260" s="7">
        <f t="shared" si="28"/>
        <v>36</v>
      </c>
      <c r="O260" s="7" t="str">
        <f t="shared" ref="O260:O323" si="31">IF(N260&gt;60, "Popular", "Normal")</f>
        <v>Normal</v>
      </c>
      <c r="P260" s="7" t="str">
        <f t="shared" si="29"/>
        <v>No</v>
      </c>
      <c r="Q260" s="7" t="str">
        <f t="shared" si="30"/>
        <v>Standard</v>
      </c>
      <c r="R260" s="7" t="str">
        <f t="shared" ref="R260:R323" si="32">IF(M260&gt;17,"Evening",IF(M260&gt;11,"Afternoon",IF(M260&gt;5,"Morning","Night")))</f>
        <v>Morning</v>
      </c>
      <c r="S260" s="7" t="str">
        <f t="shared" ref="S260:S323" si="33">_xlfn.SWITCH(I260,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260" s="30">
        <f t="shared" ref="T260:T323" si="34">IFERROR(H260/G260,"Error")</f>
        <v>2</v>
      </c>
      <c r="U260" s="6"/>
      <c r="V260" s="6"/>
    </row>
    <row r="261" spans="1:22" x14ac:dyDescent="0.3">
      <c r="A261" t="s">
        <v>1206</v>
      </c>
      <c r="B261" t="s">
        <v>1884</v>
      </c>
      <c r="C261" t="s">
        <v>832</v>
      </c>
      <c r="D261" s="1">
        <v>44607.552083333336</v>
      </c>
      <c r="E261" t="s">
        <v>762</v>
      </c>
      <c r="F261" t="s">
        <v>274</v>
      </c>
      <c r="G261">
        <v>25</v>
      </c>
      <c r="H261">
        <v>50</v>
      </c>
      <c r="I261" t="s">
        <v>731</v>
      </c>
      <c r="J261">
        <v>2022</v>
      </c>
      <c r="K261">
        <v>2</v>
      </c>
      <c r="L261">
        <v>15</v>
      </c>
      <c r="M261">
        <v>13</v>
      </c>
      <c r="N261" s="7">
        <f t="shared" si="28"/>
        <v>75</v>
      </c>
      <c r="O261" s="7" t="str">
        <f t="shared" si="31"/>
        <v>Popular</v>
      </c>
      <c r="P261" s="7" t="str">
        <f t="shared" si="29"/>
        <v>No</v>
      </c>
      <c r="Q261" s="7" t="str">
        <f t="shared" si="30"/>
        <v>Wide Reach</v>
      </c>
      <c r="R261" s="7" t="str">
        <f t="shared" si="32"/>
        <v>Afternoon</v>
      </c>
      <c r="S261" s="7" t="str">
        <f t="shared" si="33"/>
        <v>Oceania</v>
      </c>
      <c r="T261" s="30">
        <f t="shared" si="34"/>
        <v>2</v>
      </c>
      <c r="U261" s="6"/>
      <c r="V261" s="6"/>
    </row>
    <row r="262" spans="1:22" x14ac:dyDescent="0.3">
      <c r="A262" t="s">
        <v>1207</v>
      </c>
      <c r="B262" t="s">
        <v>1885</v>
      </c>
      <c r="C262" t="s">
        <v>794</v>
      </c>
      <c r="D262" s="1">
        <v>44324.916666666664</v>
      </c>
      <c r="E262" t="s">
        <v>761</v>
      </c>
      <c r="F262" t="s">
        <v>275</v>
      </c>
      <c r="G262">
        <v>13</v>
      </c>
      <c r="H262">
        <v>26</v>
      </c>
      <c r="I262" t="s">
        <v>720</v>
      </c>
      <c r="J262">
        <v>2021</v>
      </c>
      <c r="K262">
        <v>5</v>
      </c>
      <c r="L262">
        <v>8</v>
      </c>
      <c r="M262">
        <v>22</v>
      </c>
      <c r="N262" s="7">
        <f t="shared" si="28"/>
        <v>39</v>
      </c>
      <c r="O262" s="7" t="str">
        <f t="shared" si="31"/>
        <v>Normal</v>
      </c>
      <c r="P262" s="7" t="str">
        <f t="shared" si="29"/>
        <v>No</v>
      </c>
      <c r="Q262" s="7" t="str">
        <f t="shared" si="30"/>
        <v>Standard</v>
      </c>
      <c r="R262" s="7" t="str">
        <f t="shared" si="32"/>
        <v>Evening</v>
      </c>
      <c r="S262" s="7" t="str">
        <f t="shared" si="33"/>
        <v>North America</v>
      </c>
      <c r="T262" s="30">
        <f t="shared" si="34"/>
        <v>2</v>
      </c>
      <c r="U262" s="6"/>
      <c r="V262" s="6"/>
    </row>
    <row r="263" spans="1:22" x14ac:dyDescent="0.3">
      <c r="A263" t="s">
        <v>1208</v>
      </c>
      <c r="B263" t="s">
        <v>1886</v>
      </c>
      <c r="C263" t="s">
        <v>816</v>
      </c>
      <c r="D263" s="1">
        <v>44164.614583333336</v>
      </c>
      <c r="E263" t="s">
        <v>762</v>
      </c>
      <c r="F263" t="s">
        <v>276</v>
      </c>
      <c r="G263">
        <v>17</v>
      </c>
      <c r="H263">
        <v>34</v>
      </c>
      <c r="I263" t="s">
        <v>30</v>
      </c>
      <c r="J263">
        <v>2020</v>
      </c>
      <c r="K263">
        <v>11</v>
      </c>
      <c r="L263">
        <v>29</v>
      </c>
      <c r="M263">
        <v>14</v>
      </c>
      <c r="N263" s="7">
        <f t="shared" si="28"/>
        <v>51</v>
      </c>
      <c r="O263" s="7" t="str">
        <f t="shared" si="31"/>
        <v>Normal</v>
      </c>
      <c r="P263" s="7" t="str">
        <f t="shared" si="29"/>
        <v>No</v>
      </c>
      <c r="Q263" s="7" t="str">
        <f t="shared" si="30"/>
        <v>Standard</v>
      </c>
      <c r="R263" s="7" t="str">
        <f t="shared" si="32"/>
        <v>Afternoon</v>
      </c>
      <c r="S263" s="7" t="str">
        <f t="shared" si="33"/>
        <v>North America</v>
      </c>
      <c r="T263" s="30">
        <f t="shared" si="34"/>
        <v>2</v>
      </c>
      <c r="U263" s="6"/>
      <c r="V263" s="6"/>
    </row>
    <row r="264" spans="1:22" x14ac:dyDescent="0.3">
      <c r="A264" t="s">
        <v>1209</v>
      </c>
      <c r="B264" t="s">
        <v>1887</v>
      </c>
      <c r="C264" t="s">
        <v>821</v>
      </c>
      <c r="D264" s="1">
        <v>43722.430555555555</v>
      </c>
      <c r="E264" t="s">
        <v>763</v>
      </c>
      <c r="F264" t="s">
        <v>277</v>
      </c>
      <c r="G264">
        <v>14</v>
      </c>
      <c r="H264">
        <v>28</v>
      </c>
      <c r="I264" t="s">
        <v>722</v>
      </c>
      <c r="J264">
        <v>2019</v>
      </c>
      <c r="K264">
        <v>9</v>
      </c>
      <c r="L264">
        <v>14</v>
      </c>
      <c r="M264">
        <v>10</v>
      </c>
      <c r="N264" s="7">
        <f t="shared" si="28"/>
        <v>42</v>
      </c>
      <c r="O264" s="7" t="str">
        <f t="shared" si="31"/>
        <v>Normal</v>
      </c>
      <c r="P264" s="7" t="str">
        <f t="shared" si="29"/>
        <v>No</v>
      </c>
      <c r="Q264" s="7" t="str">
        <f t="shared" si="30"/>
        <v>Standard</v>
      </c>
      <c r="R264" s="7" t="str">
        <f t="shared" si="32"/>
        <v>Morning</v>
      </c>
      <c r="S264" s="7" t="str">
        <f t="shared" si="33"/>
        <v>Europe</v>
      </c>
      <c r="T264" s="30">
        <f t="shared" si="34"/>
        <v>2</v>
      </c>
      <c r="U264" s="6"/>
      <c r="V264" s="6"/>
    </row>
    <row r="265" spans="1:22" x14ac:dyDescent="0.3">
      <c r="A265" t="s">
        <v>1210</v>
      </c>
      <c r="B265" t="s">
        <v>1888</v>
      </c>
      <c r="C265" t="s">
        <v>826</v>
      </c>
      <c r="D265" s="1">
        <v>44632.829861111109</v>
      </c>
      <c r="E265" t="s">
        <v>761</v>
      </c>
      <c r="F265" t="s">
        <v>278</v>
      </c>
      <c r="G265">
        <v>19</v>
      </c>
      <c r="H265">
        <v>38</v>
      </c>
      <c r="I265" t="s">
        <v>731</v>
      </c>
      <c r="J265">
        <v>2022</v>
      </c>
      <c r="K265">
        <v>3</v>
      </c>
      <c r="L265">
        <v>12</v>
      </c>
      <c r="M265">
        <v>19</v>
      </c>
      <c r="N265" s="7">
        <f t="shared" si="28"/>
        <v>57</v>
      </c>
      <c r="O265" s="7" t="str">
        <f t="shared" si="31"/>
        <v>Normal</v>
      </c>
      <c r="P265" s="7" t="str">
        <f t="shared" si="29"/>
        <v>No</v>
      </c>
      <c r="Q265" s="7" t="str">
        <f t="shared" si="30"/>
        <v>Standard</v>
      </c>
      <c r="R265" s="7" t="str">
        <f t="shared" si="32"/>
        <v>Evening</v>
      </c>
      <c r="S265" s="7" t="str">
        <f t="shared" si="33"/>
        <v>Oceania</v>
      </c>
      <c r="T265" s="30">
        <f t="shared" si="34"/>
        <v>2</v>
      </c>
      <c r="U265" s="6"/>
      <c r="V265" s="6"/>
    </row>
    <row r="266" spans="1:22" x14ac:dyDescent="0.3">
      <c r="A266" t="s">
        <v>1211</v>
      </c>
      <c r="B266" t="s">
        <v>1889</v>
      </c>
      <c r="C266" t="s">
        <v>823</v>
      </c>
      <c r="D266" s="1">
        <v>45015.6875</v>
      </c>
      <c r="E266" t="s">
        <v>762</v>
      </c>
      <c r="F266" t="s">
        <v>279</v>
      </c>
      <c r="G266">
        <v>16</v>
      </c>
      <c r="H266">
        <v>32</v>
      </c>
      <c r="I266" t="s">
        <v>732</v>
      </c>
      <c r="J266">
        <v>2023</v>
      </c>
      <c r="K266">
        <v>3</v>
      </c>
      <c r="L266">
        <v>30</v>
      </c>
      <c r="M266">
        <v>16</v>
      </c>
      <c r="N266" s="7">
        <f t="shared" si="28"/>
        <v>48</v>
      </c>
      <c r="O266" s="7" t="str">
        <f t="shared" si="31"/>
        <v>Normal</v>
      </c>
      <c r="P266" s="7" t="str">
        <f t="shared" si="29"/>
        <v>No</v>
      </c>
      <c r="Q266" s="7" t="str">
        <f t="shared" si="30"/>
        <v>Standard</v>
      </c>
      <c r="R266" s="7" t="str">
        <f t="shared" si="32"/>
        <v>Afternoon</v>
      </c>
      <c r="S266" s="7" t="str">
        <f t="shared" si="33"/>
        <v>Asia</v>
      </c>
      <c r="T266" s="30">
        <f t="shared" si="34"/>
        <v>2</v>
      </c>
      <c r="U266" s="6"/>
      <c r="V266" s="6"/>
    </row>
    <row r="267" spans="1:22" x14ac:dyDescent="0.3">
      <c r="A267" t="s">
        <v>1212</v>
      </c>
      <c r="B267" t="s">
        <v>1890</v>
      </c>
      <c r="C267" t="s">
        <v>828</v>
      </c>
      <c r="D267" s="1">
        <v>44378.506944444445</v>
      </c>
      <c r="E267" t="s">
        <v>763</v>
      </c>
      <c r="F267" t="s">
        <v>280</v>
      </c>
      <c r="G267">
        <v>21</v>
      </c>
      <c r="H267">
        <v>42</v>
      </c>
      <c r="I267" t="s">
        <v>720</v>
      </c>
      <c r="J267">
        <v>2021</v>
      </c>
      <c r="K267">
        <v>7</v>
      </c>
      <c r="L267">
        <v>1</v>
      </c>
      <c r="M267">
        <v>12</v>
      </c>
      <c r="N267" s="7">
        <f t="shared" si="28"/>
        <v>63</v>
      </c>
      <c r="O267" s="7" t="str">
        <f t="shared" si="31"/>
        <v>Popular</v>
      </c>
      <c r="P267" s="7" t="str">
        <f t="shared" si="29"/>
        <v>No</v>
      </c>
      <c r="Q267" s="7" t="str">
        <f t="shared" si="30"/>
        <v>Wide Reach</v>
      </c>
      <c r="R267" s="7" t="str">
        <f t="shared" si="32"/>
        <v>Afternoon</v>
      </c>
      <c r="S267" s="7" t="str">
        <f t="shared" si="33"/>
        <v>North America</v>
      </c>
      <c r="T267" s="30">
        <f t="shared" si="34"/>
        <v>2</v>
      </c>
      <c r="U267" s="6"/>
      <c r="V267" s="6"/>
    </row>
    <row r="268" spans="1:22" x14ac:dyDescent="0.3">
      <c r="A268" t="s">
        <v>1213</v>
      </c>
      <c r="B268" t="s">
        <v>1891</v>
      </c>
      <c r="C268" t="s">
        <v>825</v>
      </c>
      <c r="D268" s="1">
        <v>43835.364583333336</v>
      </c>
      <c r="E268" t="s">
        <v>761</v>
      </c>
      <c r="F268" t="s">
        <v>281</v>
      </c>
      <c r="G268">
        <v>23</v>
      </c>
      <c r="H268">
        <v>46</v>
      </c>
      <c r="I268" t="s">
        <v>30</v>
      </c>
      <c r="J268">
        <v>2020</v>
      </c>
      <c r="K268">
        <v>1</v>
      </c>
      <c r="L268">
        <v>5</v>
      </c>
      <c r="M268">
        <v>8</v>
      </c>
      <c r="N268" s="7">
        <f t="shared" si="28"/>
        <v>69</v>
      </c>
      <c r="O268" s="7" t="str">
        <f t="shared" si="31"/>
        <v>Popular</v>
      </c>
      <c r="P268" s="7" t="str">
        <f t="shared" si="29"/>
        <v>No</v>
      </c>
      <c r="Q268" s="7" t="str">
        <f t="shared" si="30"/>
        <v>Wide Reach</v>
      </c>
      <c r="R268" s="7" t="str">
        <f t="shared" si="32"/>
        <v>Morning</v>
      </c>
      <c r="S268" s="7" t="str">
        <f t="shared" si="33"/>
        <v>North America</v>
      </c>
      <c r="T268" s="30">
        <f t="shared" si="34"/>
        <v>2</v>
      </c>
      <c r="U268" s="6"/>
      <c r="V268" s="6"/>
    </row>
    <row r="269" spans="1:22" x14ac:dyDescent="0.3">
      <c r="A269" t="s">
        <v>1214</v>
      </c>
      <c r="B269" t="s">
        <v>1892</v>
      </c>
      <c r="C269" t="s">
        <v>824</v>
      </c>
      <c r="D269" s="1">
        <v>44759.260416666664</v>
      </c>
      <c r="E269" t="s">
        <v>762</v>
      </c>
      <c r="F269" t="s">
        <v>282</v>
      </c>
      <c r="G269">
        <v>14</v>
      </c>
      <c r="H269">
        <v>28</v>
      </c>
      <c r="I269" t="s">
        <v>722</v>
      </c>
      <c r="J269">
        <v>2022</v>
      </c>
      <c r="K269">
        <v>7</v>
      </c>
      <c r="L269">
        <v>17</v>
      </c>
      <c r="M269">
        <v>6</v>
      </c>
      <c r="N269" s="7">
        <f t="shared" si="28"/>
        <v>42</v>
      </c>
      <c r="O269" s="7" t="str">
        <f t="shared" si="31"/>
        <v>Normal</v>
      </c>
      <c r="P269" s="7" t="str">
        <f t="shared" si="29"/>
        <v>No</v>
      </c>
      <c r="Q269" s="7" t="str">
        <f t="shared" si="30"/>
        <v>Standard</v>
      </c>
      <c r="R269" s="7" t="str">
        <f t="shared" si="32"/>
        <v>Morning</v>
      </c>
      <c r="S269" s="7" t="str">
        <f t="shared" si="33"/>
        <v>Europe</v>
      </c>
      <c r="T269" s="30">
        <f t="shared" si="34"/>
        <v>2</v>
      </c>
      <c r="U269" s="6"/>
      <c r="V269" s="6"/>
    </row>
    <row r="270" spans="1:22" x14ac:dyDescent="0.3">
      <c r="A270" t="s">
        <v>1215</v>
      </c>
      <c r="B270" t="s">
        <v>1893</v>
      </c>
      <c r="C270" t="s">
        <v>829</v>
      </c>
      <c r="D270" s="1">
        <v>43334.722222222219</v>
      </c>
      <c r="E270" t="s">
        <v>763</v>
      </c>
      <c r="F270" t="s">
        <v>283</v>
      </c>
      <c r="G270">
        <v>24</v>
      </c>
      <c r="H270">
        <v>48</v>
      </c>
      <c r="I270" t="s">
        <v>731</v>
      </c>
      <c r="J270">
        <v>2018</v>
      </c>
      <c r="K270">
        <v>8</v>
      </c>
      <c r="L270">
        <v>22</v>
      </c>
      <c r="M270">
        <v>17</v>
      </c>
      <c r="N270" s="7">
        <f t="shared" si="28"/>
        <v>72</v>
      </c>
      <c r="O270" s="7" t="str">
        <f t="shared" si="31"/>
        <v>Popular</v>
      </c>
      <c r="P270" s="7" t="str">
        <f t="shared" si="29"/>
        <v>No</v>
      </c>
      <c r="Q270" s="7" t="str">
        <f t="shared" si="30"/>
        <v>Wide Reach</v>
      </c>
      <c r="R270" s="7" t="str">
        <f t="shared" si="32"/>
        <v>Afternoon</v>
      </c>
      <c r="S270" s="7" t="str">
        <f t="shared" si="33"/>
        <v>Oceania</v>
      </c>
      <c r="T270" s="30">
        <f t="shared" si="34"/>
        <v>2</v>
      </c>
      <c r="U270" s="6"/>
      <c r="V270" s="6"/>
    </row>
    <row r="271" spans="1:22" x14ac:dyDescent="0.3">
      <c r="A271" t="s">
        <v>1216</v>
      </c>
      <c r="B271" t="s">
        <v>1894</v>
      </c>
      <c r="C271" t="s">
        <v>831</v>
      </c>
      <c r="D271" s="1">
        <v>44538.604166666664</v>
      </c>
      <c r="E271" t="s">
        <v>761</v>
      </c>
      <c r="F271" t="s">
        <v>284</v>
      </c>
      <c r="G271">
        <v>18</v>
      </c>
      <c r="H271">
        <v>36</v>
      </c>
      <c r="I271" t="s">
        <v>732</v>
      </c>
      <c r="J271">
        <v>2021</v>
      </c>
      <c r="K271">
        <v>12</v>
      </c>
      <c r="L271">
        <v>8</v>
      </c>
      <c r="M271">
        <v>14</v>
      </c>
      <c r="N271" s="7">
        <f t="shared" si="28"/>
        <v>54</v>
      </c>
      <c r="O271" s="7" t="str">
        <f t="shared" si="31"/>
        <v>Normal</v>
      </c>
      <c r="P271" s="7" t="str">
        <f t="shared" si="29"/>
        <v>No</v>
      </c>
      <c r="Q271" s="7" t="str">
        <f t="shared" si="30"/>
        <v>Standard</v>
      </c>
      <c r="R271" s="7" t="str">
        <f t="shared" si="32"/>
        <v>Afternoon</v>
      </c>
      <c r="S271" s="7" t="str">
        <f t="shared" si="33"/>
        <v>Asia</v>
      </c>
      <c r="T271" s="30">
        <f t="shared" si="34"/>
        <v>2</v>
      </c>
      <c r="U271" s="6"/>
      <c r="V271" s="6"/>
    </row>
    <row r="272" spans="1:22" x14ac:dyDescent="0.3">
      <c r="A272" t="s">
        <v>1217</v>
      </c>
      <c r="B272" t="s">
        <v>1895</v>
      </c>
      <c r="C272" t="s">
        <v>793</v>
      </c>
      <c r="D272" s="1">
        <v>43582.409722222219</v>
      </c>
      <c r="E272" t="s">
        <v>762</v>
      </c>
      <c r="F272" t="s">
        <v>285</v>
      </c>
      <c r="G272">
        <v>20</v>
      </c>
      <c r="H272">
        <v>40</v>
      </c>
      <c r="I272" t="s">
        <v>720</v>
      </c>
      <c r="J272">
        <v>2019</v>
      </c>
      <c r="K272">
        <v>4</v>
      </c>
      <c r="L272">
        <v>27</v>
      </c>
      <c r="M272">
        <v>9</v>
      </c>
      <c r="N272" s="7">
        <f t="shared" si="28"/>
        <v>60</v>
      </c>
      <c r="O272" s="7" t="str">
        <f t="shared" si="31"/>
        <v>Normal</v>
      </c>
      <c r="P272" s="7" t="str">
        <f t="shared" si="29"/>
        <v>No</v>
      </c>
      <c r="Q272" s="7" t="str">
        <f t="shared" si="30"/>
        <v>Standard</v>
      </c>
      <c r="R272" s="7" t="str">
        <f t="shared" si="32"/>
        <v>Morning</v>
      </c>
      <c r="S272" s="7" t="str">
        <f t="shared" si="33"/>
        <v>North America</v>
      </c>
      <c r="T272" s="30">
        <f t="shared" si="34"/>
        <v>2</v>
      </c>
      <c r="U272" s="6"/>
      <c r="V272" s="6"/>
    </row>
    <row r="273" spans="1:22" x14ac:dyDescent="0.3">
      <c r="A273" t="s">
        <v>1218</v>
      </c>
      <c r="B273" t="s">
        <v>1896</v>
      </c>
      <c r="C273" t="s">
        <v>827</v>
      </c>
      <c r="D273" s="1">
        <v>45172.902777777781</v>
      </c>
      <c r="E273" t="s">
        <v>763</v>
      </c>
      <c r="F273" t="s">
        <v>286</v>
      </c>
      <c r="G273">
        <v>16</v>
      </c>
      <c r="H273">
        <v>32</v>
      </c>
      <c r="I273" t="s">
        <v>30</v>
      </c>
      <c r="J273">
        <v>2023</v>
      </c>
      <c r="K273">
        <v>9</v>
      </c>
      <c r="L273">
        <v>3</v>
      </c>
      <c r="M273">
        <v>21</v>
      </c>
      <c r="N273" s="7">
        <f t="shared" si="28"/>
        <v>48</v>
      </c>
      <c r="O273" s="7" t="str">
        <f t="shared" si="31"/>
        <v>Normal</v>
      </c>
      <c r="P273" s="7" t="str">
        <f t="shared" si="29"/>
        <v>No</v>
      </c>
      <c r="Q273" s="7" t="str">
        <f t="shared" si="30"/>
        <v>Standard</v>
      </c>
      <c r="R273" s="7" t="str">
        <f t="shared" si="32"/>
        <v>Evening</v>
      </c>
      <c r="S273" s="7" t="str">
        <f t="shared" si="33"/>
        <v>North America</v>
      </c>
      <c r="T273" s="30">
        <f t="shared" si="34"/>
        <v>2</v>
      </c>
      <c r="U273" s="6"/>
      <c r="V273" s="6"/>
    </row>
    <row r="274" spans="1:22" x14ac:dyDescent="0.3">
      <c r="A274" t="s">
        <v>1219</v>
      </c>
      <c r="B274" t="s">
        <v>1897</v>
      </c>
      <c r="C274" t="s">
        <v>830</v>
      </c>
      <c r="D274" s="1">
        <v>43992.420138888891</v>
      </c>
      <c r="E274" t="s">
        <v>761</v>
      </c>
      <c r="F274" t="s">
        <v>287</v>
      </c>
      <c r="G274">
        <v>22</v>
      </c>
      <c r="H274">
        <v>44</v>
      </c>
      <c r="I274" t="s">
        <v>722</v>
      </c>
      <c r="J274">
        <v>2020</v>
      </c>
      <c r="K274">
        <v>6</v>
      </c>
      <c r="L274">
        <v>10</v>
      </c>
      <c r="M274">
        <v>10</v>
      </c>
      <c r="N274" s="7">
        <f t="shared" si="28"/>
        <v>66</v>
      </c>
      <c r="O274" s="7" t="str">
        <f t="shared" si="31"/>
        <v>Popular</v>
      </c>
      <c r="P274" s="7" t="str">
        <f t="shared" si="29"/>
        <v>No</v>
      </c>
      <c r="Q274" s="7" t="str">
        <f t="shared" si="30"/>
        <v>Wide Reach</v>
      </c>
      <c r="R274" s="7" t="str">
        <f t="shared" si="32"/>
        <v>Morning</v>
      </c>
      <c r="S274" s="7" t="str">
        <f t="shared" si="33"/>
        <v>Europe</v>
      </c>
      <c r="T274" s="30">
        <f t="shared" si="34"/>
        <v>2</v>
      </c>
      <c r="U274" s="6"/>
      <c r="V274" s="6"/>
    </row>
    <row r="275" spans="1:22" x14ac:dyDescent="0.3">
      <c r="A275" t="s">
        <v>1220</v>
      </c>
      <c r="B275" t="s">
        <v>1898</v>
      </c>
      <c r="C275" t="s">
        <v>826</v>
      </c>
      <c r="D275" s="1">
        <v>44652.770833333336</v>
      </c>
      <c r="E275" t="s">
        <v>762</v>
      </c>
      <c r="F275" t="s">
        <v>288</v>
      </c>
      <c r="G275">
        <v>19</v>
      </c>
      <c r="H275">
        <v>38</v>
      </c>
      <c r="I275" t="s">
        <v>731</v>
      </c>
      <c r="J275">
        <v>2022</v>
      </c>
      <c r="K275">
        <v>4</v>
      </c>
      <c r="L275">
        <v>1</v>
      </c>
      <c r="M275">
        <v>18</v>
      </c>
      <c r="N275" s="7">
        <f t="shared" si="28"/>
        <v>57</v>
      </c>
      <c r="O275" s="7" t="str">
        <f t="shared" si="31"/>
        <v>Normal</v>
      </c>
      <c r="P275" s="7" t="str">
        <f t="shared" si="29"/>
        <v>No</v>
      </c>
      <c r="Q275" s="7" t="str">
        <f t="shared" si="30"/>
        <v>Standard</v>
      </c>
      <c r="R275" s="7" t="str">
        <f t="shared" si="32"/>
        <v>Evening</v>
      </c>
      <c r="S275" s="7" t="str">
        <f t="shared" si="33"/>
        <v>Oceania</v>
      </c>
      <c r="T275" s="30">
        <f t="shared" si="34"/>
        <v>2</v>
      </c>
      <c r="U275" s="6"/>
      <c r="V275" s="6"/>
    </row>
    <row r="276" spans="1:22" x14ac:dyDescent="0.3">
      <c r="A276" t="s">
        <v>1221</v>
      </c>
      <c r="B276" t="s">
        <v>1899</v>
      </c>
      <c r="C276" t="s">
        <v>832</v>
      </c>
      <c r="D276" s="1">
        <v>44211.541666666664</v>
      </c>
      <c r="E276" t="s">
        <v>763</v>
      </c>
      <c r="F276" t="s">
        <v>289</v>
      </c>
      <c r="G276">
        <v>23</v>
      </c>
      <c r="H276">
        <v>46</v>
      </c>
      <c r="I276" t="s">
        <v>720</v>
      </c>
      <c r="J276">
        <v>2021</v>
      </c>
      <c r="K276">
        <v>1</v>
      </c>
      <c r="L276">
        <v>15</v>
      </c>
      <c r="M276">
        <v>13</v>
      </c>
      <c r="N276" s="7">
        <f t="shared" si="28"/>
        <v>69</v>
      </c>
      <c r="O276" s="7" t="str">
        <f t="shared" si="31"/>
        <v>Popular</v>
      </c>
      <c r="P276" s="7" t="str">
        <f t="shared" si="29"/>
        <v>No</v>
      </c>
      <c r="Q276" s="7" t="str">
        <f t="shared" si="30"/>
        <v>Wide Reach</v>
      </c>
      <c r="R276" s="7" t="str">
        <f t="shared" si="32"/>
        <v>Afternoon</v>
      </c>
      <c r="S276" s="7" t="str">
        <f t="shared" si="33"/>
        <v>North America</v>
      </c>
      <c r="T276" s="30">
        <f t="shared" si="34"/>
        <v>2</v>
      </c>
      <c r="U276" s="6"/>
      <c r="V276" s="6"/>
    </row>
    <row r="277" spans="1:22" x14ac:dyDescent="0.3">
      <c r="A277" t="s">
        <v>1222</v>
      </c>
      <c r="B277" t="s">
        <v>1900</v>
      </c>
      <c r="C277" t="s">
        <v>824</v>
      </c>
      <c r="D277" s="1">
        <v>45052.305555555555</v>
      </c>
      <c r="E277" t="s">
        <v>761</v>
      </c>
      <c r="F277" t="s">
        <v>290</v>
      </c>
      <c r="G277">
        <v>15</v>
      </c>
      <c r="H277">
        <v>30</v>
      </c>
      <c r="I277" t="s">
        <v>732</v>
      </c>
      <c r="J277">
        <v>2023</v>
      </c>
      <c r="K277">
        <v>5</v>
      </c>
      <c r="L277">
        <v>6</v>
      </c>
      <c r="M277">
        <v>7</v>
      </c>
      <c r="N277" s="7">
        <f t="shared" si="28"/>
        <v>45</v>
      </c>
      <c r="O277" s="7" t="str">
        <f t="shared" si="31"/>
        <v>Normal</v>
      </c>
      <c r="P277" s="7" t="str">
        <f t="shared" si="29"/>
        <v>No</v>
      </c>
      <c r="Q277" s="7" t="str">
        <f t="shared" si="30"/>
        <v>Standard</v>
      </c>
      <c r="R277" s="7" t="str">
        <f t="shared" si="32"/>
        <v>Morning</v>
      </c>
      <c r="S277" s="7" t="str">
        <f t="shared" si="33"/>
        <v>Asia</v>
      </c>
      <c r="T277" s="30">
        <f t="shared" si="34"/>
        <v>2</v>
      </c>
      <c r="U277" s="6"/>
      <c r="V277" s="6"/>
    </row>
    <row r="278" spans="1:22" x14ac:dyDescent="0.3">
      <c r="A278" t="s">
        <v>1223</v>
      </c>
      <c r="B278" t="s">
        <v>1901</v>
      </c>
      <c r="C278" t="s">
        <v>829</v>
      </c>
      <c r="D278" s="1">
        <v>43787.635416666664</v>
      </c>
      <c r="E278" t="s">
        <v>762</v>
      </c>
      <c r="F278" t="s">
        <v>291</v>
      </c>
      <c r="G278">
        <v>25</v>
      </c>
      <c r="H278">
        <v>50</v>
      </c>
      <c r="I278" t="s">
        <v>30</v>
      </c>
      <c r="J278">
        <v>2019</v>
      </c>
      <c r="K278">
        <v>11</v>
      </c>
      <c r="L278">
        <v>18</v>
      </c>
      <c r="M278">
        <v>15</v>
      </c>
      <c r="N278" s="7">
        <f t="shared" si="28"/>
        <v>75</v>
      </c>
      <c r="O278" s="7" t="str">
        <f t="shared" si="31"/>
        <v>Popular</v>
      </c>
      <c r="P278" s="7" t="str">
        <f t="shared" si="29"/>
        <v>No</v>
      </c>
      <c r="Q278" s="7" t="str">
        <f t="shared" si="30"/>
        <v>Wide Reach</v>
      </c>
      <c r="R278" s="7" t="str">
        <f t="shared" si="32"/>
        <v>Afternoon</v>
      </c>
      <c r="S278" s="7" t="str">
        <f t="shared" si="33"/>
        <v>North America</v>
      </c>
      <c r="T278" s="30">
        <f t="shared" si="34"/>
        <v>2</v>
      </c>
      <c r="U278" s="6"/>
      <c r="V278" s="6"/>
    </row>
    <row r="279" spans="1:22" x14ac:dyDescent="0.3">
      <c r="A279" t="s">
        <v>1224</v>
      </c>
      <c r="B279" t="s">
        <v>1902</v>
      </c>
      <c r="C279" t="s">
        <v>831</v>
      </c>
      <c r="D279" s="1">
        <v>44072.864583333336</v>
      </c>
      <c r="E279" t="s">
        <v>763</v>
      </c>
      <c r="F279" t="s">
        <v>292</v>
      </c>
      <c r="G279">
        <v>14</v>
      </c>
      <c r="H279">
        <v>28</v>
      </c>
      <c r="I279" t="s">
        <v>722</v>
      </c>
      <c r="J279">
        <v>2020</v>
      </c>
      <c r="K279">
        <v>8</v>
      </c>
      <c r="L279">
        <v>29</v>
      </c>
      <c r="M279">
        <v>20</v>
      </c>
      <c r="N279" s="7">
        <f t="shared" si="28"/>
        <v>42</v>
      </c>
      <c r="O279" s="7" t="str">
        <f t="shared" si="31"/>
        <v>Normal</v>
      </c>
      <c r="P279" s="7" t="str">
        <f t="shared" si="29"/>
        <v>No</v>
      </c>
      <c r="Q279" s="7" t="str">
        <f t="shared" si="30"/>
        <v>Standard</v>
      </c>
      <c r="R279" s="7" t="str">
        <f t="shared" si="32"/>
        <v>Evening</v>
      </c>
      <c r="S279" s="7" t="str">
        <f t="shared" si="33"/>
        <v>Europe</v>
      </c>
      <c r="T279" s="30">
        <f t="shared" si="34"/>
        <v>2</v>
      </c>
      <c r="U279" s="6"/>
      <c r="V279" s="6"/>
    </row>
    <row r="280" spans="1:22" x14ac:dyDescent="0.3">
      <c r="A280" t="s">
        <v>1225</v>
      </c>
      <c r="B280" t="s">
        <v>1903</v>
      </c>
      <c r="C280" t="s">
        <v>824</v>
      </c>
      <c r="D280" s="1">
        <v>44864.486111111109</v>
      </c>
      <c r="E280" t="s">
        <v>761</v>
      </c>
      <c r="F280" t="s">
        <v>293</v>
      </c>
      <c r="G280">
        <v>17</v>
      </c>
      <c r="H280">
        <v>34</v>
      </c>
      <c r="I280" t="s">
        <v>731</v>
      </c>
      <c r="J280">
        <v>2022</v>
      </c>
      <c r="K280">
        <v>10</v>
      </c>
      <c r="L280">
        <v>30</v>
      </c>
      <c r="M280">
        <v>11</v>
      </c>
      <c r="N280" s="7">
        <f t="shared" si="28"/>
        <v>51</v>
      </c>
      <c r="O280" s="7" t="str">
        <f t="shared" si="31"/>
        <v>Normal</v>
      </c>
      <c r="P280" s="7" t="str">
        <f t="shared" si="29"/>
        <v>No</v>
      </c>
      <c r="Q280" s="7" t="str">
        <f t="shared" si="30"/>
        <v>Standard</v>
      </c>
      <c r="R280" s="7" t="str">
        <f t="shared" si="32"/>
        <v>Morning</v>
      </c>
      <c r="S280" s="7" t="str">
        <f t="shared" si="33"/>
        <v>Oceania</v>
      </c>
      <c r="T280" s="30">
        <f t="shared" si="34"/>
        <v>2</v>
      </c>
      <c r="U280" s="6"/>
      <c r="V280" s="6"/>
    </row>
    <row r="281" spans="1:22" x14ac:dyDescent="0.3">
      <c r="A281" t="s">
        <v>1212</v>
      </c>
      <c r="B281" t="s">
        <v>1890</v>
      </c>
      <c r="C281" t="s">
        <v>828</v>
      </c>
      <c r="D281" s="1">
        <v>44378.506944444445</v>
      </c>
      <c r="E281" t="s">
        <v>762</v>
      </c>
      <c r="F281" t="s">
        <v>280</v>
      </c>
      <c r="G281">
        <v>21</v>
      </c>
      <c r="H281">
        <v>42</v>
      </c>
      <c r="I281" t="s">
        <v>720</v>
      </c>
      <c r="J281">
        <v>2021</v>
      </c>
      <c r="K281">
        <v>7</v>
      </c>
      <c r="L281">
        <v>1</v>
      </c>
      <c r="M281">
        <v>12</v>
      </c>
      <c r="N281" s="7">
        <f t="shared" si="28"/>
        <v>63</v>
      </c>
      <c r="O281" s="7" t="str">
        <f t="shared" si="31"/>
        <v>Popular</v>
      </c>
      <c r="P281" s="7" t="str">
        <f t="shared" si="29"/>
        <v>No</v>
      </c>
      <c r="Q281" s="7" t="str">
        <f t="shared" si="30"/>
        <v>Wide Reach</v>
      </c>
      <c r="R281" s="7" t="str">
        <f t="shared" si="32"/>
        <v>Afternoon</v>
      </c>
      <c r="S281" s="7" t="str">
        <f t="shared" si="33"/>
        <v>North America</v>
      </c>
      <c r="T281" s="30">
        <f t="shared" si="34"/>
        <v>2</v>
      </c>
      <c r="U281" s="6"/>
      <c r="V281" s="6"/>
    </row>
    <row r="282" spans="1:22" x14ac:dyDescent="0.3">
      <c r="A282" t="s">
        <v>1213</v>
      </c>
      <c r="B282" t="s">
        <v>1891</v>
      </c>
      <c r="C282" t="s">
        <v>825</v>
      </c>
      <c r="D282" s="1">
        <v>43835.364583333336</v>
      </c>
      <c r="E282" t="s">
        <v>761</v>
      </c>
      <c r="F282" t="s">
        <v>281</v>
      </c>
      <c r="G282">
        <v>23</v>
      </c>
      <c r="H282">
        <v>46</v>
      </c>
      <c r="I282" t="s">
        <v>30</v>
      </c>
      <c r="J282">
        <v>2020</v>
      </c>
      <c r="K282">
        <v>1</v>
      </c>
      <c r="L282">
        <v>5</v>
      </c>
      <c r="M282">
        <v>8</v>
      </c>
      <c r="N282" s="7">
        <f t="shared" si="28"/>
        <v>69</v>
      </c>
      <c r="O282" s="7" t="str">
        <f t="shared" si="31"/>
        <v>Popular</v>
      </c>
      <c r="P282" s="7" t="str">
        <f t="shared" si="29"/>
        <v>No</v>
      </c>
      <c r="Q282" s="7" t="str">
        <f t="shared" si="30"/>
        <v>Wide Reach</v>
      </c>
      <c r="R282" s="7" t="str">
        <f t="shared" si="32"/>
        <v>Morning</v>
      </c>
      <c r="S282" s="7" t="str">
        <f t="shared" si="33"/>
        <v>North America</v>
      </c>
      <c r="T282" s="30">
        <f t="shared" si="34"/>
        <v>2</v>
      </c>
      <c r="U282" s="6"/>
      <c r="V282" s="6"/>
    </row>
    <row r="283" spans="1:22" x14ac:dyDescent="0.3">
      <c r="A283" t="s">
        <v>1214</v>
      </c>
      <c r="B283" t="s">
        <v>1892</v>
      </c>
      <c r="C283" t="s">
        <v>824</v>
      </c>
      <c r="D283" s="1">
        <v>44759.260416666664</v>
      </c>
      <c r="E283" t="s">
        <v>762</v>
      </c>
      <c r="F283" t="s">
        <v>282</v>
      </c>
      <c r="G283">
        <v>14</v>
      </c>
      <c r="H283">
        <v>28</v>
      </c>
      <c r="I283" t="s">
        <v>722</v>
      </c>
      <c r="J283">
        <v>2022</v>
      </c>
      <c r="K283">
        <v>7</v>
      </c>
      <c r="L283">
        <v>17</v>
      </c>
      <c r="M283">
        <v>6</v>
      </c>
      <c r="N283" s="7">
        <f t="shared" si="28"/>
        <v>42</v>
      </c>
      <c r="O283" s="7" t="str">
        <f t="shared" si="31"/>
        <v>Normal</v>
      </c>
      <c r="P283" s="7" t="str">
        <f t="shared" si="29"/>
        <v>No</v>
      </c>
      <c r="Q283" s="7" t="str">
        <f t="shared" si="30"/>
        <v>Standard</v>
      </c>
      <c r="R283" s="7" t="str">
        <f t="shared" si="32"/>
        <v>Morning</v>
      </c>
      <c r="S283" s="7" t="str">
        <f t="shared" si="33"/>
        <v>Europe</v>
      </c>
      <c r="T283" s="30">
        <f t="shared" si="34"/>
        <v>2</v>
      </c>
      <c r="U283" s="6"/>
      <c r="V283" s="6"/>
    </row>
    <row r="284" spans="1:22" x14ac:dyDescent="0.3">
      <c r="A284" t="s">
        <v>1215</v>
      </c>
      <c r="B284" t="s">
        <v>1893</v>
      </c>
      <c r="C284" t="s">
        <v>829</v>
      </c>
      <c r="D284" s="1">
        <v>43334.722222222219</v>
      </c>
      <c r="E284" t="s">
        <v>763</v>
      </c>
      <c r="F284" t="s">
        <v>283</v>
      </c>
      <c r="G284">
        <v>24</v>
      </c>
      <c r="H284">
        <v>48</v>
      </c>
      <c r="I284" t="s">
        <v>731</v>
      </c>
      <c r="J284">
        <v>2018</v>
      </c>
      <c r="K284">
        <v>8</v>
      </c>
      <c r="L284">
        <v>22</v>
      </c>
      <c r="M284">
        <v>17</v>
      </c>
      <c r="N284" s="7">
        <f t="shared" si="28"/>
        <v>72</v>
      </c>
      <c r="O284" s="7" t="str">
        <f t="shared" si="31"/>
        <v>Popular</v>
      </c>
      <c r="P284" s="7" t="str">
        <f t="shared" si="29"/>
        <v>No</v>
      </c>
      <c r="Q284" s="7" t="str">
        <f t="shared" si="30"/>
        <v>Wide Reach</v>
      </c>
      <c r="R284" s="7" t="str">
        <f t="shared" si="32"/>
        <v>Afternoon</v>
      </c>
      <c r="S284" s="7" t="str">
        <f t="shared" si="33"/>
        <v>Oceania</v>
      </c>
      <c r="T284" s="30">
        <f t="shared" si="34"/>
        <v>2</v>
      </c>
      <c r="U284" s="6"/>
      <c r="V284" s="6"/>
    </row>
    <row r="285" spans="1:22" x14ac:dyDescent="0.3">
      <c r="A285" t="s">
        <v>1216</v>
      </c>
      <c r="B285" t="s">
        <v>1894</v>
      </c>
      <c r="C285" t="s">
        <v>831</v>
      </c>
      <c r="D285" s="1">
        <v>44538.604166666664</v>
      </c>
      <c r="E285" t="s">
        <v>761</v>
      </c>
      <c r="F285" t="s">
        <v>284</v>
      </c>
      <c r="G285">
        <v>18</v>
      </c>
      <c r="H285">
        <v>36</v>
      </c>
      <c r="I285" t="s">
        <v>732</v>
      </c>
      <c r="J285">
        <v>2021</v>
      </c>
      <c r="K285">
        <v>12</v>
      </c>
      <c r="L285">
        <v>8</v>
      </c>
      <c r="M285">
        <v>14</v>
      </c>
      <c r="N285" s="7">
        <f t="shared" si="28"/>
        <v>54</v>
      </c>
      <c r="O285" s="7" t="str">
        <f t="shared" si="31"/>
        <v>Normal</v>
      </c>
      <c r="P285" s="7" t="str">
        <f t="shared" si="29"/>
        <v>No</v>
      </c>
      <c r="Q285" s="7" t="str">
        <f t="shared" si="30"/>
        <v>Standard</v>
      </c>
      <c r="R285" s="7" t="str">
        <f t="shared" si="32"/>
        <v>Afternoon</v>
      </c>
      <c r="S285" s="7" t="str">
        <f t="shared" si="33"/>
        <v>Asia</v>
      </c>
      <c r="T285" s="30">
        <f t="shared" si="34"/>
        <v>2</v>
      </c>
      <c r="U285" s="6"/>
      <c r="V285" s="6"/>
    </row>
    <row r="286" spans="1:22" x14ac:dyDescent="0.3">
      <c r="A286" t="s">
        <v>1217</v>
      </c>
      <c r="B286" t="s">
        <v>1895</v>
      </c>
      <c r="C286" t="s">
        <v>793</v>
      </c>
      <c r="D286" s="1">
        <v>43582.409722222219</v>
      </c>
      <c r="E286" t="s">
        <v>762</v>
      </c>
      <c r="F286" t="s">
        <v>285</v>
      </c>
      <c r="G286">
        <v>20</v>
      </c>
      <c r="H286">
        <v>40</v>
      </c>
      <c r="I286" t="s">
        <v>720</v>
      </c>
      <c r="J286">
        <v>2019</v>
      </c>
      <c r="K286">
        <v>4</v>
      </c>
      <c r="L286">
        <v>27</v>
      </c>
      <c r="M286">
        <v>9</v>
      </c>
      <c r="N286" s="7">
        <f t="shared" si="28"/>
        <v>60</v>
      </c>
      <c r="O286" s="7" t="str">
        <f t="shared" si="31"/>
        <v>Normal</v>
      </c>
      <c r="P286" s="7" t="str">
        <f t="shared" si="29"/>
        <v>No</v>
      </c>
      <c r="Q286" s="7" t="str">
        <f t="shared" si="30"/>
        <v>Standard</v>
      </c>
      <c r="R286" s="7" t="str">
        <f t="shared" si="32"/>
        <v>Morning</v>
      </c>
      <c r="S286" s="7" t="str">
        <f t="shared" si="33"/>
        <v>North America</v>
      </c>
      <c r="T286" s="30">
        <f t="shared" si="34"/>
        <v>2</v>
      </c>
      <c r="U286" s="6"/>
      <c r="V286" s="6"/>
    </row>
    <row r="287" spans="1:22" x14ac:dyDescent="0.3">
      <c r="A287" t="s">
        <v>1218</v>
      </c>
      <c r="B287" t="s">
        <v>1896</v>
      </c>
      <c r="C287" t="s">
        <v>827</v>
      </c>
      <c r="D287" s="1">
        <v>45172.902777777781</v>
      </c>
      <c r="E287" t="s">
        <v>763</v>
      </c>
      <c r="F287" t="s">
        <v>286</v>
      </c>
      <c r="G287">
        <v>16</v>
      </c>
      <c r="H287">
        <v>32</v>
      </c>
      <c r="I287" t="s">
        <v>30</v>
      </c>
      <c r="J287">
        <v>2023</v>
      </c>
      <c r="K287">
        <v>9</v>
      </c>
      <c r="L287">
        <v>3</v>
      </c>
      <c r="M287">
        <v>21</v>
      </c>
      <c r="N287" s="7">
        <f t="shared" si="28"/>
        <v>48</v>
      </c>
      <c r="O287" s="7" t="str">
        <f t="shared" si="31"/>
        <v>Normal</v>
      </c>
      <c r="P287" s="7" t="str">
        <f t="shared" si="29"/>
        <v>No</v>
      </c>
      <c r="Q287" s="7" t="str">
        <f t="shared" si="30"/>
        <v>Standard</v>
      </c>
      <c r="R287" s="7" t="str">
        <f t="shared" si="32"/>
        <v>Evening</v>
      </c>
      <c r="S287" s="7" t="str">
        <f t="shared" si="33"/>
        <v>North America</v>
      </c>
      <c r="T287" s="30">
        <f t="shared" si="34"/>
        <v>2</v>
      </c>
      <c r="U287" s="6"/>
      <c r="V287" s="6"/>
    </row>
    <row r="288" spans="1:22" x14ac:dyDescent="0.3">
      <c r="A288" t="s">
        <v>1219</v>
      </c>
      <c r="B288" t="s">
        <v>1897</v>
      </c>
      <c r="C288" t="s">
        <v>830</v>
      </c>
      <c r="D288" s="1">
        <v>43992.420138888891</v>
      </c>
      <c r="E288" t="s">
        <v>761</v>
      </c>
      <c r="F288" t="s">
        <v>287</v>
      </c>
      <c r="G288">
        <v>22</v>
      </c>
      <c r="H288">
        <v>44</v>
      </c>
      <c r="I288" t="s">
        <v>722</v>
      </c>
      <c r="J288">
        <v>2020</v>
      </c>
      <c r="K288">
        <v>6</v>
      </c>
      <c r="L288">
        <v>10</v>
      </c>
      <c r="M288">
        <v>10</v>
      </c>
      <c r="N288" s="7">
        <f t="shared" si="28"/>
        <v>66</v>
      </c>
      <c r="O288" s="7" t="str">
        <f t="shared" si="31"/>
        <v>Popular</v>
      </c>
      <c r="P288" s="7" t="str">
        <f t="shared" si="29"/>
        <v>No</v>
      </c>
      <c r="Q288" s="7" t="str">
        <f t="shared" si="30"/>
        <v>Wide Reach</v>
      </c>
      <c r="R288" s="7" t="str">
        <f t="shared" si="32"/>
        <v>Morning</v>
      </c>
      <c r="S288" s="7" t="str">
        <f t="shared" si="33"/>
        <v>Europe</v>
      </c>
      <c r="T288" s="30">
        <f t="shared" si="34"/>
        <v>2</v>
      </c>
      <c r="U288" s="6"/>
      <c r="V288" s="6"/>
    </row>
    <row r="289" spans="1:22" x14ac:dyDescent="0.3">
      <c r="A289" t="s">
        <v>1220</v>
      </c>
      <c r="B289" t="s">
        <v>1898</v>
      </c>
      <c r="C289" t="s">
        <v>826</v>
      </c>
      <c r="D289" s="1">
        <v>44652.770833333336</v>
      </c>
      <c r="E289" t="s">
        <v>762</v>
      </c>
      <c r="F289" t="s">
        <v>288</v>
      </c>
      <c r="G289">
        <v>19</v>
      </c>
      <c r="H289">
        <v>38</v>
      </c>
      <c r="I289" t="s">
        <v>731</v>
      </c>
      <c r="J289">
        <v>2022</v>
      </c>
      <c r="K289">
        <v>4</v>
      </c>
      <c r="L289">
        <v>1</v>
      </c>
      <c r="M289">
        <v>18</v>
      </c>
      <c r="N289" s="7">
        <f t="shared" si="28"/>
        <v>57</v>
      </c>
      <c r="O289" s="7" t="str">
        <f t="shared" si="31"/>
        <v>Normal</v>
      </c>
      <c r="P289" s="7" t="str">
        <f t="shared" si="29"/>
        <v>No</v>
      </c>
      <c r="Q289" s="7" t="str">
        <f t="shared" si="30"/>
        <v>Standard</v>
      </c>
      <c r="R289" s="7" t="str">
        <f t="shared" si="32"/>
        <v>Evening</v>
      </c>
      <c r="S289" s="7" t="str">
        <f t="shared" si="33"/>
        <v>Oceania</v>
      </c>
      <c r="T289" s="30">
        <f t="shared" si="34"/>
        <v>2</v>
      </c>
      <c r="U289" s="6"/>
      <c r="V289" s="6"/>
    </row>
    <row r="290" spans="1:22" x14ac:dyDescent="0.3">
      <c r="A290" t="s">
        <v>1221</v>
      </c>
      <c r="B290" t="s">
        <v>1899</v>
      </c>
      <c r="C290" t="s">
        <v>832</v>
      </c>
      <c r="D290" s="1">
        <v>44211.541666666664</v>
      </c>
      <c r="E290" t="s">
        <v>763</v>
      </c>
      <c r="F290" t="s">
        <v>289</v>
      </c>
      <c r="G290">
        <v>23</v>
      </c>
      <c r="H290">
        <v>46</v>
      </c>
      <c r="I290" t="s">
        <v>720</v>
      </c>
      <c r="J290">
        <v>2021</v>
      </c>
      <c r="K290">
        <v>1</v>
      </c>
      <c r="L290">
        <v>15</v>
      </c>
      <c r="M290">
        <v>13</v>
      </c>
      <c r="N290" s="7">
        <f t="shared" si="28"/>
        <v>69</v>
      </c>
      <c r="O290" s="7" t="str">
        <f t="shared" si="31"/>
        <v>Popular</v>
      </c>
      <c r="P290" s="7" t="str">
        <f t="shared" si="29"/>
        <v>No</v>
      </c>
      <c r="Q290" s="7" t="str">
        <f t="shared" si="30"/>
        <v>Wide Reach</v>
      </c>
      <c r="R290" s="7" t="str">
        <f t="shared" si="32"/>
        <v>Afternoon</v>
      </c>
      <c r="S290" s="7" t="str">
        <f t="shared" si="33"/>
        <v>North America</v>
      </c>
      <c r="T290" s="30">
        <f t="shared" si="34"/>
        <v>2</v>
      </c>
      <c r="U290" s="6"/>
      <c r="V290" s="6"/>
    </row>
    <row r="291" spans="1:22" x14ac:dyDescent="0.3">
      <c r="A291" t="s">
        <v>1222</v>
      </c>
      <c r="B291" t="s">
        <v>1900</v>
      </c>
      <c r="C291" t="s">
        <v>824</v>
      </c>
      <c r="D291" s="1">
        <v>45052.305555555555</v>
      </c>
      <c r="E291" t="s">
        <v>761</v>
      </c>
      <c r="F291" t="s">
        <v>290</v>
      </c>
      <c r="G291">
        <v>15</v>
      </c>
      <c r="H291">
        <v>30</v>
      </c>
      <c r="I291" t="s">
        <v>732</v>
      </c>
      <c r="J291">
        <v>2023</v>
      </c>
      <c r="K291">
        <v>5</v>
      </c>
      <c r="L291">
        <v>6</v>
      </c>
      <c r="M291">
        <v>7</v>
      </c>
      <c r="N291" s="7">
        <f t="shared" si="28"/>
        <v>45</v>
      </c>
      <c r="O291" s="7" t="str">
        <f t="shared" si="31"/>
        <v>Normal</v>
      </c>
      <c r="P291" s="7" t="str">
        <f t="shared" si="29"/>
        <v>No</v>
      </c>
      <c r="Q291" s="7" t="str">
        <f t="shared" si="30"/>
        <v>Standard</v>
      </c>
      <c r="R291" s="7" t="str">
        <f t="shared" si="32"/>
        <v>Morning</v>
      </c>
      <c r="S291" s="7" t="str">
        <f t="shared" si="33"/>
        <v>Asia</v>
      </c>
      <c r="T291" s="30">
        <f t="shared" si="34"/>
        <v>2</v>
      </c>
      <c r="U291" s="6"/>
      <c r="V291" s="6"/>
    </row>
    <row r="292" spans="1:22" x14ac:dyDescent="0.3">
      <c r="A292" t="s">
        <v>1223</v>
      </c>
      <c r="B292" t="s">
        <v>1901</v>
      </c>
      <c r="C292" t="s">
        <v>829</v>
      </c>
      <c r="D292" s="1">
        <v>43787.635416666664</v>
      </c>
      <c r="E292" t="s">
        <v>762</v>
      </c>
      <c r="F292" t="s">
        <v>291</v>
      </c>
      <c r="G292">
        <v>25</v>
      </c>
      <c r="H292">
        <v>50</v>
      </c>
      <c r="I292" t="s">
        <v>30</v>
      </c>
      <c r="J292">
        <v>2019</v>
      </c>
      <c r="K292">
        <v>11</v>
      </c>
      <c r="L292">
        <v>18</v>
      </c>
      <c r="M292">
        <v>15</v>
      </c>
      <c r="N292" s="7">
        <f t="shared" si="28"/>
        <v>75</v>
      </c>
      <c r="O292" s="7" t="str">
        <f t="shared" si="31"/>
        <v>Popular</v>
      </c>
      <c r="P292" s="7" t="str">
        <f t="shared" si="29"/>
        <v>No</v>
      </c>
      <c r="Q292" s="7" t="str">
        <f t="shared" si="30"/>
        <v>Wide Reach</v>
      </c>
      <c r="R292" s="7" t="str">
        <f t="shared" si="32"/>
        <v>Afternoon</v>
      </c>
      <c r="S292" s="7" t="str">
        <f t="shared" si="33"/>
        <v>North America</v>
      </c>
      <c r="T292" s="30">
        <f t="shared" si="34"/>
        <v>2</v>
      </c>
      <c r="U292" s="6"/>
      <c r="V292" s="6"/>
    </row>
    <row r="293" spans="1:22" x14ac:dyDescent="0.3">
      <c r="A293" t="s">
        <v>1224</v>
      </c>
      <c r="B293" t="s">
        <v>1902</v>
      </c>
      <c r="C293" t="s">
        <v>831</v>
      </c>
      <c r="D293" s="1">
        <v>44072.864583333336</v>
      </c>
      <c r="E293" t="s">
        <v>763</v>
      </c>
      <c r="F293" t="s">
        <v>292</v>
      </c>
      <c r="G293">
        <v>14</v>
      </c>
      <c r="H293">
        <v>28</v>
      </c>
      <c r="I293" t="s">
        <v>722</v>
      </c>
      <c r="J293">
        <v>2020</v>
      </c>
      <c r="K293">
        <v>8</v>
      </c>
      <c r="L293">
        <v>29</v>
      </c>
      <c r="M293">
        <v>20</v>
      </c>
      <c r="N293" s="7">
        <f t="shared" si="28"/>
        <v>42</v>
      </c>
      <c r="O293" s="7" t="str">
        <f t="shared" si="31"/>
        <v>Normal</v>
      </c>
      <c r="P293" s="7" t="str">
        <f t="shared" si="29"/>
        <v>No</v>
      </c>
      <c r="Q293" s="7" t="str">
        <f t="shared" si="30"/>
        <v>Standard</v>
      </c>
      <c r="R293" s="7" t="str">
        <f t="shared" si="32"/>
        <v>Evening</v>
      </c>
      <c r="S293" s="7" t="str">
        <f t="shared" si="33"/>
        <v>Europe</v>
      </c>
      <c r="T293" s="30">
        <f t="shared" si="34"/>
        <v>2</v>
      </c>
      <c r="U293" s="6"/>
      <c r="V293" s="6"/>
    </row>
    <row r="294" spans="1:22" x14ac:dyDescent="0.3">
      <c r="A294" t="s">
        <v>1225</v>
      </c>
      <c r="B294" t="s">
        <v>1903</v>
      </c>
      <c r="C294" t="s">
        <v>824</v>
      </c>
      <c r="D294" s="1">
        <v>44864.486111111109</v>
      </c>
      <c r="E294" t="s">
        <v>761</v>
      </c>
      <c r="F294" t="s">
        <v>293</v>
      </c>
      <c r="G294">
        <v>17</v>
      </c>
      <c r="H294">
        <v>34</v>
      </c>
      <c r="I294" t="s">
        <v>731</v>
      </c>
      <c r="J294">
        <v>2022</v>
      </c>
      <c r="K294">
        <v>10</v>
      </c>
      <c r="L294">
        <v>30</v>
      </c>
      <c r="M294">
        <v>11</v>
      </c>
      <c r="N294" s="7">
        <f t="shared" si="28"/>
        <v>51</v>
      </c>
      <c r="O294" s="7" t="str">
        <f t="shared" si="31"/>
        <v>Normal</v>
      </c>
      <c r="P294" s="7" t="str">
        <f t="shared" si="29"/>
        <v>No</v>
      </c>
      <c r="Q294" s="7" t="str">
        <f t="shared" si="30"/>
        <v>Standard</v>
      </c>
      <c r="R294" s="7" t="str">
        <f t="shared" si="32"/>
        <v>Morning</v>
      </c>
      <c r="S294" s="7" t="str">
        <f t="shared" si="33"/>
        <v>Oceania</v>
      </c>
      <c r="T294" s="30">
        <f t="shared" si="34"/>
        <v>2</v>
      </c>
      <c r="U294" s="6"/>
      <c r="V294" s="6"/>
    </row>
    <row r="295" spans="1:22" x14ac:dyDescent="0.3">
      <c r="A295" t="s">
        <v>1212</v>
      </c>
      <c r="B295" t="s">
        <v>1890</v>
      </c>
      <c r="C295" t="s">
        <v>828</v>
      </c>
      <c r="D295" s="1">
        <v>44378.506944444445</v>
      </c>
      <c r="E295" t="s">
        <v>762</v>
      </c>
      <c r="F295" t="s">
        <v>280</v>
      </c>
      <c r="G295">
        <v>21</v>
      </c>
      <c r="H295">
        <v>42</v>
      </c>
      <c r="I295" t="s">
        <v>720</v>
      </c>
      <c r="J295">
        <v>2021</v>
      </c>
      <c r="K295">
        <v>7</v>
      </c>
      <c r="L295">
        <v>1</v>
      </c>
      <c r="M295">
        <v>12</v>
      </c>
      <c r="N295" s="7">
        <f t="shared" si="28"/>
        <v>63</v>
      </c>
      <c r="O295" s="7" t="str">
        <f t="shared" si="31"/>
        <v>Popular</v>
      </c>
      <c r="P295" s="7" t="str">
        <f t="shared" si="29"/>
        <v>No</v>
      </c>
      <c r="Q295" s="7" t="str">
        <f t="shared" si="30"/>
        <v>Wide Reach</v>
      </c>
      <c r="R295" s="7" t="str">
        <f t="shared" si="32"/>
        <v>Afternoon</v>
      </c>
      <c r="S295" s="7" t="str">
        <f t="shared" si="33"/>
        <v>North America</v>
      </c>
      <c r="T295" s="30">
        <f t="shared" si="34"/>
        <v>2</v>
      </c>
      <c r="U295" s="6"/>
      <c r="V295" s="6"/>
    </row>
    <row r="296" spans="1:22" x14ac:dyDescent="0.3">
      <c r="A296" t="s">
        <v>1213</v>
      </c>
      <c r="B296" t="s">
        <v>1891</v>
      </c>
      <c r="C296" t="s">
        <v>825</v>
      </c>
      <c r="D296" s="1">
        <v>43835.364583333336</v>
      </c>
      <c r="E296" t="s">
        <v>761</v>
      </c>
      <c r="F296" t="s">
        <v>281</v>
      </c>
      <c r="G296">
        <v>23</v>
      </c>
      <c r="H296">
        <v>46</v>
      </c>
      <c r="I296" t="s">
        <v>30</v>
      </c>
      <c r="J296">
        <v>2020</v>
      </c>
      <c r="K296">
        <v>1</v>
      </c>
      <c r="L296">
        <v>5</v>
      </c>
      <c r="M296">
        <v>8</v>
      </c>
      <c r="N296" s="7">
        <f t="shared" si="28"/>
        <v>69</v>
      </c>
      <c r="O296" s="7" t="str">
        <f t="shared" si="31"/>
        <v>Popular</v>
      </c>
      <c r="P296" s="7" t="str">
        <f t="shared" si="29"/>
        <v>No</v>
      </c>
      <c r="Q296" s="7" t="str">
        <f t="shared" si="30"/>
        <v>Wide Reach</v>
      </c>
      <c r="R296" s="7" t="str">
        <f t="shared" si="32"/>
        <v>Morning</v>
      </c>
      <c r="S296" s="7" t="str">
        <f t="shared" si="33"/>
        <v>North America</v>
      </c>
      <c r="T296" s="30">
        <f t="shared" si="34"/>
        <v>2</v>
      </c>
      <c r="U296" s="6"/>
      <c r="V296" s="6"/>
    </row>
    <row r="297" spans="1:22" x14ac:dyDescent="0.3">
      <c r="A297" t="s">
        <v>1214</v>
      </c>
      <c r="B297" t="s">
        <v>1892</v>
      </c>
      <c r="C297" t="s">
        <v>824</v>
      </c>
      <c r="D297" s="1">
        <v>44759.260416666664</v>
      </c>
      <c r="E297" t="s">
        <v>762</v>
      </c>
      <c r="F297" t="s">
        <v>282</v>
      </c>
      <c r="G297">
        <v>14</v>
      </c>
      <c r="H297">
        <v>28</v>
      </c>
      <c r="I297" t="s">
        <v>732</v>
      </c>
      <c r="J297">
        <v>2022</v>
      </c>
      <c r="K297">
        <v>7</v>
      </c>
      <c r="L297">
        <v>17</v>
      </c>
      <c r="M297">
        <v>6</v>
      </c>
      <c r="N297" s="7">
        <f t="shared" si="28"/>
        <v>42</v>
      </c>
      <c r="O297" s="7" t="str">
        <f t="shared" si="31"/>
        <v>Normal</v>
      </c>
      <c r="P297" s="7" t="str">
        <f t="shared" si="29"/>
        <v>No</v>
      </c>
      <c r="Q297" s="7" t="str">
        <f t="shared" si="30"/>
        <v>Standard</v>
      </c>
      <c r="R297" s="7" t="str">
        <f t="shared" si="32"/>
        <v>Morning</v>
      </c>
      <c r="S297" s="7" t="str">
        <f t="shared" si="33"/>
        <v>Asia</v>
      </c>
      <c r="T297" s="30">
        <f t="shared" si="34"/>
        <v>2</v>
      </c>
      <c r="U297" s="6"/>
      <c r="V297" s="6"/>
    </row>
    <row r="298" spans="1:22" x14ac:dyDescent="0.3">
      <c r="A298" t="s">
        <v>1215</v>
      </c>
      <c r="B298" t="s">
        <v>1893</v>
      </c>
      <c r="C298" t="s">
        <v>829</v>
      </c>
      <c r="D298" s="1">
        <v>43334.722222222219</v>
      </c>
      <c r="E298" t="s">
        <v>763</v>
      </c>
      <c r="F298" t="s">
        <v>283</v>
      </c>
      <c r="G298">
        <v>24</v>
      </c>
      <c r="H298">
        <v>48</v>
      </c>
      <c r="I298" t="s">
        <v>731</v>
      </c>
      <c r="J298">
        <v>2018</v>
      </c>
      <c r="K298">
        <v>8</v>
      </c>
      <c r="L298">
        <v>22</v>
      </c>
      <c r="M298">
        <v>17</v>
      </c>
      <c r="N298" s="7">
        <f t="shared" si="28"/>
        <v>72</v>
      </c>
      <c r="O298" s="7" t="str">
        <f t="shared" si="31"/>
        <v>Popular</v>
      </c>
      <c r="P298" s="7" t="str">
        <f t="shared" si="29"/>
        <v>No</v>
      </c>
      <c r="Q298" s="7" t="str">
        <f t="shared" si="30"/>
        <v>Wide Reach</v>
      </c>
      <c r="R298" s="7" t="str">
        <f t="shared" si="32"/>
        <v>Afternoon</v>
      </c>
      <c r="S298" s="7" t="str">
        <f t="shared" si="33"/>
        <v>Oceania</v>
      </c>
      <c r="T298" s="30">
        <f t="shared" si="34"/>
        <v>2</v>
      </c>
      <c r="U298" s="6"/>
      <c r="V298" s="6"/>
    </row>
    <row r="299" spans="1:22" x14ac:dyDescent="0.3">
      <c r="A299" t="s">
        <v>1226</v>
      </c>
      <c r="B299" t="s">
        <v>1904</v>
      </c>
      <c r="C299" t="s">
        <v>804</v>
      </c>
      <c r="D299" s="1">
        <v>44454.666666666664</v>
      </c>
      <c r="E299" t="s">
        <v>762</v>
      </c>
      <c r="F299" t="s">
        <v>294</v>
      </c>
      <c r="G299">
        <v>8</v>
      </c>
      <c r="H299">
        <v>16</v>
      </c>
      <c r="I299" t="s">
        <v>720</v>
      </c>
      <c r="J299">
        <v>2021</v>
      </c>
      <c r="K299">
        <v>9</v>
      </c>
      <c r="L299">
        <v>15</v>
      </c>
      <c r="M299">
        <v>16</v>
      </c>
      <c r="N299" s="7">
        <f t="shared" si="28"/>
        <v>24</v>
      </c>
      <c r="O299" s="7" t="str">
        <f t="shared" si="31"/>
        <v>Normal</v>
      </c>
      <c r="P299" s="7" t="str">
        <f t="shared" si="29"/>
        <v>No</v>
      </c>
      <c r="Q299" s="7" t="str">
        <f t="shared" si="30"/>
        <v>Standard</v>
      </c>
      <c r="R299" s="7" t="str">
        <f t="shared" si="32"/>
        <v>Afternoon</v>
      </c>
      <c r="S299" s="7" t="str">
        <f t="shared" si="33"/>
        <v>North America</v>
      </c>
      <c r="T299" s="30">
        <f t="shared" si="34"/>
        <v>2</v>
      </c>
      <c r="U299" s="6"/>
      <c r="V299" s="6"/>
    </row>
    <row r="300" spans="1:22" x14ac:dyDescent="0.3">
      <c r="A300" t="s">
        <v>1227</v>
      </c>
      <c r="B300" t="s">
        <v>1905</v>
      </c>
      <c r="C300" t="s">
        <v>833</v>
      </c>
      <c r="D300" s="1">
        <v>43532.597222222219</v>
      </c>
      <c r="E300" t="s">
        <v>763</v>
      </c>
      <c r="F300" t="s">
        <v>295</v>
      </c>
      <c r="G300">
        <v>12</v>
      </c>
      <c r="H300">
        <v>24</v>
      </c>
      <c r="I300" t="s">
        <v>722</v>
      </c>
      <c r="J300">
        <v>2019</v>
      </c>
      <c r="K300">
        <v>3</v>
      </c>
      <c r="L300">
        <v>8</v>
      </c>
      <c r="M300">
        <v>14</v>
      </c>
      <c r="N300" s="7">
        <f t="shared" si="28"/>
        <v>36</v>
      </c>
      <c r="O300" s="7" t="str">
        <f t="shared" si="31"/>
        <v>Normal</v>
      </c>
      <c r="P300" s="7" t="str">
        <f t="shared" si="29"/>
        <v>No</v>
      </c>
      <c r="Q300" s="7" t="str">
        <f t="shared" si="30"/>
        <v>Standard</v>
      </c>
      <c r="R300" s="7" t="str">
        <f t="shared" si="32"/>
        <v>Afternoon</v>
      </c>
      <c r="S300" s="7" t="str">
        <f t="shared" si="33"/>
        <v>Europe</v>
      </c>
      <c r="T300" s="30">
        <f t="shared" si="34"/>
        <v>2</v>
      </c>
      <c r="U300" s="6"/>
      <c r="V300" s="6"/>
    </row>
    <row r="301" spans="1:22" x14ac:dyDescent="0.3">
      <c r="A301" t="s">
        <v>1228</v>
      </c>
      <c r="B301" t="s">
        <v>1906</v>
      </c>
      <c r="C301" t="s">
        <v>806</v>
      </c>
      <c r="D301" s="1">
        <v>42936.489583333336</v>
      </c>
      <c r="E301" t="s">
        <v>761</v>
      </c>
      <c r="F301" t="s">
        <v>296</v>
      </c>
      <c r="G301">
        <v>15</v>
      </c>
      <c r="H301">
        <v>30</v>
      </c>
      <c r="I301" t="s">
        <v>30</v>
      </c>
      <c r="J301">
        <v>2017</v>
      </c>
      <c r="K301">
        <v>7</v>
      </c>
      <c r="L301">
        <v>20</v>
      </c>
      <c r="M301">
        <v>11</v>
      </c>
      <c r="N301" s="7">
        <f t="shared" si="28"/>
        <v>45</v>
      </c>
      <c r="O301" s="7" t="str">
        <f t="shared" si="31"/>
        <v>Normal</v>
      </c>
      <c r="P301" s="7" t="str">
        <f t="shared" si="29"/>
        <v>No</v>
      </c>
      <c r="Q301" s="7" t="str">
        <f t="shared" si="30"/>
        <v>Standard</v>
      </c>
      <c r="R301" s="7" t="str">
        <f t="shared" si="32"/>
        <v>Morning</v>
      </c>
      <c r="S301" s="7" t="str">
        <f t="shared" si="33"/>
        <v>North America</v>
      </c>
      <c r="T301" s="30">
        <f t="shared" si="34"/>
        <v>2</v>
      </c>
      <c r="U301" s="6"/>
      <c r="V301" s="6"/>
    </row>
    <row r="302" spans="1:22" x14ac:dyDescent="0.3">
      <c r="A302" t="s">
        <v>1229</v>
      </c>
      <c r="B302" t="s">
        <v>1907</v>
      </c>
      <c r="C302" t="s">
        <v>834</v>
      </c>
      <c r="D302" s="1">
        <v>44137.8125</v>
      </c>
      <c r="E302" t="s">
        <v>762</v>
      </c>
      <c r="F302" t="s">
        <v>297</v>
      </c>
      <c r="G302">
        <v>10</v>
      </c>
      <c r="H302">
        <v>20</v>
      </c>
      <c r="I302" t="s">
        <v>731</v>
      </c>
      <c r="J302">
        <v>2020</v>
      </c>
      <c r="K302">
        <v>11</v>
      </c>
      <c r="L302">
        <v>2</v>
      </c>
      <c r="M302">
        <v>19</v>
      </c>
      <c r="N302" s="7">
        <f t="shared" si="28"/>
        <v>30</v>
      </c>
      <c r="O302" s="7" t="str">
        <f t="shared" si="31"/>
        <v>Normal</v>
      </c>
      <c r="P302" s="7" t="str">
        <f t="shared" si="29"/>
        <v>No</v>
      </c>
      <c r="Q302" s="7" t="str">
        <f t="shared" si="30"/>
        <v>Standard</v>
      </c>
      <c r="R302" s="7" t="str">
        <f t="shared" si="32"/>
        <v>Evening</v>
      </c>
      <c r="S302" s="7" t="str">
        <f t="shared" si="33"/>
        <v>Oceania</v>
      </c>
      <c r="T302" s="30">
        <f t="shared" si="34"/>
        <v>2</v>
      </c>
      <c r="U302" s="6"/>
      <c r="V302" s="6"/>
    </row>
    <row r="303" spans="1:22" x14ac:dyDescent="0.3">
      <c r="A303" t="s">
        <v>1230</v>
      </c>
      <c r="B303" t="s">
        <v>1908</v>
      </c>
      <c r="C303" t="s">
        <v>835</v>
      </c>
      <c r="D303" s="1">
        <v>44693.083333333336</v>
      </c>
      <c r="E303" t="s">
        <v>763</v>
      </c>
      <c r="F303" t="s">
        <v>298</v>
      </c>
      <c r="G303">
        <v>18</v>
      </c>
      <c r="H303">
        <v>36</v>
      </c>
      <c r="I303" t="s">
        <v>732</v>
      </c>
      <c r="J303">
        <v>2022</v>
      </c>
      <c r="K303">
        <v>5</v>
      </c>
      <c r="L303">
        <v>12</v>
      </c>
      <c r="M303">
        <v>2</v>
      </c>
      <c r="N303" s="7">
        <f t="shared" si="28"/>
        <v>54</v>
      </c>
      <c r="O303" s="7" t="str">
        <f t="shared" si="31"/>
        <v>Normal</v>
      </c>
      <c r="P303" s="7" t="str">
        <f t="shared" si="29"/>
        <v>No</v>
      </c>
      <c r="Q303" s="7" t="str">
        <f t="shared" si="30"/>
        <v>Standard</v>
      </c>
      <c r="R303" s="7" t="str">
        <f t="shared" si="32"/>
        <v>Night</v>
      </c>
      <c r="S303" s="7" t="str">
        <f t="shared" si="33"/>
        <v>Asia</v>
      </c>
      <c r="T303" s="30">
        <f t="shared" si="34"/>
        <v>2</v>
      </c>
      <c r="U303" s="6"/>
      <c r="V303" s="6"/>
    </row>
    <row r="304" spans="1:22" x14ac:dyDescent="0.3">
      <c r="A304" t="s">
        <v>1231</v>
      </c>
      <c r="B304" t="s">
        <v>1909</v>
      </c>
      <c r="C304" t="s">
        <v>836</v>
      </c>
      <c r="D304" s="1">
        <v>45024.552083333336</v>
      </c>
      <c r="E304" t="s">
        <v>761</v>
      </c>
      <c r="F304" t="s">
        <v>299</v>
      </c>
      <c r="G304">
        <v>14</v>
      </c>
      <c r="H304">
        <v>28</v>
      </c>
      <c r="I304" t="s">
        <v>722</v>
      </c>
      <c r="J304">
        <v>2023</v>
      </c>
      <c r="K304">
        <v>4</v>
      </c>
      <c r="L304">
        <v>8</v>
      </c>
      <c r="M304">
        <v>13</v>
      </c>
      <c r="N304" s="7">
        <f t="shared" si="28"/>
        <v>42</v>
      </c>
      <c r="O304" s="7" t="str">
        <f t="shared" si="31"/>
        <v>Normal</v>
      </c>
      <c r="P304" s="7" t="str">
        <f t="shared" si="29"/>
        <v>No</v>
      </c>
      <c r="Q304" s="7" t="str">
        <f t="shared" si="30"/>
        <v>Standard</v>
      </c>
      <c r="R304" s="7" t="str">
        <f t="shared" si="32"/>
        <v>Afternoon</v>
      </c>
      <c r="S304" s="7" t="str">
        <f t="shared" si="33"/>
        <v>Europe</v>
      </c>
      <c r="T304" s="30">
        <f t="shared" si="34"/>
        <v>2</v>
      </c>
      <c r="U304" s="6"/>
      <c r="V304" s="6"/>
    </row>
    <row r="305" spans="1:22" x14ac:dyDescent="0.3">
      <c r="A305" t="s">
        <v>1232</v>
      </c>
      <c r="B305" t="s">
        <v>1910</v>
      </c>
      <c r="C305" t="s">
        <v>837</v>
      </c>
      <c r="D305" s="1">
        <v>44372.743055555555</v>
      </c>
      <c r="E305" t="s">
        <v>762</v>
      </c>
      <c r="F305" t="s">
        <v>300</v>
      </c>
      <c r="G305">
        <v>22</v>
      </c>
      <c r="H305">
        <v>44</v>
      </c>
      <c r="I305" t="s">
        <v>720</v>
      </c>
      <c r="J305">
        <v>2021</v>
      </c>
      <c r="K305">
        <v>6</v>
      </c>
      <c r="L305">
        <v>25</v>
      </c>
      <c r="M305">
        <v>17</v>
      </c>
      <c r="N305" s="7">
        <f t="shared" si="28"/>
        <v>66</v>
      </c>
      <c r="O305" s="7" t="str">
        <f t="shared" si="31"/>
        <v>Popular</v>
      </c>
      <c r="P305" s="7" t="str">
        <f t="shared" si="29"/>
        <v>No</v>
      </c>
      <c r="Q305" s="7" t="str">
        <f t="shared" si="30"/>
        <v>Wide Reach</v>
      </c>
      <c r="R305" s="7" t="str">
        <f t="shared" si="32"/>
        <v>Afternoon</v>
      </c>
      <c r="S305" s="7" t="str">
        <f t="shared" si="33"/>
        <v>North America</v>
      </c>
      <c r="T305" s="30">
        <f t="shared" si="34"/>
        <v>2</v>
      </c>
      <c r="U305" s="6"/>
      <c r="V305" s="6"/>
    </row>
    <row r="306" spans="1:22" x14ac:dyDescent="0.3">
      <c r="A306" t="s">
        <v>1233</v>
      </c>
      <c r="B306" t="s">
        <v>1911</v>
      </c>
      <c r="C306" t="s">
        <v>838</v>
      </c>
      <c r="D306" s="1">
        <v>43707.423611111109</v>
      </c>
      <c r="E306" t="s">
        <v>763</v>
      </c>
      <c r="F306" t="s">
        <v>301</v>
      </c>
      <c r="G306">
        <v>16</v>
      </c>
      <c r="H306">
        <v>32</v>
      </c>
      <c r="I306" t="s">
        <v>30</v>
      </c>
      <c r="J306">
        <v>2019</v>
      </c>
      <c r="K306">
        <v>8</v>
      </c>
      <c r="L306">
        <v>30</v>
      </c>
      <c r="M306">
        <v>10</v>
      </c>
      <c r="N306" s="7">
        <f t="shared" si="28"/>
        <v>48</v>
      </c>
      <c r="O306" s="7" t="str">
        <f t="shared" si="31"/>
        <v>Normal</v>
      </c>
      <c r="P306" s="7" t="str">
        <f t="shared" si="29"/>
        <v>No</v>
      </c>
      <c r="Q306" s="7" t="str">
        <f t="shared" si="30"/>
        <v>Standard</v>
      </c>
      <c r="R306" s="7" t="str">
        <f t="shared" si="32"/>
        <v>Morning</v>
      </c>
      <c r="S306" s="7" t="str">
        <f t="shared" si="33"/>
        <v>North America</v>
      </c>
      <c r="T306" s="30">
        <f t="shared" si="34"/>
        <v>2</v>
      </c>
      <c r="U306" s="6"/>
      <c r="V306" s="6"/>
    </row>
    <row r="307" spans="1:22" x14ac:dyDescent="0.3">
      <c r="A307" t="s">
        <v>1234</v>
      </c>
      <c r="B307" t="s">
        <v>1912</v>
      </c>
      <c r="C307" t="s">
        <v>839</v>
      </c>
      <c r="D307" s="1">
        <v>44776.645833333336</v>
      </c>
      <c r="E307" t="s">
        <v>761</v>
      </c>
      <c r="F307" t="s">
        <v>302</v>
      </c>
      <c r="G307">
        <v>25</v>
      </c>
      <c r="H307">
        <v>50</v>
      </c>
      <c r="I307" t="s">
        <v>731</v>
      </c>
      <c r="J307">
        <v>2022</v>
      </c>
      <c r="K307">
        <v>8</v>
      </c>
      <c r="L307">
        <v>3</v>
      </c>
      <c r="M307">
        <v>15</v>
      </c>
      <c r="N307" s="7">
        <f t="shared" si="28"/>
        <v>75</v>
      </c>
      <c r="O307" s="7" t="str">
        <f t="shared" si="31"/>
        <v>Popular</v>
      </c>
      <c r="P307" s="7" t="str">
        <f t="shared" si="29"/>
        <v>No</v>
      </c>
      <c r="Q307" s="7" t="str">
        <f t="shared" si="30"/>
        <v>Wide Reach</v>
      </c>
      <c r="R307" s="7" t="str">
        <f t="shared" si="32"/>
        <v>Afternoon</v>
      </c>
      <c r="S307" s="7" t="str">
        <f t="shared" si="33"/>
        <v>Oceania</v>
      </c>
      <c r="T307" s="30">
        <f t="shared" si="34"/>
        <v>2</v>
      </c>
      <c r="U307" s="6"/>
      <c r="V307" s="6"/>
    </row>
    <row r="308" spans="1:22" x14ac:dyDescent="0.3">
      <c r="A308" t="s">
        <v>1235</v>
      </c>
      <c r="B308" t="s">
        <v>1913</v>
      </c>
      <c r="C308" t="s">
        <v>840</v>
      </c>
      <c r="D308" s="1">
        <v>44182.388888888891</v>
      </c>
      <c r="E308" t="s">
        <v>762</v>
      </c>
      <c r="F308" t="s">
        <v>303</v>
      </c>
      <c r="G308">
        <v>12</v>
      </c>
      <c r="H308">
        <v>24</v>
      </c>
      <c r="I308" t="s">
        <v>732</v>
      </c>
      <c r="J308">
        <v>2020</v>
      </c>
      <c r="K308">
        <v>12</v>
      </c>
      <c r="L308">
        <v>17</v>
      </c>
      <c r="M308">
        <v>9</v>
      </c>
      <c r="N308" s="7">
        <f t="shared" si="28"/>
        <v>36</v>
      </c>
      <c r="O308" s="7" t="str">
        <f t="shared" si="31"/>
        <v>Normal</v>
      </c>
      <c r="P308" s="7" t="str">
        <f t="shared" si="29"/>
        <v>No</v>
      </c>
      <c r="Q308" s="7" t="str">
        <f t="shared" si="30"/>
        <v>Standard</v>
      </c>
      <c r="R308" s="7" t="str">
        <f t="shared" si="32"/>
        <v>Morning</v>
      </c>
      <c r="S308" s="7" t="str">
        <f t="shared" si="33"/>
        <v>Asia</v>
      </c>
      <c r="T308" s="30">
        <f t="shared" si="34"/>
        <v>2</v>
      </c>
      <c r="U308" s="6"/>
      <c r="V308" s="6"/>
    </row>
    <row r="309" spans="1:22" x14ac:dyDescent="0.3">
      <c r="A309" t="s">
        <v>1236</v>
      </c>
      <c r="B309" t="s">
        <v>1914</v>
      </c>
      <c r="C309" t="s">
        <v>841</v>
      </c>
      <c r="D309" s="1">
        <v>44255.947916666664</v>
      </c>
      <c r="E309" t="s">
        <v>763</v>
      </c>
      <c r="F309" t="s">
        <v>304</v>
      </c>
      <c r="G309">
        <v>20</v>
      </c>
      <c r="H309">
        <v>40</v>
      </c>
      <c r="I309" t="s">
        <v>30</v>
      </c>
      <c r="J309">
        <v>2021</v>
      </c>
      <c r="K309">
        <v>2</v>
      </c>
      <c r="L309">
        <v>28</v>
      </c>
      <c r="M309">
        <v>22</v>
      </c>
      <c r="N309" s="7">
        <f t="shared" si="28"/>
        <v>60</v>
      </c>
      <c r="O309" s="7" t="str">
        <f t="shared" si="31"/>
        <v>Normal</v>
      </c>
      <c r="P309" s="7" t="str">
        <f t="shared" si="29"/>
        <v>No</v>
      </c>
      <c r="Q309" s="7" t="str">
        <f t="shared" si="30"/>
        <v>Standard</v>
      </c>
      <c r="R309" s="7" t="str">
        <f t="shared" si="32"/>
        <v>Evening</v>
      </c>
      <c r="S309" s="7" t="str">
        <f t="shared" si="33"/>
        <v>North America</v>
      </c>
      <c r="T309" s="30">
        <f t="shared" si="34"/>
        <v>2</v>
      </c>
      <c r="U309" s="6"/>
      <c r="V309" s="6"/>
    </row>
    <row r="310" spans="1:22" x14ac:dyDescent="0.3">
      <c r="A310" t="s">
        <v>1237</v>
      </c>
      <c r="B310" t="s">
        <v>1915</v>
      </c>
      <c r="C310" t="s">
        <v>842</v>
      </c>
      <c r="D310" s="1">
        <v>43230.583333333336</v>
      </c>
      <c r="E310" t="s">
        <v>761</v>
      </c>
      <c r="F310" t="s">
        <v>305</v>
      </c>
      <c r="G310">
        <v>14</v>
      </c>
      <c r="H310">
        <v>28</v>
      </c>
      <c r="I310" t="s">
        <v>722</v>
      </c>
      <c r="J310">
        <v>2018</v>
      </c>
      <c r="K310">
        <v>5</v>
      </c>
      <c r="L310">
        <v>10</v>
      </c>
      <c r="M310">
        <v>14</v>
      </c>
      <c r="N310" s="7">
        <f t="shared" si="28"/>
        <v>42</v>
      </c>
      <c r="O310" s="7" t="str">
        <f t="shared" si="31"/>
        <v>Normal</v>
      </c>
      <c r="P310" s="7" t="str">
        <f t="shared" si="29"/>
        <v>No</v>
      </c>
      <c r="Q310" s="7" t="str">
        <f t="shared" si="30"/>
        <v>Standard</v>
      </c>
      <c r="R310" s="7" t="str">
        <f t="shared" si="32"/>
        <v>Afternoon</v>
      </c>
      <c r="S310" s="7" t="str">
        <f t="shared" si="33"/>
        <v>Europe</v>
      </c>
      <c r="T310" s="30">
        <f t="shared" si="34"/>
        <v>2</v>
      </c>
      <c r="U310" s="6"/>
      <c r="V310" s="6"/>
    </row>
    <row r="311" spans="1:22" x14ac:dyDescent="0.3">
      <c r="A311" t="s">
        <v>1238</v>
      </c>
      <c r="B311" t="s">
        <v>1916</v>
      </c>
      <c r="C311" t="s">
        <v>840</v>
      </c>
      <c r="D311" s="1">
        <v>44568.465277777781</v>
      </c>
      <c r="E311" t="s">
        <v>762</v>
      </c>
      <c r="F311" t="s">
        <v>306</v>
      </c>
      <c r="G311">
        <v>15</v>
      </c>
      <c r="H311">
        <v>30</v>
      </c>
      <c r="I311" t="s">
        <v>720</v>
      </c>
      <c r="J311">
        <v>2022</v>
      </c>
      <c r="K311">
        <v>1</v>
      </c>
      <c r="L311">
        <v>7</v>
      </c>
      <c r="M311">
        <v>11</v>
      </c>
      <c r="N311" s="7">
        <f t="shared" si="28"/>
        <v>45</v>
      </c>
      <c r="O311" s="7" t="str">
        <f t="shared" si="31"/>
        <v>Normal</v>
      </c>
      <c r="P311" s="7" t="str">
        <f t="shared" si="29"/>
        <v>No</v>
      </c>
      <c r="Q311" s="7" t="str">
        <f t="shared" si="30"/>
        <v>Standard</v>
      </c>
      <c r="R311" s="7" t="str">
        <f t="shared" si="32"/>
        <v>Morning</v>
      </c>
      <c r="S311" s="7" t="str">
        <f t="shared" si="33"/>
        <v>North America</v>
      </c>
      <c r="T311" s="30">
        <f t="shared" si="34"/>
        <v>2</v>
      </c>
      <c r="U311" s="6"/>
      <c r="V311" s="6"/>
    </row>
    <row r="312" spans="1:22" x14ac:dyDescent="0.3">
      <c r="A312" t="s">
        <v>1239</v>
      </c>
      <c r="B312" t="s">
        <v>1917</v>
      </c>
      <c r="C312" t="s">
        <v>806</v>
      </c>
      <c r="D312" s="1">
        <v>43727.145833333336</v>
      </c>
      <c r="E312" t="s">
        <v>763</v>
      </c>
      <c r="F312" t="s">
        <v>307</v>
      </c>
      <c r="G312">
        <v>18</v>
      </c>
      <c r="H312">
        <v>36</v>
      </c>
      <c r="I312" t="s">
        <v>731</v>
      </c>
      <c r="J312">
        <v>2019</v>
      </c>
      <c r="K312">
        <v>9</v>
      </c>
      <c r="L312">
        <v>19</v>
      </c>
      <c r="M312">
        <v>3</v>
      </c>
      <c r="N312" s="7">
        <f t="shared" si="28"/>
        <v>54</v>
      </c>
      <c r="O312" s="7" t="str">
        <f t="shared" si="31"/>
        <v>Normal</v>
      </c>
      <c r="P312" s="7" t="str">
        <f t="shared" si="29"/>
        <v>No</v>
      </c>
      <c r="Q312" s="7" t="str">
        <f t="shared" si="30"/>
        <v>Standard</v>
      </c>
      <c r="R312" s="7" t="str">
        <f t="shared" si="32"/>
        <v>Night</v>
      </c>
      <c r="S312" s="7" t="str">
        <f t="shared" si="33"/>
        <v>Oceania</v>
      </c>
      <c r="T312" s="30">
        <f t="shared" si="34"/>
        <v>2</v>
      </c>
      <c r="U312" s="6"/>
      <c r="V312" s="6"/>
    </row>
    <row r="313" spans="1:22" x14ac:dyDescent="0.3">
      <c r="A313" t="s">
        <v>1240</v>
      </c>
      <c r="B313" t="s">
        <v>1918</v>
      </c>
      <c r="C313" t="s">
        <v>835</v>
      </c>
      <c r="D313" s="1">
        <v>45121.958333333336</v>
      </c>
      <c r="E313" t="s">
        <v>761</v>
      </c>
      <c r="F313" t="s">
        <v>308</v>
      </c>
      <c r="G313">
        <v>13</v>
      </c>
      <c r="H313">
        <v>26</v>
      </c>
      <c r="I313" t="s">
        <v>722</v>
      </c>
      <c r="J313">
        <v>2023</v>
      </c>
      <c r="K313">
        <v>7</v>
      </c>
      <c r="L313">
        <v>14</v>
      </c>
      <c r="M313">
        <v>23</v>
      </c>
      <c r="N313" s="7">
        <f t="shared" si="28"/>
        <v>39</v>
      </c>
      <c r="O313" s="7" t="str">
        <f t="shared" si="31"/>
        <v>Normal</v>
      </c>
      <c r="P313" s="7" t="str">
        <f t="shared" si="29"/>
        <v>No</v>
      </c>
      <c r="Q313" s="7" t="str">
        <f t="shared" si="30"/>
        <v>Standard</v>
      </c>
      <c r="R313" s="7" t="str">
        <f t="shared" si="32"/>
        <v>Evening</v>
      </c>
      <c r="S313" s="7" t="str">
        <f t="shared" si="33"/>
        <v>Europe</v>
      </c>
      <c r="T313" s="30">
        <f t="shared" si="34"/>
        <v>2</v>
      </c>
      <c r="U313" s="6"/>
      <c r="V313" s="6"/>
    </row>
    <row r="314" spans="1:22" x14ac:dyDescent="0.3">
      <c r="A314" t="s">
        <v>1241</v>
      </c>
      <c r="B314" t="s">
        <v>1919</v>
      </c>
      <c r="C314" t="s">
        <v>833</v>
      </c>
      <c r="D314" s="1">
        <v>43926.680555555555</v>
      </c>
      <c r="E314" t="s">
        <v>762</v>
      </c>
      <c r="F314" t="s">
        <v>309</v>
      </c>
      <c r="G314">
        <v>10</v>
      </c>
      <c r="H314">
        <v>20</v>
      </c>
      <c r="I314" t="s">
        <v>732</v>
      </c>
      <c r="J314">
        <v>2020</v>
      </c>
      <c r="K314">
        <v>4</v>
      </c>
      <c r="L314">
        <v>5</v>
      </c>
      <c r="M314">
        <v>16</v>
      </c>
      <c r="N314" s="7">
        <f t="shared" si="28"/>
        <v>30</v>
      </c>
      <c r="O314" s="7" t="str">
        <f t="shared" si="31"/>
        <v>Normal</v>
      </c>
      <c r="P314" s="7" t="str">
        <f t="shared" si="29"/>
        <v>No</v>
      </c>
      <c r="Q314" s="7" t="str">
        <f t="shared" si="30"/>
        <v>Standard</v>
      </c>
      <c r="R314" s="7" t="str">
        <f t="shared" si="32"/>
        <v>Afternoon</v>
      </c>
      <c r="S314" s="7" t="str">
        <f t="shared" si="33"/>
        <v>Asia</v>
      </c>
      <c r="T314" s="30">
        <f t="shared" si="34"/>
        <v>2</v>
      </c>
      <c r="U314" s="6"/>
      <c r="V314" s="6"/>
    </row>
    <row r="315" spans="1:22" x14ac:dyDescent="0.3">
      <c r="A315" t="s">
        <v>1242</v>
      </c>
      <c r="B315" t="s">
        <v>1920</v>
      </c>
      <c r="C315" t="s">
        <v>837</v>
      </c>
      <c r="D315" s="1">
        <v>44529.364583333336</v>
      </c>
      <c r="E315" t="s">
        <v>763</v>
      </c>
      <c r="F315" t="s">
        <v>310</v>
      </c>
      <c r="G315">
        <v>20</v>
      </c>
      <c r="H315">
        <v>40</v>
      </c>
      <c r="I315" t="s">
        <v>30</v>
      </c>
      <c r="J315">
        <v>2021</v>
      </c>
      <c r="K315">
        <v>11</v>
      </c>
      <c r="L315">
        <v>29</v>
      </c>
      <c r="M315">
        <v>8</v>
      </c>
      <c r="N315" s="7">
        <f t="shared" si="28"/>
        <v>60</v>
      </c>
      <c r="O315" s="7" t="str">
        <f t="shared" si="31"/>
        <v>Normal</v>
      </c>
      <c r="P315" s="7" t="str">
        <f t="shared" si="29"/>
        <v>No</v>
      </c>
      <c r="Q315" s="7" t="str">
        <f t="shared" si="30"/>
        <v>Standard</v>
      </c>
      <c r="R315" s="7" t="str">
        <f t="shared" si="32"/>
        <v>Morning</v>
      </c>
      <c r="S315" s="7" t="str">
        <f t="shared" si="33"/>
        <v>North America</v>
      </c>
      <c r="T315" s="30">
        <f t="shared" si="34"/>
        <v>2</v>
      </c>
      <c r="U315" s="6"/>
      <c r="V315" s="6"/>
    </row>
    <row r="316" spans="1:22" x14ac:dyDescent="0.3">
      <c r="A316" t="s">
        <v>1243</v>
      </c>
      <c r="B316" t="s">
        <v>1921</v>
      </c>
      <c r="C316" t="s">
        <v>838</v>
      </c>
      <c r="D316" s="1">
        <v>43811.708333333336</v>
      </c>
      <c r="E316" t="s">
        <v>761</v>
      </c>
      <c r="F316" t="s">
        <v>311</v>
      </c>
      <c r="G316">
        <v>16</v>
      </c>
      <c r="H316">
        <v>32</v>
      </c>
      <c r="I316" t="s">
        <v>731</v>
      </c>
      <c r="J316">
        <v>2019</v>
      </c>
      <c r="K316">
        <v>12</v>
      </c>
      <c r="L316">
        <v>12</v>
      </c>
      <c r="M316">
        <v>17</v>
      </c>
      <c r="N316" s="7">
        <f t="shared" si="28"/>
        <v>48</v>
      </c>
      <c r="O316" s="7" t="str">
        <f t="shared" si="31"/>
        <v>Normal</v>
      </c>
      <c r="P316" s="7" t="str">
        <f t="shared" si="29"/>
        <v>No</v>
      </c>
      <c r="Q316" s="7" t="str">
        <f t="shared" si="30"/>
        <v>Standard</v>
      </c>
      <c r="R316" s="7" t="str">
        <f t="shared" si="32"/>
        <v>Afternoon</v>
      </c>
      <c r="S316" s="7" t="str">
        <f t="shared" si="33"/>
        <v>Oceania</v>
      </c>
      <c r="T316" s="30">
        <f t="shared" si="34"/>
        <v>2</v>
      </c>
      <c r="U316" s="6"/>
      <c r="V316" s="6"/>
    </row>
    <row r="317" spans="1:22" x14ac:dyDescent="0.3">
      <c r="A317" t="s">
        <v>1244</v>
      </c>
      <c r="B317" t="s">
        <v>1922</v>
      </c>
      <c r="C317" t="s">
        <v>839</v>
      </c>
      <c r="D317" s="1">
        <v>44701.618055555555</v>
      </c>
      <c r="E317" t="s">
        <v>762</v>
      </c>
      <c r="F317" t="s">
        <v>312</v>
      </c>
      <c r="G317">
        <v>25</v>
      </c>
      <c r="H317">
        <v>50</v>
      </c>
      <c r="I317" t="s">
        <v>720</v>
      </c>
      <c r="J317">
        <v>2022</v>
      </c>
      <c r="K317">
        <v>5</v>
      </c>
      <c r="L317">
        <v>20</v>
      </c>
      <c r="M317">
        <v>14</v>
      </c>
      <c r="N317" s="7">
        <f t="shared" si="28"/>
        <v>75</v>
      </c>
      <c r="O317" s="7" t="str">
        <f t="shared" si="31"/>
        <v>Popular</v>
      </c>
      <c r="P317" s="7" t="str">
        <f t="shared" si="29"/>
        <v>No</v>
      </c>
      <c r="Q317" s="7" t="str">
        <f t="shared" si="30"/>
        <v>Wide Reach</v>
      </c>
      <c r="R317" s="7" t="str">
        <f t="shared" si="32"/>
        <v>Afternoon</v>
      </c>
      <c r="S317" s="7" t="str">
        <f t="shared" si="33"/>
        <v>North America</v>
      </c>
      <c r="T317" s="30">
        <f t="shared" si="34"/>
        <v>2</v>
      </c>
      <c r="U317" s="6"/>
      <c r="V317" s="6"/>
    </row>
    <row r="318" spans="1:22" x14ac:dyDescent="0.3">
      <c r="A318" t="s">
        <v>1245</v>
      </c>
      <c r="B318" t="s">
        <v>1923</v>
      </c>
      <c r="C318" t="s">
        <v>840</v>
      </c>
      <c r="D318" s="1">
        <v>44077.510416666664</v>
      </c>
      <c r="E318" t="s">
        <v>763</v>
      </c>
      <c r="F318" t="s">
        <v>313</v>
      </c>
      <c r="G318">
        <v>14</v>
      </c>
      <c r="H318">
        <v>28</v>
      </c>
      <c r="I318" t="s">
        <v>722</v>
      </c>
      <c r="J318">
        <v>2020</v>
      </c>
      <c r="K318">
        <v>9</v>
      </c>
      <c r="L318">
        <v>3</v>
      </c>
      <c r="M318">
        <v>12</v>
      </c>
      <c r="N318" s="7">
        <f t="shared" si="28"/>
        <v>42</v>
      </c>
      <c r="O318" s="7" t="str">
        <f t="shared" si="31"/>
        <v>Normal</v>
      </c>
      <c r="P318" s="7" t="str">
        <f t="shared" si="29"/>
        <v>No</v>
      </c>
      <c r="Q318" s="7" t="str">
        <f t="shared" si="30"/>
        <v>Standard</v>
      </c>
      <c r="R318" s="7" t="str">
        <f t="shared" si="32"/>
        <v>Afternoon</v>
      </c>
      <c r="S318" s="7" t="str">
        <f t="shared" si="33"/>
        <v>Europe</v>
      </c>
      <c r="T318" s="30">
        <f t="shared" si="34"/>
        <v>2</v>
      </c>
      <c r="U318" s="6"/>
      <c r="V318" s="6"/>
    </row>
    <row r="319" spans="1:22" x14ac:dyDescent="0.3">
      <c r="A319" t="s">
        <v>1246</v>
      </c>
      <c r="B319" t="s">
        <v>1924</v>
      </c>
      <c r="C319" t="s">
        <v>841</v>
      </c>
      <c r="D319" s="1">
        <v>44237.8125</v>
      </c>
      <c r="E319" t="s">
        <v>761</v>
      </c>
      <c r="F319" t="s">
        <v>314</v>
      </c>
      <c r="G319">
        <v>20</v>
      </c>
      <c r="H319">
        <v>40</v>
      </c>
      <c r="I319" t="s">
        <v>30</v>
      </c>
      <c r="J319">
        <v>2021</v>
      </c>
      <c r="K319">
        <v>2</v>
      </c>
      <c r="L319">
        <v>10</v>
      </c>
      <c r="M319">
        <v>19</v>
      </c>
      <c r="N319" s="7">
        <f t="shared" si="28"/>
        <v>60</v>
      </c>
      <c r="O319" s="7" t="str">
        <f t="shared" si="31"/>
        <v>Normal</v>
      </c>
      <c r="P319" s="7" t="str">
        <f t="shared" si="29"/>
        <v>No</v>
      </c>
      <c r="Q319" s="7" t="str">
        <f t="shared" si="30"/>
        <v>Standard</v>
      </c>
      <c r="R319" s="7" t="str">
        <f t="shared" si="32"/>
        <v>Evening</v>
      </c>
      <c r="S319" s="7" t="str">
        <f t="shared" si="33"/>
        <v>North America</v>
      </c>
      <c r="T319" s="30">
        <f t="shared" si="34"/>
        <v>2</v>
      </c>
      <c r="U319" s="6"/>
      <c r="V319" s="6"/>
    </row>
    <row r="320" spans="1:22" x14ac:dyDescent="0.3">
      <c r="A320" t="s">
        <v>1247</v>
      </c>
      <c r="B320" t="s">
        <v>1925</v>
      </c>
      <c r="C320" t="s">
        <v>842</v>
      </c>
      <c r="D320" s="1">
        <v>43330.611111111109</v>
      </c>
      <c r="E320" t="s">
        <v>762</v>
      </c>
      <c r="F320" t="s">
        <v>315</v>
      </c>
      <c r="G320">
        <v>12</v>
      </c>
      <c r="H320">
        <v>24</v>
      </c>
      <c r="I320" t="s">
        <v>731</v>
      </c>
      <c r="J320">
        <v>2018</v>
      </c>
      <c r="K320">
        <v>8</v>
      </c>
      <c r="L320">
        <v>18</v>
      </c>
      <c r="M320">
        <v>14</v>
      </c>
      <c r="N320" s="7">
        <f t="shared" si="28"/>
        <v>36</v>
      </c>
      <c r="O320" s="7" t="str">
        <f t="shared" si="31"/>
        <v>Normal</v>
      </c>
      <c r="P320" s="7" t="str">
        <f t="shared" si="29"/>
        <v>No</v>
      </c>
      <c r="Q320" s="7" t="str">
        <f t="shared" si="30"/>
        <v>Standard</v>
      </c>
      <c r="R320" s="7" t="str">
        <f t="shared" si="32"/>
        <v>Afternoon</v>
      </c>
      <c r="S320" s="7" t="str">
        <f t="shared" si="33"/>
        <v>Oceania</v>
      </c>
      <c r="T320" s="30">
        <f t="shared" si="34"/>
        <v>2</v>
      </c>
      <c r="U320" s="6"/>
      <c r="V320" s="6"/>
    </row>
    <row r="321" spans="1:22" x14ac:dyDescent="0.3">
      <c r="A321" t="s">
        <v>1248</v>
      </c>
      <c r="B321" t="s">
        <v>1926</v>
      </c>
      <c r="C321" t="s">
        <v>804</v>
      </c>
      <c r="D321" s="1">
        <v>44620.875</v>
      </c>
      <c r="E321" t="s">
        <v>763</v>
      </c>
      <c r="F321" t="s">
        <v>316</v>
      </c>
      <c r="G321">
        <v>8</v>
      </c>
      <c r="H321">
        <v>16</v>
      </c>
      <c r="I321" t="s">
        <v>720</v>
      </c>
      <c r="J321">
        <v>2022</v>
      </c>
      <c r="K321">
        <v>2</v>
      </c>
      <c r="L321">
        <v>28</v>
      </c>
      <c r="M321">
        <v>21</v>
      </c>
      <c r="N321" s="7">
        <f t="shared" si="28"/>
        <v>24</v>
      </c>
      <c r="O321" s="7" t="str">
        <f t="shared" si="31"/>
        <v>Normal</v>
      </c>
      <c r="P321" s="7" t="str">
        <f t="shared" si="29"/>
        <v>No</v>
      </c>
      <c r="Q321" s="7" t="str">
        <f t="shared" si="30"/>
        <v>Standard</v>
      </c>
      <c r="R321" s="7" t="str">
        <f t="shared" si="32"/>
        <v>Evening</v>
      </c>
      <c r="S321" s="7" t="str">
        <f t="shared" si="33"/>
        <v>North America</v>
      </c>
      <c r="T321" s="30">
        <f t="shared" si="34"/>
        <v>2</v>
      </c>
      <c r="U321" s="6"/>
      <c r="V321" s="6"/>
    </row>
    <row r="322" spans="1:22" x14ac:dyDescent="0.3">
      <c r="A322" t="s">
        <v>1249</v>
      </c>
      <c r="B322" t="s">
        <v>1927</v>
      </c>
      <c r="C322" t="s">
        <v>833</v>
      </c>
      <c r="D322" s="1">
        <v>43753.4375</v>
      </c>
      <c r="E322" t="s">
        <v>761</v>
      </c>
      <c r="F322" t="s">
        <v>317</v>
      </c>
      <c r="G322">
        <v>15</v>
      </c>
      <c r="H322">
        <v>30</v>
      </c>
      <c r="I322" t="s">
        <v>722</v>
      </c>
      <c r="J322">
        <v>2019</v>
      </c>
      <c r="K322">
        <v>10</v>
      </c>
      <c r="L322">
        <v>15</v>
      </c>
      <c r="M322">
        <v>10</v>
      </c>
      <c r="N322" s="7">
        <f t="shared" si="28"/>
        <v>45</v>
      </c>
      <c r="O322" s="7" t="str">
        <f t="shared" si="31"/>
        <v>Normal</v>
      </c>
      <c r="P322" s="7" t="str">
        <f t="shared" si="29"/>
        <v>No</v>
      </c>
      <c r="Q322" s="7" t="str">
        <f t="shared" si="30"/>
        <v>Standard</v>
      </c>
      <c r="R322" s="7" t="str">
        <f t="shared" si="32"/>
        <v>Morning</v>
      </c>
      <c r="S322" s="7" t="str">
        <f t="shared" si="33"/>
        <v>Europe</v>
      </c>
      <c r="T322" s="30">
        <f t="shared" si="34"/>
        <v>2</v>
      </c>
      <c r="U322" s="6"/>
      <c r="V322" s="6"/>
    </row>
    <row r="323" spans="1:22" x14ac:dyDescent="0.3">
      <c r="A323" t="s">
        <v>1250</v>
      </c>
      <c r="B323" t="s">
        <v>1928</v>
      </c>
      <c r="C323" t="s">
        <v>806</v>
      </c>
      <c r="D323" s="1">
        <v>43070.784722222219</v>
      </c>
      <c r="E323" t="s">
        <v>762</v>
      </c>
      <c r="F323" t="s">
        <v>318</v>
      </c>
      <c r="G323">
        <v>18</v>
      </c>
      <c r="H323">
        <v>36</v>
      </c>
      <c r="I323" t="s">
        <v>30</v>
      </c>
      <c r="J323">
        <v>2017</v>
      </c>
      <c r="K323">
        <v>12</v>
      </c>
      <c r="L323">
        <v>1</v>
      </c>
      <c r="M323">
        <v>18</v>
      </c>
      <c r="N323" s="7">
        <f t="shared" ref="N323:N386" si="35">SUM(G323,H323)</f>
        <v>54</v>
      </c>
      <c r="O323" s="7" t="str">
        <f t="shared" si="31"/>
        <v>Normal</v>
      </c>
      <c r="P323" s="7" t="str">
        <f t="shared" ref="P323:P386" si="36">IF(AND(G323&gt;25, H323&gt;50), "Yes", "No")</f>
        <v>No</v>
      </c>
      <c r="Q323" s="7" t="str">
        <f t="shared" ref="Q323:Q386" si="37">IF(OR(H323&gt;40,G323&gt;20),"Wide Reach","Standard")</f>
        <v>Standard</v>
      </c>
      <c r="R323" s="7" t="str">
        <f t="shared" si="32"/>
        <v>Evening</v>
      </c>
      <c r="S323" s="7" t="str">
        <f t="shared" si="33"/>
        <v>North America</v>
      </c>
      <c r="T323" s="30">
        <f t="shared" si="34"/>
        <v>2</v>
      </c>
      <c r="U323" s="6"/>
      <c r="V323" s="6"/>
    </row>
    <row r="324" spans="1:22" x14ac:dyDescent="0.3">
      <c r="A324" t="s">
        <v>1251</v>
      </c>
      <c r="B324" t="s">
        <v>1929</v>
      </c>
      <c r="C324" t="s">
        <v>834</v>
      </c>
      <c r="D324" s="1">
        <v>43939.677083333336</v>
      </c>
      <c r="E324" t="s">
        <v>763</v>
      </c>
      <c r="F324" t="s">
        <v>319</v>
      </c>
      <c r="G324">
        <v>10</v>
      </c>
      <c r="H324">
        <v>20</v>
      </c>
      <c r="I324" t="s">
        <v>731</v>
      </c>
      <c r="J324">
        <v>2020</v>
      </c>
      <c r="K324">
        <v>4</v>
      </c>
      <c r="L324">
        <v>18</v>
      </c>
      <c r="M324">
        <v>16</v>
      </c>
      <c r="N324" s="7">
        <f t="shared" si="35"/>
        <v>30</v>
      </c>
      <c r="O324" s="7" t="str">
        <f t="shared" ref="O324:O387" si="38">IF(N324&gt;60, "Popular", "Normal")</f>
        <v>Normal</v>
      </c>
      <c r="P324" s="7" t="str">
        <f t="shared" si="36"/>
        <v>No</v>
      </c>
      <c r="Q324" s="7" t="str">
        <f t="shared" si="37"/>
        <v>Standard</v>
      </c>
      <c r="R324" s="7" t="str">
        <f t="shared" ref="R324:R387" si="39">IF(M324&gt;17,"Evening",IF(M324&gt;11,"Afternoon",IF(M324&gt;5,"Morning","Night")))</f>
        <v>Afternoon</v>
      </c>
      <c r="S324" s="7" t="str">
        <f t="shared" ref="S324:S387" si="40">_xlfn.SWITCH(I324,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Oceania</v>
      </c>
      <c r="T324" s="30">
        <f t="shared" ref="T324:T387" si="41">IFERROR(H324/G324,"Error")</f>
        <v>2</v>
      </c>
      <c r="U324" s="6"/>
      <c r="V324" s="6"/>
    </row>
    <row r="325" spans="1:22" x14ac:dyDescent="0.3">
      <c r="A325" t="s">
        <v>1230</v>
      </c>
      <c r="B325" t="s">
        <v>1930</v>
      </c>
      <c r="C325" t="s">
        <v>835</v>
      </c>
      <c r="D325" s="1">
        <v>44933.145833333336</v>
      </c>
      <c r="E325" t="s">
        <v>761</v>
      </c>
      <c r="F325" t="s">
        <v>320</v>
      </c>
      <c r="G325">
        <v>18</v>
      </c>
      <c r="H325">
        <v>36</v>
      </c>
      <c r="I325" t="s">
        <v>732</v>
      </c>
      <c r="J325">
        <v>2023</v>
      </c>
      <c r="K325">
        <v>1</v>
      </c>
      <c r="L325">
        <v>7</v>
      </c>
      <c r="M325">
        <v>3</v>
      </c>
      <c r="N325" s="7">
        <f t="shared" si="35"/>
        <v>54</v>
      </c>
      <c r="O325" s="7" t="str">
        <f t="shared" si="38"/>
        <v>Normal</v>
      </c>
      <c r="P325" s="7" t="str">
        <f t="shared" si="36"/>
        <v>No</v>
      </c>
      <c r="Q325" s="7" t="str">
        <f t="shared" si="37"/>
        <v>Standard</v>
      </c>
      <c r="R325" s="7" t="str">
        <f t="shared" si="39"/>
        <v>Night</v>
      </c>
      <c r="S325" s="7" t="str">
        <f t="shared" si="40"/>
        <v>Asia</v>
      </c>
      <c r="T325" s="30">
        <f t="shared" si="41"/>
        <v>2</v>
      </c>
      <c r="U325" s="6"/>
      <c r="V325" s="6"/>
    </row>
    <row r="326" spans="1:22" x14ac:dyDescent="0.3">
      <c r="A326" t="s">
        <v>1222</v>
      </c>
      <c r="B326" t="s">
        <v>1931</v>
      </c>
      <c r="C326" t="s">
        <v>836</v>
      </c>
      <c r="D326" s="1">
        <v>44357.416666666664</v>
      </c>
      <c r="E326" t="s">
        <v>762</v>
      </c>
      <c r="F326" t="s">
        <v>321</v>
      </c>
      <c r="G326">
        <v>14</v>
      </c>
      <c r="H326">
        <v>28</v>
      </c>
      <c r="I326" t="s">
        <v>720</v>
      </c>
      <c r="J326">
        <v>2021</v>
      </c>
      <c r="K326">
        <v>6</v>
      </c>
      <c r="L326">
        <v>10</v>
      </c>
      <c r="M326">
        <v>10</v>
      </c>
      <c r="N326" s="7">
        <f t="shared" si="35"/>
        <v>42</v>
      </c>
      <c r="O326" s="7" t="str">
        <f t="shared" si="38"/>
        <v>Normal</v>
      </c>
      <c r="P326" s="7" t="str">
        <f t="shared" si="36"/>
        <v>No</v>
      </c>
      <c r="Q326" s="7" t="str">
        <f t="shared" si="37"/>
        <v>Standard</v>
      </c>
      <c r="R326" s="7" t="str">
        <f t="shared" si="39"/>
        <v>Morning</v>
      </c>
      <c r="S326" s="7" t="str">
        <f t="shared" si="40"/>
        <v>North America</v>
      </c>
      <c r="T326" s="30">
        <f t="shared" si="41"/>
        <v>2</v>
      </c>
      <c r="U326" s="6"/>
      <c r="V326" s="6"/>
    </row>
    <row r="327" spans="1:22" x14ac:dyDescent="0.3">
      <c r="A327" t="s">
        <v>1252</v>
      </c>
      <c r="B327" t="s">
        <v>1932</v>
      </c>
      <c r="C327" t="s">
        <v>837</v>
      </c>
      <c r="D327" s="1">
        <v>43883.638888888891</v>
      </c>
      <c r="E327" t="s">
        <v>763</v>
      </c>
      <c r="F327" t="s">
        <v>322</v>
      </c>
      <c r="G327">
        <v>22</v>
      </c>
      <c r="H327">
        <v>44</v>
      </c>
      <c r="I327" t="s">
        <v>30</v>
      </c>
      <c r="J327">
        <v>2020</v>
      </c>
      <c r="K327">
        <v>2</v>
      </c>
      <c r="L327">
        <v>22</v>
      </c>
      <c r="M327">
        <v>15</v>
      </c>
      <c r="N327" s="7">
        <f t="shared" si="35"/>
        <v>66</v>
      </c>
      <c r="O327" s="7" t="str">
        <f t="shared" si="38"/>
        <v>Popular</v>
      </c>
      <c r="P327" s="7" t="str">
        <f t="shared" si="36"/>
        <v>No</v>
      </c>
      <c r="Q327" s="7" t="str">
        <f t="shared" si="37"/>
        <v>Wide Reach</v>
      </c>
      <c r="R327" s="7" t="str">
        <f t="shared" si="39"/>
        <v>Afternoon</v>
      </c>
      <c r="S327" s="7" t="str">
        <f t="shared" si="40"/>
        <v>North America</v>
      </c>
      <c r="T327" s="30">
        <f t="shared" si="41"/>
        <v>2</v>
      </c>
      <c r="U327" s="6"/>
      <c r="V327" s="6"/>
    </row>
    <row r="328" spans="1:22" x14ac:dyDescent="0.3">
      <c r="A328" t="s">
        <v>1253</v>
      </c>
      <c r="B328" t="s">
        <v>1933</v>
      </c>
      <c r="C328" t="s">
        <v>838</v>
      </c>
      <c r="D328" s="1">
        <v>43176.614583333336</v>
      </c>
      <c r="E328" t="s">
        <v>761</v>
      </c>
      <c r="F328" t="s">
        <v>323</v>
      </c>
      <c r="G328">
        <v>16</v>
      </c>
      <c r="H328">
        <v>32</v>
      </c>
      <c r="I328" t="s">
        <v>722</v>
      </c>
      <c r="J328">
        <v>2018</v>
      </c>
      <c r="K328">
        <v>3</v>
      </c>
      <c r="L328">
        <v>17</v>
      </c>
      <c r="M328">
        <v>14</v>
      </c>
      <c r="N328" s="7">
        <f t="shared" si="35"/>
        <v>48</v>
      </c>
      <c r="O328" s="7" t="str">
        <f t="shared" si="38"/>
        <v>Normal</v>
      </c>
      <c r="P328" s="7" t="str">
        <f t="shared" si="36"/>
        <v>No</v>
      </c>
      <c r="Q328" s="7" t="str">
        <f t="shared" si="37"/>
        <v>Standard</v>
      </c>
      <c r="R328" s="7" t="str">
        <f t="shared" si="39"/>
        <v>Afternoon</v>
      </c>
      <c r="S328" s="7" t="str">
        <f t="shared" si="40"/>
        <v>Europe</v>
      </c>
      <c r="T328" s="30">
        <f t="shared" si="41"/>
        <v>2</v>
      </c>
      <c r="U328" s="6"/>
      <c r="V328" s="6"/>
    </row>
    <row r="329" spans="1:22" x14ac:dyDescent="0.3">
      <c r="A329" t="s">
        <v>1254</v>
      </c>
      <c r="B329" t="s">
        <v>1934</v>
      </c>
      <c r="C329" t="s">
        <v>839</v>
      </c>
      <c r="D329" s="1">
        <v>44862.46875</v>
      </c>
      <c r="E329" t="s">
        <v>762</v>
      </c>
      <c r="F329" t="s">
        <v>324</v>
      </c>
      <c r="G329">
        <v>25</v>
      </c>
      <c r="H329">
        <v>50</v>
      </c>
      <c r="I329" t="s">
        <v>731</v>
      </c>
      <c r="J329">
        <v>2022</v>
      </c>
      <c r="K329">
        <v>10</v>
      </c>
      <c r="L329">
        <v>28</v>
      </c>
      <c r="M329">
        <v>11</v>
      </c>
      <c r="N329" s="7">
        <f t="shared" si="35"/>
        <v>75</v>
      </c>
      <c r="O329" s="7" t="str">
        <f t="shared" si="38"/>
        <v>Popular</v>
      </c>
      <c r="P329" s="7" t="str">
        <f t="shared" si="36"/>
        <v>No</v>
      </c>
      <c r="Q329" s="7" t="str">
        <f t="shared" si="37"/>
        <v>Wide Reach</v>
      </c>
      <c r="R329" s="7" t="str">
        <f t="shared" si="39"/>
        <v>Morning</v>
      </c>
      <c r="S329" s="7" t="str">
        <f t="shared" si="40"/>
        <v>Oceania</v>
      </c>
      <c r="T329" s="30">
        <f t="shared" si="41"/>
        <v>2</v>
      </c>
      <c r="U329" s="6"/>
      <c r="V329" s="6"/>
    </row>
    <row r="330" spans="1:22" x14ac:dyDescent="0.3">
      <c r="A330" t="s">
        <v>1255</v>
      </c>
      <c r="B330" t="s">
        <v>1935</v>
      </c>
      <c r="C330" t="s">
        <v>840</v>
      </c>
      <c r="D330" s="1">
        <v>44136.520833333336</v>
      </c>
      <c r="E330" t="s">
        <v>763</v>
      </c>
      <c r="F330" t="s">
        <v>325</v>
      </c>
      <c r="G330">
        <v>14</v>
      </c>
      <c r="H330">
        <v>28</v>
      </c>
      <c r="I330" t="s">
        <v>732</v>
      </c>
      <c r="J330">
        <v>2020</v>
      </c>
      <c r="K330">
        <v>11</v>
      </c>
      <c r="L330">
        <v>1</v>
      </c>
      <c r="M330">
        <v>12</v>
      </c>
      <c r="N330" s="7">
        <f t="shared" si="35"/>
        <v>42</v>
      </c>
      <c r="O330" s="7" t="str">
        <f t="shared" si="38"/>
        <v>Normal</v>
      </c>
      <c r="P330" s="7" t="str">
        <f t="shared" si="36"/>
        <v>No</v>
      </c>
      <c r="Q330" s="7" t="str">
        <f t="shared" si="37"/>
        <v>Standard</v>
      </c>
      <c r="R330" s="7" t="str">
        <f t="shared" si="39"/>
        <v>Afternoon</v>
      </c>
      <c r="S330" s="7" t="str">
        <f t="shared" si="40"/>
        <v>Asia</v>
      </c>
      <c r="T330" s="30">
        <f t="shared" si="41"/>
        <v>2</v>
      </c>
      <c r="U330" s="6"/>
      <c r="V330" s="6"/>
    </row>
    <row r="331" spans="1:22" x14ac:dyDescent="0.3">
      <c r="A331" t="s">
        <v>1256</v>
      </c>
      <c r="B331" t="s">
        <v>1936</v>
      </c>
      <c r="C331" t="s">
        <v>841</v>
      </c>
      <c r="D331" s="1">
        <v>44211.923611111109</v>
      </c>
      <c r="E331" t="s">
        <v>761</v>
      </c>
      <c r="F331" t="s">
        <v>326</v>
      </c>
      <c r="G331">
        <v>20</v>
      </c>
      <c r="H331">
        <v>40</v>
      </c>
      <c r="I331" t="s">
        <v>30</v>
      </c>
      <c r="J331">
        <v>2021</v>
      </c>
      <c r="K331">
        <v>1</v>
      </c>
      <c r="L331">
        <v>15</v>
      </c>
      <c r="M331">
        <v>22</v>
      </c>
      <c r="N331" s="7">
        <f t="shared" si="35"/>
        <v>60</v>
      </c>
      <c r="O331" s="7" t="str">
        <f t="shared" si="38"/>
        <v>Normal</v>
      </c>
      <c r="P331" s="7" t="str">
        <f t="shared" si="36"/>
        <v>No</v>
      </c>
      <c r="Q331" s="7" t="str">
        <f t="shared" si="37"/>
        <v>Standard</v>
      </c>
      <c r="R331" s="7" t="str">
        <f t="shared" si="39"/>
        <v>Evening</v>
      </c>
      <c r="S331" s="7" t="str">
        <f t="shared" si="40"/>
        <v>North America</v>
      </c>
      <c r="T331" s="30">
        <f t="shared" si="41"/>
        <v>2</v>
      </c>
      <c r="U331" s="6"/>
      <c r="V331" s="6"/>
    </row>
    <row r="332" spans="1:22" x14ac:dyDescent="0.3">
      <c r="A332" t="s">
        <v>1237</v>
      </c>
      <c r="B332" t="s">
        <v>1925</v>
      </c>
      <c r="C332" t="s">
        <v>842</v>
      </c>
      <c r="D332" s="1">
        <v>43330.583333333336</v>
      </c>
      <c r="E332" t="s">
        <v>762</v>
      </c>
      <c r="F332" t="s">
        <v>315</v>
      </c>
      <c r="G332">
        <v>12</v>
      </c>
      <c r="H332">
        <v>24</v>
      </c>
      <c r="I332" t="s">
        <v>731</v>
      </c>
      <c r="J332">
        <v>2018</v>
      </c>
      <c r="K332">
        <v>8</v>
      </c>
      <c r="L332">
        <v>18</v>
      </c>
      <c r="M332">
        <v>14</v>
      </c>
      <c r="N332" s="7">
        <f t="shared" si="35"/>
        <v>36</v>
      </c>
      <c r="O332" s="7" t="str">
        <f t="shared" si="38"/>
        <v>Normal</v>
      </c>
      <c r="P332" s="7" t="str">
        <f t="shared" si="36"/>
        <v>No</v>
      </c>
      <c r="Q332" s="7" t="str">
        <f t="shared" si="37"/>
        <v>Standard</v>
      </c>
      <c r="R332" s="7" t="str">
        <f t="shared" si="39"/>
        <v>Afternoon</v>
      </c>
      <c r="S332" s="7" t="str">
        <f t="shared" si="40"/>
        <v>Oceania</v>
      </c>
      <c r="T332" s="30">
        <f t="shared" si="41"/>
        <v>2</v>
      </c>
      <c r="U332" s="6"/>
      <c r="V332" s="6"/>
    </row>
    <row r="333" spans="1:22" x14ac:dyDescent="0.3">
      <c r="A333" t="s">
        <v>1238</v>
      </c>
      <c r="B333" t="s">
        <v>1916</v>
      </c>
      <c r="C333" t="s">
        <v>840</v>
      </c>
      <c r="D333" s="1">
        <v>44568.465277777781</v>
      </c>
      <c r="E333" t="s">
        <v>761</v>
      </c>
      <c r="F333" t="s">
        <v>306</v>
      </c>
      <c r="G333">
        <v>15</v>
      </c>
      <c r="H333">
        <v>30</v>
      </c>
      <c r="I333" t="s">
        <v>720</v>
      </c>
      <c r="J333">
        <v>2022</v>
      </c>
      <c r="K333">
        <v>1</v>
      </c>
      <c r="L333">
        <v>7</v>
      </c>
      <c r="M333">
        <v>11</v>
      </c>
      <c r="N333" s="7">
        <f t="shared" si="35"/>
        <v>45</v>
      </c>
      <c r="O333" s="7" t="str">
        <f t="shared" si="38"/>
        <v>Normal</v>
      </c>
      <c r="P333" s="7" t="str">
        <f t="shared" si="36"/>
        <v>No</v>
      </c>
      <c r="Q333" s="7" t="str">
        <f t="shared" si="37"/>
        <v>Standard</v>
      </c>
      <c r="R333" s="7" t="str">
        <f t="shared" si="39"/>
        <v>Morning</v>
      </c>
      <c r="S333" s="7" t="str">
        <f t="shared" si="40"/>
        <v>North America</v>
      </c>
      <c r="T333" s="30">
        <f t="shared" si="41"/>
        <v>2</v>
      </c>
      <c r="U333" s="6"/>
      <c r="V333" s="6"/>
    </row>
    <row r="334" spans="1:22" x14ac:dyDescent="0.3">
      <c r="A334" t="s">
        <v>1239</v>
      </c>
      <c r="B334" t="s">
        <v>1917</v>
      </c>
      <c r="C334" t="s">
        <v>806</v>
      </c>
      <c r="D334" s="1">
        <v>43727.145833333336</v>
      </c>
      <c r="E334" t="s">
        <v>763</v>
      </c>
      <c r="F334" t="s">
        <v>307</v>
      </c>
      <c r="G334">
        <v>18</v>
      </c>
      <c r="H334">
        <v>36</v>
      </c>
      <c r="I334" t="s">
        <v>731</v>
      </c>
      <c r="J334">
        <v>2019</v>
      </c>
      <c r="K334">
        <v>9</v>
      </c>
      <c r="L334">
        <v>19</v>
      </c>
      <c r="M334">
        <v>3</v>
      </c>
      <c r="N334" s="7">
        <f t="shared" si="35"/>
        <v>54</v>
      </c>
      <c r="O334" s="7" t="str">
        <f t="shared" si="38"/>
        <v>Normal</v>
      </c>
      <c r="P334" s="7" t="str">
        <f t="shared" si="36"/>
        <v>No</v>
      </c>
      <c r="Q334" s="7" t="str">
        <f t="shared" si="37"/>
        <v>Standard</v>
      </c>
      <c r="R334" s="7" t="str">
        <f t="shared" si="39"/>
        <v>Night</v>
      </c>
      <c r="S334" s="7" t="str">
        <f t="shared" si="40"/>
        <v>Oceania</v>
      </c>
      <c r="T334" s="30">
        <f t="shared" si="41"/>
        <v>2</v>
      </c>
      <c r="U334" s="6"/>
      <c r="V334" s="6"/>
    </row>
    <row r="335" spans="1:22" x14ac:dyDescent="0.3">
      <c r="A335" t="s">
        <v>1015</v>
      </c>
      <c r="B335" t="s">
        <v>1937</v>
      </c>
      <c r="C335" t="s">
        <v>778</v>
      </c>
      <c r="D335" s="1">
        <v>44654.260416666664</v>
      </c>
      <c r="E335" t="s">
        <v>762</v>
      </c>
      <c r="F335" t="s">
        <v>327</v>
      </c>
      <c r="G335">
        <v>28</v>
      </c>
      <c r="H335">
        <v>55</v>
      </c>
      <c r="I335" t="s">
        <v>30</v>
      </c>
      <c r="J335">
        <v>2022</v>
      </c>
      <c r="K335">
        <v>4</v>
      </c>
      <c r="L335">
        <v>3</v>
      </c>
      <c r="M335">
        <v>6</v>
      </c>
      <c r="N335" s="7">
        <f t="shared" si="35"/>
        <v>83</v>
      </c>
      <c r="O335" s="7" t="str">
        <f t="shared" si="38"/>
        <v>Popular</v>
      </c>
      <c r="P335" s="7" t="str">
        <f t="shared" si="36"/>
        <v>Yes</v>
      </c>
      <c r="Q335" s="7" t="str">
        <f t="shared" si="37"/>
        <v>Wide Reach</v>
      </c>
      <c r="R335" s="7" t="str">
        <f t="shared" si="39"/>
        <v>Morning</v>
      </c>
      <c r="S335" s="7" t="str">
        <f t="shared" si="40"/>
        <v>North America</v>
      </c>
      <c r="T335" s="30">
        <f t="shared" si="41"/>
        <v>1.9642857142857142</v>
      </c>
      <c r="U335" s="6"/>
      <c r="V335" s="6"/>
    </row>
    <row r="336" spans="1:22" x14ac:dyDescent="0.3">
      <c r="A336" t="s">
        <v>1257</v>
      </c>
      <c r="B336" t="s">
        <v>1938</v>
      </c>
      <c r="C336" t="s">
        <v>822</v>
      </c>
      <c r="D336" s="1">
        <v>45211.4375</v>
      </c>
      <c r="E336" t="s">
        <v>761</v>
      </c>
      <c r="F336" t="s">
        <v>328</v>
      </c>
      <c r="G336">
        <v>15</v>
      </c>
      <c r="H336">
        <v>30</v>
      </c>
      <c r="I336" t="s">
        <v>720</v>
      </c>
      <c r="J336">
        <v>2023</v>
      </c>
      <c r="K336">
        <v>10</v>
      </c>
      <c r="L336">
        <v>12</v>
      </c>
      <c r="M336">
        <v>10</v>
      </c>
      <c r="N336" s="7">
        <f t="shared" si="35"/>
        <v>45</v>
      </c>
      <c r="O336" s="7" t="str">
        <f t="shared" si="38"/>
        <v>Normal</v>
      </c>
      <c r="P336" s="7" t="str">
        <f t="shared" si="36"/>
        <v>No</v>
      </c>
      <c r="Q336" s="7" t="str">
        <f t="shared" si="37"/>
        <v>Standard</v>
      </c>
      <c r="R336" s="7" t="str">
        <f t="shared" si="39"/>
        <v>Morning</v>
      </c>
      <c r="S336" s="7" t="str">
        <f t="shared" si="40"/>
        <v>North America</v>
      </c>
      <c r="T336" s="30">
        <f t="shared" si="41"/>
        <v>2</v>
      </c>
      <c r="U336" s="6"/>
      <c r="V336" s="6"/>
    </row>
    <row r="337" spans="1:22" x14ac:dyDescent="0.3">
      <c r="A337" t="s">
        <v>1258</v>
      </c>
      <c r="B337" t="s">
        <v>1939</v>
      </c>
      <c r="C337" t="s">
        <v>820</v>
      </c>
      <c r="D337" s="1">
        <v>43644.791666666664</v>
      </c>
      <c r="E337" t="s">
        <v>763</v>
      </c>
      <c r="F337" t="s">
        <v>329</v>
      </c>
      <c r="G337">
        <v>22</v>
      </c>
      <c r="H337">
        <v>45</v>
      </c>
      <c r="I337" t="s">
        <v>722</v>
      </c>
      <c r="J337">
        <v>2019</v>
      </c>
      <c r="K337">
        <v>6</v>
      </c>
      <c r="L337">
        <v>28</v>
      </c>
      <c r="M337">
        <v>19</v>
      </c>
      <c r="N337" s="7">
        <f t="shared" si="35"/>
        <v>67</v>
      </c>
      <c r="O337" s="7" t="str">
        <f t="shared" si="38"/>
        <v>Popular</v>
      </c>
      <c r="P337" s="7" t="str">
        <f t="shared" si="36"/>
        <v>No</v>
      </c>
      <c r="Q337" s="7" t="str">
        <f t="shared" si="37"/>
        <v>Wide Reach</v>
      </c>
      <c r="R337" s="7" t="str">
        <f t="shared" si="39"/>
        <v>Evening</v>
      </c>
      <c r="S337" s="7" t="str">
        <f t="shared" si="40"/>
        <v>Europe</v>
      </c>
      <c r="T337" s="30">
        <f t="shared" si="41"/>
        <v>2.0454545454545454</v>
      </c>
      <c r="U337" s="6"/>
      <c r="V337" s="6"/>
    </row>
    <row r="338" spans="1:22" x14ac:dyDescent="0.3">
      <c r="A338" t="s">
        <v>1259</v>
      </c>
      <c r="B338" t="s">
        <v>1940</v>
      </c>
      <c r="C338" t="s">
        <v>843</v>
      </c>
      <c r="D338" s="1">
        <v>44089.614583333336</v>
      </c>
      <c r="E338" t="s">
        <v>762</v>
      </c>
      <c r="F338" t="s">
        <v>330</v>
      </c>
      <c r="G338">
        <v>40</v>
      </c>
      <c r="H338">
        <v>80</v>
      </c>
      <c r="I338" t="s">
        <v>732</v>
      </c>
      <c r="J338">
        <v>2020</v>
      </c>
      <c r="K338">
        <v>9</v>
      </c>
      <c r="L338">
        <v>15</v>
      </c>
      <c r="M338">
        <v>14</v>
      </c>
      <c r="N338" s="7">
        <f t="shared" si="35"/>
        <v>120</v>
      </c>
      <c r="O338" s="7" t="str">
        <f t="shared" si="38"/>
        <v>Popular</v>
      </c>
      <c r="P338" s="7" t="str">
        <f t="shared" si="36"/>
        <v>Yes</v>
      </c>
      <c r="Q338" s="7" t="str">
        <f t="shared" si="37"/>
        <v>Wide Reach</v>
      </c>
      <c r="R338" s="7" t="str">
        <f t="shared" si="39"/>
        <v>Afternoon</v>
      </c>
      <c r="S338" s="7" t="str">
        <f t="shared" si="40"/>
        <v>Asia</v>
      </c>
      <c r="T338" s="30">
        <f t="shared" si="41"/>
        <v>2</v>
      </c>
      <c r="U338" s="6"/>
      <c r="V338" s="6"/>
    </row>
    <row r="339" spans="1:22" x14ac:dyDescent="0.3">
      <c r="A339" t="s">
        <v>1260</v>
      </c>
      <c r="B339" t="s">
        <v>1941</v>
      </c>
      <c r="C339" t="s">
        <v>785</v>
      </c>
      <c r="D339" s="1">
        <v>43047.888888888891</v>
      </c>
      <c r="E339" t="s">
        <v>761</v>
      </c>
      <c r="F339" t="s">
        <v>331</v>
      </c>
      <c r="G339">
        <v>18</v>
      </c>
      <c r="H339">
        <v>35</v>
      </c>
      <c r="I339" t="s">
        <v>731</v>
      </c>
      <c r="J339">
        <v>2017</v>
      </c>
      <c r="K339">
        <v>11</v>
      </c>
      <c r="L339">
        <v>8</v>
      </c>
      <c r="M339">
        <v>21</v>
      </c>
      <c r="N339" s="7">
        <f t="shared" si="35"/>
        <v>53</v>
      </c>
      <c r="O339" s="7" t="str">
        <f t="shared" si="38"/>
        <v>Normal</v>
      </c>
      <c r="P339" s="7" t="str">
        <f t="shared" si="36"/>
        <v>No</v>
      </c>
      <c r="Q339" s="7" t="str">
        <f t="shared" si="37"/>
        <v>Standard</v>
      </c>
      <c r="R339" s="7" t="str">
        <f t="shared" si="39"/>
        <v>Evening</v>
      </c>
      <c r="S339" s="7" t="str">
        <f t="shared" si="40"/>
        <v>Oceania</v>
      </c>
      <c r="T339" s="30">
        <f t="shared" si="41"/>
        <v>1.9444444444444444</v>
      </c>
      <c r="U339" s="6"/>
      <c r="V339" s="6"/>
    </row>
    <row r="340" spans="1:22" x14ac:dyDescent="0.3">
      <c r="A340" t="s">
        <v>1261</v>
      </c>
      <c r="B340" t="s">
        <v>332</v>
      </c>
      <c r="C340" t="s">
        <v>837</v>
      </c>
      <c r="D340" s="1">
        <v>44336.729166666664</v>
      </c>
      <c r="E340" t="s">
        <v>763</v>
      </c>
      <c r="F340" t="s">
        <v>333</v>
      </c>
      <c r="G340">
        <v>25</v>
      </c>
      <c r="H340">
        <v>50</v>
      </c>
      <c r="I340" t="s">
        <v>30</v>
      </c>
      <c r="J340">
        <v>2021</v>
      </c>
      <c r="K340">
        <v>5</v>
      </c>
      <c r="L340">
        <v>20</v>
      </c>
      <c r="M340">
        <v>17</v>
      </c>
      <c r="N340" s="7">
        <f t="shared" si="35"/>
        <v>75</v>
      </c>
      <c r="O340" s="7" t="str">
        <f t="shared" si="38"/>
        <v>Popular</v>
      </c>
      <c r="P340" s="7" t="str">
        <f t="shared" si="36"/>
        <v>No</v>
      </c>
      <c r="Q340" s="7" t="str">
        <f t="shared" si="37"/>
        <v>Wide Reach</v>
      </c>
      <c r="R340" s="7" t="str">
        <f t="shared" si="39"/>
        <v>Afternoon</v>
      </c>
      <c r="S340" s="7" t="str">
        <f t="shared" si="40"/>
        <v>North America</v>
      </c>
      <c r="T340" s="30">
        <f t="shared" si="41"/>
        <v>2</v>
      </c>
      <c r="U340" s="6"/>
      <c r="V340" s="6"/>
    </row>
    <row r="341" spans="1:22" x14ac:dyDescent="0.3">
      <c r="A341" t="s">
        <v>1026</v>
      </c>
      <c r="B341" t="s">
        <v>1942</v>
      </c>
      <c r="C341" t="s">
        <v>787</v>
      </c>
      <c r="D341" s="1">
        <v>44936.5</v>
      </c>
      <c r="E341" t="s">
        <v>762</v>
      </c>
      <c r="F341" t="s">
        <v>334</v>
      </c>
      <c r="G341">
        <v>30</v>
      </c>
      <c r="H341">
        <v>60</v>
      </c>
      <c r="I341" t="s">
        <v>733</v>
      </c>
      <c r="J341">
        <v>2023</v>
      </c>
      <c r="K341">
        <v>1</v>
      </c>
      <c r="L341">
        <v>10</v>
      </c>
      <c r="M341">
        <v>12</v>
      </c>
      <c r="N341" s="7">
        <f t="shared" si="35"/>
        <v>90</v>
      </c>
      <c r="O341" s="7" t="str">
        <f t="shared" si="38"/>
        <v>Popular</v>
      </c>
      <c r="P341" s="7" t="str">
        <f t="shared" si="36"/>
        <v>Yes</v>
      </c>
      <c r="Q341" s="7" t="str">
        <f t="shared" si="37"/>
        <v>Wide Reach</v>
      </c>
      <c r="R341" s="7" t="str">
        <f t="shared" si="39"/>
        <v>Afternoon</v>
      </c>
      <c r="S341" s="7" t="str">
        <f t="shared" si="40"/>
        <v>Europe</v>
      </c>
      <c r="T341" s="30">
        <f t="shared" si="41"/>
        <v>2</v>
      </c>
      <c r="U341" s="6"/>
      <c r="V341" s="6"/>
    </row>
    <row r="342" spans="1:22" x14ac:dyDescent="0.3">
      <c r="A342" t="s">
        <v>1262</v>
      </c>
      <c r="B342" t="s">
        <v>1943</v>
      </c>
      <c r="C342" t="s">
        <v>795</v>
      </c>
      <c r="D342" s="1">
        <v>43439.364583333336</v>
      </c>
      <c r="E342" t="s">
        <v>761</v>
      </c>
      <c r="F342" t="s">
        <v>335</v>
      </c>
      <c r="G342">
        <v>35</v>
      </c>
      <c r="H342">
        <v>70</v>
      </c>
      <c r="I342" t="s">
        <v>734</v>
      </c>
      <c r="J342">
        <v>2018</v>
      </c>
      <c r="K342">
        <v>12</v>
      </c>
      <c r="L342">
        <v>5</v>
      </c>
      <c r="M342">
        <v>8</v>
      </c>
      <c r="N342" s="7">
        <f t="shared" si="35"/>
        <v>105</v>
      </c>
      <c r="O342" s="7" t="str">
        <f t="shared" si="38"/>
        <v>Popular</v>
      </c>
      <c r="P342" s="7" t="str">
        <f t="shared" si="36"/>
        <v>Yes</v>
      </c>
      <c r="Q342" s="7" t="str">
        <f t="shared" si="37"/>
        <v>Wide Reach</v>
      </c>
      <c r="R342" s="7" t="str">
        <f t="shared" si="39"/>
        <v>Morning</v>
      </c>
      <c r="S342" s="7" t="str">
        <f t="shared" si="40"/>
        <v>South America</v>
      </c>
      <c r="T342" s="30">
        <f t="shared" si="41"/>
        <v>2</v>
      </c>
      <c r="U342" s="6"/>
      <c r="V342" s="6"/>
    </row>
    <row r="343" spans="1:22" x14ac:dyDescent="0.3">
      <c r="A343" t="s">
        <v>1263</v>
      </c>
      <c r="B343" t="s">
        <v>1944</v>
      </c>
      <c r="C343" t="s">
        <v>844</v>
      </c>
      <c r="D343" s="1">
        <v>43905.770833333336</v>
      </c>
      <c r="E343" t="s">
        <v>762</v>
      </c>
      <c r="F343" t="s">
        <v>336</v>
      </c>
      <c r="G343">
        <v>20</v>
      </c>
      <c r="H343">
        <v>40</v>
      </c>
      <c r="I343" t="s">
        <v>735</v>
      </c>
      <c r="J343">
        <v>2020</v>
      </c>
      <c r="K343">
        <v>3</v>
      </c>
      <c r="L343">
        <v>15</v>
      </c>
      <c r="M343">
        <v>18</v>
      </c>
      <c r="N343" s="7">
        <f t="shared" si="35"/>
        <v>60</v>
      </c>
      <c r="O343" s="7" t="str">
        <f t="shared" si="38"/>
        <v>Normal</v>
      </c>
      <c r="P343" s="7" t="str">
        <f t="shared" si="36"/>
        <v>No</v>
      </c>
      <c r="Q343" s="7" t="str">
        <f t="shared" si="37"/>
        <v>Standard</v>
      </c>
      <c r="R343" s="7" t="str">
        <f t="shared" si="39"/>
        <v>Evening</v>
      </c>
      <c r="S343" s="7" t="str">
        <f t="shared" si="40"/>
        <v>Asia</v>
      </c>
      <c r="T343" s="30">
        <f t="shared" si="41"/>
        <v>2</v>
      </c>
      <c r="U343" s="6"/>
      <c r="V343" s="6"/>
    </row>
    <row r="344" spans="1:22" x14ac:dyDescent="0.3">
      <c r="A344" t="s">
        <v>1264</v>
      </c>
      <c r="B344" t="s">
        <v>1945</v>
      </c>
      <c r="C344" t="s">
        <v>816</v>
      </c>
      <c r="D344" s="1">
        <v>42604.631944444445</v>
      </c>
      <c r="E344" t="s">
        <v>763</v>
      </c>
      <c r="F344" t="s">
        <v>337</v>
      </c>
      <c r="G344">
        <v>18</v>
      </c>
      <c r="H344">
        <v>35</v>
      </c>
      <c r="I344" t="s">
        <v>736</v>
      </c>
      <c r="J344">
        <v>2016</v>
      </c>
      <c r="K344">
        <v>8</v>
      </c>
      <c r="L344">
        <v>22</v>
      </c>
      <c r="M344">
        <v>15</v>
      </c>
      <c r="N344" s="7">
        <f t="shared" si="35"/>
        <v>53</v>
      </c>
      <c r="O344" s="7" t="str">
        <f t="shared" si="38"/>
        <v>Normal</v>
      </c>
      <c r="P344" s="7" t="str">
        <f t="shared" si="36"/>
        <v>No</v>
      </c>
      <c r="Q344" s="7" t="str">
        <f t="shared" si="37"/>
        <v>Standard</v>
      </c>
      <c r="R344" s="7" t="str">
        <f t="shared" si="39"/>
        <v>Afternoon</v>
      </c>
      <c r="S344" s="7" t="str">
        <f t="shared" si="40"/>
        <v>Europe</v>
      </c>
      <c r="T344" s="30">
        <f t="shared" si="41"/>
        <v>1.9444444444444444</v>
      </c>
      <c r="U344" s="6"/>
      <c r="V344" s="6"/>
    </row>
    <row r="345" spans="1:22" x14ac:dyDescent="0.3">
      <c r="A345" t="s">
        <v>1265</v>
      </c>
      <c r="B345" t="s">
        <v>1946</v>
      </c>
      <c r="C345" t="s">
        <v>776</v>
      </c>
      <c r="D345" s="1">
        <v>43697.666666666664</v>
      </c>
      <c r="E345" t="s">
        <v>762</v>
      </c>
      <c r="F345" t="s">
        <v>338</v>
      </c>
      <c r="G345">
        <v>25</v>
      </c>
      <c r="H345">
        <v>50</v>
      </c>
      <c r="I345" t="s">
        <v>30</v>
      </c>
      <c r="J345">
        <v>2019</v>
      </c>
      <c r="K345">
        <v>8</v>
      </c>
      <c r="L345">
        <v>20</v>
      </c>
      <c r="M345">
        <v>16</v>
      </c>
      <c r="N345" s="7">
        <f t="shared" si="35"/>
        <v>75</v>
      </c>
      <c r="O345" s="7" t="str">
        <f t="shared" si="38"/>
        <v>Popular</v>
      </c>
      <c r="P345" s="7" t="str">
        <f t="shared" si="36"/>
        <v>No</v>
      </c>
      <c r="Q345" s="7" t="str">
        <f t="shared" si="37"/>
        <v>Wide Reach</v>
      </c>
      <c r="R345" s="7" t="str">
        <f t="shared" si="39"/>
        <v>Afternoon</v>
      </c>
      <c r="S345" s="7" t="str">
        <f t="shared" si="40"/>
        <v>North America</v>
      </c>
      <c r="T345" s="30">
        <f t="shared" si="41"/>
        <v>2</v>
      </c>
      <c r="U345" s="6"/>
      <c r="V345" s="6"/>
    </row>
    <row r="346" spans="1:22" x14ac:dyDescent="0.3">
      <c r="A346" t="s">
        <v>1266</v>
      </c>
      <c r="B346" t="s">
        <v>1947</v>
      </c>
      <c r="C346" t="s">
        <v>845</v>
      </c>
      <c r="D346" s="1">
        <v>44538.8125</v>
      </c>
      <c r="E346" t="s">
        <v>761</v>
      </c>
      <c r="F346" t="s">
        <v>339</v>
      </c>
      <c r="G346">
        <v>18</v>
      </c>
      <c r="H346">
        <v>35</v>
      </c>
      <c r="I346" t="s">
        <v>720</v>
      </c>
      <c r="J346">
        <v>2021</v>
      </c>
      <c r="K346">
        <v>12</v>
      </c>
      <c r="L346">
        <v>8</v>
      </c>
      <c r="M346">
        <v>19</v>
      </c>
      <c r="N346" s="7">
        <f t="shared" si="35"/>
        <v>53</v>
      </c>
      <c r="O346" s="7" t="str">
        <f t="shared" si="38"/>
        <v>Normal</v>
      </c>
      <c r="P346" s="7" t="str">
        <f t="shared" si="36"/>
        <v>No</v>
      </c>
      <c r="Q346" s="7" t="str">
        <f t="shared" si="37"/>
        <v>Standard</v>
      </c>
      <c r="R346" s="7" t="str">
        <f t="shared" si="39"/>
        <v>Evening</v>
      </c>
      <c r="S346" s="7" t="str">
        <f t="shared" si="40"/>
        <v>North America</v>
      </c>
      <c r="T346" s="30">
        <f t="shared" si="41"/>
        <v>1.9444444444444444</v>
      </c>
      <c r="U346" s="6"/>
      <c r="V346" s="6"/>
    </row>
    <row r="347" spans="1:22" x14ac:dyDescent="0.3">
      <c r="A347" t="s">
        <v>985</v>
      </c>
      <c r="B347" t="s">
        <v>340</v>
      </c>
      <c r="C347" t="s">
        <v>846</v>
      </c>
      <c r="D347" s="1">
        <v>43992.864583333336</v>
      </c>
      <c r="E347" t="s">
        <v>762</v>
      </c>
      <c r="F347" t="s">
        <v>341</v>
      </c>
      <c r="G347">
        <v>30</v>
      </c>
      <c r="H347">
        <v>60</v>
      </c>
      <c r="I347" t="s">
        <v>722</v>
      </c>
      <c r="J347">
        <v>2020</v>
      </c>
      <c r="K347">
        <v>6</v>
      </c>
      <c r="L347">
        <v>10</v>
      </c>
      <c r="M347">
        <v>20</v>
      </c>
      <c r="N347" s="7">
        <f t="shared" si="35"/>
        <v>90</v>
      </c>
      <c r="O347" s="7" t="str">
        <f t="shared" si="38"/>
        <v>Popular</v>
      </c>
      <c r="P347" s="7" t="str">
        <f t="shared" si="36"/>
        <v>Yes</v>
      </c>
      <c r="Q347" s="7" t="str">
        <f t="shared" si="37"/>
        <v>Wide Reach</v>
      </c>
      <c r="R347" s="7" t="str">
        <f t="shared" si="39"/>
        <v>Evening</v>
      </c>
      <c r="S347" s="7" t="str">
        <f t="shared" si="40"/>
        <v>Europe</v>
      </c>
      <c r="T347" s="30">
        <f t="shared" si="41"/>
        <v>2</v>
      </c>
      <c r="U347" s="6"/>
      <c r="V347" s="6"/>
    </row>
    <row r="348" spans="1:22" x14ac:dyDescent="0.3">
      <c r="A348" t="s">
        <v>1267</v>
      </c>
      <c r="B348" t="s">
        <v>1948</v>
      </c>
      <c r="C348" t="s">
        <v>847</v>
      </c>
      <c r="D348" s="1">
        <v>44620.302083333336</v>
      </c>
      <c r="E348" t="s">
        <v>763</v>
      </c>
      <c r="F348" t="s">
        <v>342</v>
      </c>
      <c r="G348">
        <v>40</v>
      </c>
      <c r="H348">
        <v>80</v>
      </c>
      <c r="I348" t="s">
        <v>731</v>
      </c>
      <c r="J348">
        <v>2022</v>
      </c>
      <c r="K348">
        <v>2</v>
      </c>
      <c r="L348">
        <v>28</v>
      </c>
      <c r="M348">
        <v>7</v>
      </c>
      <c r="N348" s="7">
        <f t="shared" si="35"/>
        <v>120</v>
      </c>
      <c r="O348" s="7" t="str">
        <f t="shared" si="38"/>
        <v>Popular</v>
      </c>
      <c r="P348" s="7" t="str">
        <f t="shared" si="36"/>
        <v>Yes</v>
      </c>
      <c r="Q348" s="7" t="str">
        <f t="shared" si="37"/>
        <v>Wide Reach</v>
      </c>
      <c r="R348" s="7" t="str">
        <f t="shared" si="39"/>
        <v>Morning</v>
      </c>
      <c r="S348" s="7" t="str">
        <f t="shared" si="40"/>
        <v>Oceania</v>
      </c>
      <c r="T348" s="30">
        <f t="shared" si="41"/>
        <v>2</v>
      </c>
      <c r="U348" s="6"/>
      <c r="V348" s="6"/>
    </row>
    <row r="349" spans="1:22" x14ac:dyDescent="0.3">
      <c r="A349" t="s">
        <v>1268</v>
      </c>
      <c r="B349" t="s">
        <v>1949</v>
      </c>
      <c r="C349" t="s">
        <v>795</v>
      </c>
      <c r="D349" s="1">
        <v>42840.333333333336</v>
      </c>
      <c r="E349" t="s">
        <v>761</v>
      </c>
      <c r="F349" t="s">
        <v>343</v>
      </c>
      <c r="G349">
        <v>22</v>
      </c>
      <c r="H349">
        <v>45</v>
      </c>
      <c r="I349" t="s">
        <v>732</v>
      </c>
      <c r="J349">
        <v>2017</v>
      </c>
      <c r="K349">
        <v>4</v>
      </c>
      <c r="L349">
        <v>15</v>
      </c>
      <c r="M349">
        <v>8</v>
      </c>
      <c r="N349" s="7">
        <f t="shared" si="35"/>
        <v>67</v>
      </c>
      <c r="O349" s="7" t="str">
        <f t="shared" si="38"/>
        <v>Popular</v>
      </c>
      <c r="P349" s="7" t="str">
        <f t="shared" si="36"/>
        <v>No</v>
      </c>
      <c r="Q349" s="7" t="str">
        <f t="shared" si="37"/>
        <v>Wide Reach</v>
      </c>
      <c r="R349" s="7" t="str">
        <f t="shared" si="39"/>
        <v>Morning</v>
      </c>
      <c r="S349" s="7" t="str">
        <f t="shared" si="40"/>
        <v>Asia</v>
      </c>
      <c r="T349" s="30">
        <f t="shared" si="41"/>
        <v>2.0454545454545454</v>
      </c>
      <c r="U349" s="6"/>
      <c r="V349" s="6"/>
    </row>
    <row r="350" spans="1:22" x14ac:dyDescent="0.3">
      <c r="A350" t="s">
        <v>1269</v>
      </c>
      <c r="B350" t="s">
        <v>1950</v>
      </c>
      <c r="C350" t="s">
        <v>797</v>
      </c>
      <c r="D350" s="1">
        <v>43348.597222222219</v>
      </c>
      <c r="E350" t="s">
        <v>762</v>
      </c>
      <c r="F350" t="s">
        <v>344</v>
      </c>
      <c r="G350">
        <v>35</v>
      </c>
      <c r="H350">
        <v>70</v>
      </c>
      <c r="I350" t="s">
        <v>30</v>
      </c>
      <c r="J350">
        <v>2018</v>
      </c>
      <c r="K350">
        <v>9</v>
      </c>
      <c r="L350">
        <v>5</v>
      </c>
      <c r="M350">
        <v>14</v>
      </c>
      <c r="N350" s="7">
        <f t="shared" si="35"/>
        <v>105</v>
      </c>
      <c r="O350" s="7" t="str">
        <f t="shared" si="38"/>
        <v>Popular</v>
      </c>
      <c r="P350" s="7" t="str">
        <f t="shared" si="36"/>
        <v>Yes</v>
      </c>
      <c r="Q350" s="7" t="str">
        <f t="shared" si="37"/>
        <v>Wide Reach</v>
      </c>
      <c r="R350" s="7" t="str">
        <f t="shared" si="39"/>
        <v>Afternoon</v>
      </c>
      <c r="S350" s="7" t="str">
        <f t="shared" si="40"/>
        <v>North America</v>
      </c>
      <c r="T350" s="30">
        <f t="shared" si="41"/>
        <v>2</v>
      </c>
      <c r="U350" s="6"/>
      <c r="V350" s="6"/>
    </row>
    <row r="351" spans="1:22" x14ac:dyDescent="0.3">
      <c r="A351" t="s">
        <v>1270</v>
      </c>
      <c r="B351" t="s">
        <v>1951</v>
      </c>
      <c r="C351" t="s">
        <v>774</v>
      </c>
      <c r="D351" s="1">
        <v>44856.53125</v>
      </c>
      <c r="E351" t="s">
        <v>763</v>
      </c>
      <c r="F351" t="s">
        <v>345</v>
      </c>
      <c r="G351">
        <v>15</v>
      </c>
      <c r="H351">
        <v>30</v>
      </c>
      <c r="I351" t="s">
        <v>720</v>
      </c>
      <c r="J351">
        <v>2022</v>
      </c>
      <c r="K351">
        <v>10</v>
      </c>
      <c r="L351">
        <v>22</v>
      </c>
      <c r="M351">
        <v>12</v>
      </c>
      <c r="N351" s="7">
        <f t="shared" si="35"/>
        <v>45</v>
      </c>
      <c r="O351" s="7" t="str">
        <f t="shared" si="38"/>
        <v>Normal</v>
      </c>
      <c r="P351" s="7" t="str">
        <f t="shared" si="36"/>
        <v>No</v>
      </c>
      <c r="Q351" s="7" t="str">
        <f t="shared" si="37"/>
        <v>Standard</v>
      </c>
      <c r="R351" s="7" t="str">
        <f t="shared" si="39"/>
        <v>Afternoon</v>
      </c>
      <c r="S351" s="7" t="str">
        <f t="shared" si="40"/>
        <v>North America</v>
      </c>
      <c r="T351" s="30">
        <f t="shared" si="41"/>
        <v>2</v>
      </c>
      <c r="U351" s="6"/>
      <c r="V351" s="6"/>
    </row>
    <row r="352" spans="1:22" x14ac:dyDescent="0.3">
      <c r="A352" t="s">
        <v>1041</v>
      </c>
      <c r="B352" t="s">
        <v>1952</v>
      </c>
      <c r="C352" t="s">
        <v>848</v>
      </c>
      <c r="D352" s="1">
        <v>42553.979166666664</v>
      </c>
      <c r="E352" t="s">
        <v>761</v>
      </c>
      <c r="F352" t="s">
        <v>346</v>
      </c>
      <c r="G352">
        <v>28</v>
      </c>
      <c r="H352">
        <v>55</v>
      </c>
      <c r="I352" t="s">
        <v>722</v>
      </c>
      <c r="J352">
        <v>2016</v>
      </c>
      <c r="K352">
        <v>7</v>
      </c>
      <c r="L352">
        <v>2</v>
      </c>
      <c r="M352">
        <v>23</v>
      </c>
      <c r="N352" s="7">
        <f t="shared" si="35"/>
        <v>83</v>
      </c>
      <c r="O352" s="7" t="str">
        <f t="shared" si="38"/>
        <v>Popular</v>
      </c>
      <c r="P352" s="7" t="str">
        <f t="shared" si="36"/>
        <v>Yes</v>
      </c>
      <c r="Q352" s="7" t="str">
        <f t="shared" si="37"/>
        <v>Wide Reach</v>
      </c>
      <c r="R352" s="7" t="str">
        <f t="shared" si="39"/>
        <v>Evening</v>
      </c>
      <c r="S352" s="7" t="str">
        <f t="shared" si="40"/>
        <v>Europe</v>
      </c>
      <c r="T352" s="30">
        <f t="shared" si="41"/>
        <v>1.9642857142857142</v>
      </c>
      <c r="U352" s="6"/>
      <c r="V352" s="6"/>
    </row>
    <row r="353" spans="1:22" x14ac:dyDescent="0.3">
      <c r="A353" t="s">
        <v>1271</v>
      </c>
      <c r="B353" t="s">
        <v>1953</v>
      </c>
      <c r="C353" t="s">
        <v>849</v>
      </c>
      <c r="D353" s="1">
        <v>44153.715277777781</v>
      </c>
      <c r="E353" t="s">
        <v>762</v>
      </c>
      <c r="F353" t="s">
        <v>347</v>
      </c>
      <c r="G353">
        <v>20</v>
      </c>
      <c r="H353">
        <v>40</v>
      </c>
      <c r="I353" t="s">
        <v>732</v>
      </c>
      <c r="J353">
        <v>2020</v>
      </c>
      <c r="K353">
        <v>11</v>
      </c>
      <c r="L353">
        <v>18</v>
      </c>
      <c r="M353">
        <v>17</v>
      </c>
      <c r="N353" s="7">
        <f t="shared" si="35"/>
        <v>60</v>
      </c>
      <c r="O353" s="7" t="str">
        <f t="shared" si="38"/>
        <v>Normal</v>
      </c>
      <c r="P353" s="7" t="str">
        <f t="shared" si="36"/>
        <v>No</v>
      </c>
      <c r="Q353" s="7" t="str">
        <f t="shared" si="37"/>
        <v>Standard</v>
      </c>
      <c r="R353" s="7" t="str">
        <f t="shared" si="39"/>
        <v>Afternoon</v>
      </c>
      <c r="S353" s="7" t="str">
        <f t="shared" si="40"/>
        <v>Asia</v>
      </c>
      <c r="T353" s="30">
        <f t="shared" si="41"/>
        <v>2</v>
      </c>
      <c r="U353" s="6"/>
      <c r="V353" s="6"/>
    </row>
    <row r="354" spans="1:22" x14ac:dyDescent="0.3">
      <c r="A354" t="s">
        <v>1272</v>
      </c>
      <c r="B354" t="s">
        <v>1954</v>
      </c>
      <c r="C354" t="s">
        <v>787</v>
      </c>
      <c r="D354" s="1">
        <v>44990.625</v>
      </c>
      <c r="E354" t="s">
        <v>763</v>
      </c>
      <c r="F354" t="s">
        <v>348</v>
      </c>
      <c r="G354">
        <v>30</v>
      </c>
      <c r="H354">
        <v>60</v>
      </c>
      <c r="I354" t="s">
        <v>731</v>
      </c>
      <c r="J354">
        <v>2023</v>
      </c>
      <c r="K354">
        <v>3</v>
      </c>
      <c r="L354">
        <v>5</v>
      </c>
      <c r="M354">
        <v>15</v>
      </c>
      <c r="N354" s="7">
        <f t="shared" si="35"/>
        <v>90</v>
      </c>
      <c r="O354" s="7" t="str">
        <f t="shared" si="38"/>
        <v>Popular</v>
      </c>
      <c r="P354" s="7" t="str">
        <f t="shared" si="36"/>
        <v>Yes</v>
      </c>
      <c r="Q354" s="7" t="str">
        <f t="shared" si="37"/>
        <v>Wide Reach</v>
      </c>
      <c r="R354" s="7" t="str">
        <f t="shared" si="39"/>
        <v>Afternoon</v>
      </c>
      <c r="S354" s="7" t="str">
        <f t="shared" si="40"/>
        <v>Oceania</v>
      </c>
      <c r="T354" s="30">
        <f t="shared" si="41"/>
        <v>2</v>
      </c>
      <c r="U354" s="6"/>
      <c r="V354" s="6"/>
    </row>
    <row r="355" spans="1:22" x14ac:dyDescent="0.3">
      <c r="A355" t="s">
        <v>1111</v>
      </c>
      <c r="B355" t="s">
        <v>1955</v>
      </c>
      <c r="C355" t="s">
        <v>850</v>
      </c>
      <c r="D355" s="1">
        <v>42339.479166666664</v>
      </c>
      <c r="E355" t="s">
        <v>761</v>
      </c>
      <c r="F355" t="s">
        <v>349</v>
      </c>
      <c r="G355">
        <v>25</v>
      </c>
      <c r="H355">
        <v>50</v>
      </c>
      <c r="I355" t="s">
        <v>30</v>
      </c>
      <c r="J355">
        <v>2015</v>
      </c>
      <c r="K355">
        <v>12</v>
      </c>
      <c r="L355">
        <v>1</v>
      </c>
      <c r="M355">
        <v>11</v>
      </c>
      <c r="N355" s="7">
        <f t="shared" si="35"/>
        <v>75</v>
      </c>
      <c r="O355" s="7" t="str">
        <f t="shared" si="38"/>
        <v>Popular</v>
      </c>
      <c r="P355" s="7" t="str">
        <f t="shared" si="36"/>
        <v>No</v>
      </c>
      <c r="Q355" s="7" t="str">
        <f t="shared" si="37"/>
        <v>Wide Reach</v>
      </c>
      <c r="R355" s="7" t="str">
        <f t="shared" si="39"/>
        <v>Morning</v>
      </c>
      <c r="S355" s="7" t="str">
        <f t="shared" si="40"/>
        <v>North America</v>
      </c>
      <c r="T355" s="30">
        <f t="shared" si="41"/>
        <v>2</v>
      </c>
      <c r="U355" s="6"/>
      <c r="V355" s="6"/>
    </row>
    <row r="356" spans="1:22" x14ac:dyDescent="0.3">
      <c r="A356" t="s">
        <v>1273</v>
      </c>
      <c r="B356" t="s">
        <v>1956</v>
      </c>
      <c r="C356" t="s">
        <v>851</v>
      </c>
      <c r="D356" s="1">
        <v>44449.40625</v>
      </c>
      <c r="E356" t="s">
        <v>762</v>
      </c>
      <c r="F356" t="s">
        <v>350</v>
      </c>
      <c r="G356">
        <v>18</v>
      </c>
      <c r="H356">
        <v>35</v>
      </c>
      <c r="I356" t="s">
        <v>722</v>
      </c>
      <c r="J356">
        <v>2021</v>
      </c>
      <c r="K356">
        <v>9</v>
      </c>
      <c r="L356">
        <v>10</v>
      </c>
      <c r="M356">
        <v>9</v>
      </c>
      <c r="N356" s="7">
        <f t="shared" si="35"/>
        <v>53</v>
      </c>
      <c r="O356" s="7" t="str">
        <f t="shared" si="38"/>
        <v>Normal</v>
      </c>
      <c r="P356" s="7" t="str">
        <f t="shared" si="36"/>
        <v>No</v>
      </c>
      <c r="Q356" s="7" t="str">
        <f t="shared" si="37"/>
        <v>Standard</v>
      </c>
      <c r="R356" s="7" t="str">
        <f t="shared" si="39"/>
        <v>Morning</v>
      </c>
      <c r="S356" s="7" t="str">
        <f t="shared" si="40"/>
        <v>Europe</v>
      </c>
      <c r="T356" s="30">
        <f t="shared" si="41"/>
        <v>1.9444444444444444</v>
      </c>
      <c r="U356" s="6"/>
      <c r="V356" s="6"/>
    </row>
    <row r="357" spans="1:22" x14ac:dyDescent="0.3">
      <c r="A357" t="s">
        <v>1274</v>
      </c>
      <c r="B357" t="s">
        <v>1957</v>
      </c>
      <c r="C357" t="s">
        <v>794</v>
      </c>
      <c r="D357" s="1">
        <v>43232.597222222219</v>
      </c>
      <c r="E357" t="s">
        <v>763</v>
      </c>
      <c r="F357" t="s">
        <v>351</v>
      </c>
      <c r="G357">
        <v>22</v>
      </c>
      <c r="H357">
        <v>45</v>
      </c>
      <c r="I357" t="s">
        <v>720</v>
      </c>
      <c r="J357">
        <v>2018</v>
      </c>
      <c r="K357">
        <v>5</v>
      </c>
      <c r="L357">
        <v>12</v>
      </c>
      <c r="M357">
        <v>14</v>
      </c>
      <c r="N357" s="7">
        <f t="shared" si="35"/>
        <v>67</v>
      </c>
      <c r="O357" s="7" t="str">
        <f t="shared" si="38"/>
        <v>Popular</v>
      </c>
      <c r="P357" s="7" t="str">
        <f t="shared" si="36"/>
        <v>No</v>
      </c>
      <c r="Q357" s="7" t="str">
        <f t="shared" si="37"/>
        <v>Wide Reach</v>
      </c>
      <c r="R357" s="7" t="str">
        <f t="shared" si="39"/>
        <v>Afternoon</v>
      </c>
      <c r="S357" s="7" t="str">
        <f t="shared" si="40"/>
        <v>North America</v>
      </c>
      <c r="T357" s="30">
        <f t="shared" si="41"/>
        <v>2.0454545454545454</v>
      </c>
      <c r="U357" s="6"/>
      <c r="V357" s="6"/>
    </row>
    <row r="358" spans="1:22" x14ac:dyDescent="0.3">
      <c r="A358" t="s">
        <v>1275</v>
      </c>
      <c r="B358" t="s">
        <v>1958</v>
      </c>
      <c r="C358" t="s">
        <v>783</v>
      </c>
      <c r="D358" s="1">
        <v>44767.416666666664</v>
      </c>
      <c r="E358" t="s">
        <v>761</v>
      </c>
      <c r="F358" t="s">
        <v>352</v>
      </c>
      <c r="G358">
        <v>40</v>
      </c>
      <c r="H358">
        <v>80</v>
      </c>
      <c r="I358" t="s">
        <v>732</v>
      </c>
      <c r="J358">
        <v>2022</v>
      </c>
      <c r="K358">
        <v>7</v>
      </c>
      <c r="L358">
        <v>25</v>
      </c>
      <c r="M358">
        <v>10</v>
      </c>
      <c r="N358" s="7">
        <f t="shared" si="35"/>
        <v>120</v>
      </c>
      <c r="O358" s="7" t="str">
        <f t="shared" si="38"/>
        <v>Popular</v>
      </c>
      <c r="P358" s="7" t="str">
        <f t="shared" si="36"/>
        <v>Yes</v>
      </c>
      <c r="Q358" s="7" t="str">
        <f t="shared" si="37"/>
        <v>Wide Reach</v>
      </c>
      <c r="R358" s="7" t="str">
        <f t="shared" si="39"/>
        <v>Morning</v>
      </c>
      <c r="S358" s="7" t="str">
        <f t="shared" si="40"/>
        <v>Asia</v>
      </c>
      <c r="T358" s="30">
        <f t="shared" si="41"/>
        <v>2</v>
      </c>
      <c r="U358" s="6"/>
      <c r="V358" s="6"/>
    </row>
    <row r="359" spans="1:22" x14ac:dyDescent="0.3">
      <c r="A359" t="s">
        <v>1081</v>
      </c>
      <c r="B359" t="s">
        <v>1959</v>
      </c>
      <c r="C359" t="s">
        <v>852</v>
      </c>
      <c r="D359" s="1">
        <v>43532.770833333336</v>
      </c>
      <c r="E359" t="s">
        <v>762</v>
      </c>
      <c r="F359" t="s">
        <v>353</v>
      </c>
      <c r="G359">
        <v>35</v>
      </c>
      <c r="H359">
        <v>70</v>
      </c>
      <c r="I359" t="s">
        <v>30</v>
      </c>
      <c r="J359">
        <v>2019</v>
      </c>
      <c r="K359">
        <v>3</v>
      </c>
      <c r="L359">
        <v>8</v>
      </c>
      <c r="M359">
        <v>18</v>
      </c>
      <c r="N359" s="7">
        <f t="shared" si="35"/>
        <v>105</v>
      </c>
      <c r="O359" s="7" t="str">
        <f t="shared" si="38"/>
        <v>Popular</v>
      </c>
      <c r="P359" s="7" t="str">
        <f t="shared" si="36"/>
        <v>Yes</v>
      </c>
      <c r="Q359" s="7" t="str">
        <f t="shared" si="37"/>
        <v>Wide Reach</v>
      </c>
      <c r="R359" s="7" t="str">
        <f t="shared" si="39"/>
        <v>Evening</v>
      </c>
      <c r="S359" s="7" t="str">
        <f t="shared" si="40"/>
        <v>North America</v>
      </c>
      <c r="T359" s="30">
        <f t="shared" si="41"/>
        <v>2</v>
      </c>
      <c r="U359" s="6"/>
      <c r="V359" s="6"/>
    </row>
    <row r="360" spans="1:22" x14ac:dyDescent="0.3">
      <c r="A360" t="s">
        <v>1276</v>
      </c>
      <c r="B360" t="s">
        <v>1960</v>
      </c>
      <c r="C360" t="s">
        <v>820</v>
      </c>
      <c r="D360" s="1">
        <v>42763.885416666664</v>
      </c>
      <c r="E360" t="s">
        <v>763</v>
      </c>
      <c r="F360" t="s">
        <v>354</v>
      </c>
      <c r="G360">
        <v>20</v>
      </c>
      <c r="H360">
        <v>40</v>
      </c>
      <c r="I360" t="s">
        <v>731</v>
      </c>
      <c r="J360">
        <v>2017</v>
      </c>
      <c r="K360">
        <v>1</v>
      </c>
      <c r="L360">
        <v>28</v>
      </c>
      <c r="M360">
        <v>21</v>
      </c>
      <c r="N360" s="7">
        <f t="shared" si="35"/>
        <v>60</v>
      </c>
      <c r="O360" s="7" t="str">
        <f t="shared" si="38"/>
        <v>Normal</v>
      </c>
      <c r="P360" s="7" t="str">
        <f t="shared" si="36"/>
        <v>No</v>
      </c>
      <c r="Q360" s="7" t="str">
        <f t="shared" si="37"/>
        <v>Standard</v>
      </c>
      <c r="R360" s="7" t="str">
        <f t="shared" si="39"/>
        <v>Evening</v>
      </c>
      <c r="S360" s="7" t="str">
        <f t="shared" si="40"/>
        <v>Oceania</v>
      </c>
      <c r="T360" s="30">
        <f t="shared" si="41"/>
        <v>2</v>
      </c>
      <c r="U360" s="6"/>
      <c r="V360" s="6"/>
    </row>
    <row r="361" spans="1:22" x14ac:dyDescent="0.3">
      <c r="A361" t="s">
        <v>1277</v>
      </c>
      <c r="B361" t="s">
        <v>1961</v>
      </c>
      <c r="C361" t="s">
        <v>853</v>
      </c>
      <c r="D361" s="1">
        <v>42688.572916666664</v>
      </c>
      <c r="E361" t="s">
        <v>761</v>
      </c>
      <c r="F361" t="s">
        <v>355</v>
      </c>
      <c r="G361">
        <v>28</v>
      </c>
      <c r="H361">
        <v>55</v>
      </c>
      <c r="I361" t="s">
        <v>722</v>
      </c>
      <c r="J361">
        <v>2016</v>
      </c>
      <c r="K361">
        <v>11</v>
      </c>
      <c r="L361">
        <v>14</v>
      </c>
      <c r="M361">
        <v>13</v>
      </c>
      <c r="N361" s="7">
        <f t="shared" si="35"/>
        <v>83</v>
      </c>
      <c r="O361" s="7" t="str">
        <f t="shared" si="38"/>
        <v>Popular</v>
      </c>
      <c r="P361" s="7" t="str">
        <f t="shared" si="36"/>
        <v>Yes</v>
      </c>
      <c r="Q361" s="7" t="str">
        <f t="shared" si="37"/>
        <v>Wide Reach</v>
      </c>
      <c r="R361" s="7" t="str">
        <f t="shared" si="39"/>
        <v>Afternoon</v>
      </c>
      <c r="S361" s="7" t="str">
        <f t="shared" si="40"/>
        <v>Europe</v>
      </c>
      <c r="T361" s="30">
        <f t="shared" si="41"/>
        <v>1.9642857142857142</v>
      </c>
      <c r="U361" s="6"/>
      <c r="V361" s="6"/>
    </row>
    <row r="362" spans="1:22" x14ac:dyDescent="0.3">
      <c r="A362" t="s">
        <v>1278</v>
      </c>
      <c r="B362" t="s">
        <v>1962</v>
      </c>
      <c r="C362" t="s">
        <v>854</v>
      </c>
      <c r="D362" s="1">
        <v>43923.729166666664</v>
      </c>
      <c r="E362" t="s">
        <v>762</v>
      </c>
      <c r="F362" t="s">
        <v>356</v>
      </c>
      <c r="G362">
        <v>15</v>
      </c>
      <c r="H362">
        <v>30</v>
      </c>
      <c r="I362" t="s">
        <v>30</v>
      </c>
      <c r="J362">
        <v>2020</v>
      </c>
      <c r="K362">
        <v>4</v>
      </c>
      <c r="L362">
        <v>2</v>
      </c>
      <c r="M362">
        <v>17</v>
      </c>
      <c r="N362" s="7">
        <f t="shared" si="35"/>
        <v>45</v>
      </c>
      <c r="O362" s="7" t="str">
        <f t="shared" si="38"/>
        <v>Normal</v>
      </c>
      <c r="P362" s="7" t="str">
        <f t="shared" si="36"/>
        <v>No</v>
      </c>
      <c r="Q362" s="7" t="str">
        <f t="shared" si="37"/>
        <v>Standard</v>
      </c>
      <c r="R362" s="7" t="str">
        <f t="shared" si="39"/>
        <v>Afternoon</v>
      </c>
      <c r="S362" s="7" t="str">
        <f t="shared" si="40"/>
        <v>North America</v>
      </c>
      <c r="T362" s="30">
        <f t="shared" si="41"/>
        <v>2</v>
      </c>
      <c r="U362" s="6"/>
      <c r="V362" s="6"/>
    </row>
    <row r="363" spans="1:22" x14ac:dyDescent="0.3">
      <c r="A363" t="s">
        <v>1279</v>
      </c>
      <c r="B363" t="s">
        <v>1963</v>
      </c>
      <c r="C363" t="s">
        <v>793</v>
      </c>
      <c r="D363" s="1">
        <v>44941.791666666664</v>
      </c>
      <c r="E363" t="s">
        <v>763</v>
      </c>
      <c r="F363" t="s">
        <v>357</v>
      </c>
      <c r="G363">
        <v>25</v>
      </c>
      <c r="H363">
        <v>50</v>
      </c>
      <c r="I363" t="s">
        <v>720</v>
      </c>
      <c r="J363">
        <v>2023</v>
      </c>
      <c r="K363">
        <v>1</v>
      </c>
      <c r="L363">
        <v>15</v>
      </c>
      <c r="M363">
        <v>19</v>
      </c>
      <c r="N363" s="7">
        <f t="shared" si="35"/>
        <v>75</v>
      </c>
      <c r="O363" s="7" t="str">
        <f t="shared" si="38"/>
        <v>Popular</v>
      </c>
      <c r="P363" s="7" t="str">
        <f t="shared" si="36"/>
        <v>No</v>
      </c>
      <c r="Q363" s="7" t="str">
        <f t="shared" si="37"/>
        <v>Wide Reach</v>
      </c>
      <c r="R363" s="7" t="str">
        <f t="shared" si="39"/>
        <v>Evening</v>
      </c>
      <c r="S363" s="7" t="str">
        <f t="shared" si="40"/>
        <v>North America</v>
      </c>
      <c r="T363" s="30">
        <f t="shared" si="41"/>
        <v>2</v>
      </c>
      <c r="U363" s="6"/>
      <c r="V363" s="6"/>
    </row>
    <row r="364" spans="1:22" x14ac:dyDescent="0.3">
      <c r="A364" t="s">
        <v>1280</v>
      </c>
      <c r="B364" t="s">
        <v>1964</v>
      </c>
      <c r="C364" t="s">
        <v>801</v>
      </c>
      <c r="D364" s="1">
        <v>43319.510416666664</v>
      </c>
      <c r="E364" t="s">
        <v>761</v>
      </c>
      <c r="F364" t="s">
        <v>358</v>
      </c>
      <c r="G364">
        <v>30</v>
      </c>
      <c r="H364">
        <v>60</v>
      </c>
      <c r="I364" t="s">
        <v>732</v>
      </c>
      <c r="J364">
        <v>2018</v>
      </c>
      <c r="K364">
        <v>8</v>
      </c>
      <c r="L364">
        <v>7</v>
      </c>
      <c r="M364">
        <v>12</v>
      </c>
      <c r="N364" s="7">
        <f t="shared" si="35"/>
        <v>90</v>
      </c>
      <c r="O364" s="7" t="str">
        <f t="shared" si="38"/>
        <v>Popular</v>
      </c>
      <c r="P364" s="7" t="str">
        <f t="shared" si="36"/>
        <v>Yes</v>
      </c>
      <c r="Q364" s="7" t="str">
        <f t="shared" si="37"/>
        <v>Wide Reach</v>
      </c>
      <c r="R364" s="7" t="str">
        <f t="shared" si="39"/>
        <v>Afternoon</v>
      </c>
      <c r="S364" s="7" t="str">
        <f t="shared" si="40"/>
        <v>Asia</v>
      </c>
      <c r="T364" s="30">
        <f t="shared" si="41"/>
        <v>2</v>
      </c>
      <c r="U364" s="6"/>
      <c r="V364" s="6"/>
    </row>
    <row r="365" spans="1:22" x14ac:dyDescent="0.3">
      <c r="A365" t="s">
        <v>1281</v>
      </c>
      <c r="B365" t="s">
        <v>1965</v>
      </c>
      <c r="C365" t="s">
        <v>780</v>
      </c>
      <c r="D365" s="1">
        <v>43756.697916666664</v>
      </c>
      <c r="E365" t="s">
        <v>762</v>
      </c>
      <c r="F365" t="s">
        <v>359</v>
      </c>
      <c r="G365">
        <v>18</v>
      </c>
      <c r="H365">
        <v>35</v>
      </c>
      <c r="I365" t="s">
        <v>722</v>
      </c>
      <c r="J365">
        <v>2019</v>
      </c>
      <c r="K365">
        <v>10</v>
      </c>
      <c r="L365">
        <v>18</v>
      </c>
      <c r="M365">
        <v>16</v>
      </c>
      <c r="N365" s="7">
        <f t="shared" si="35"/>
        <v>53</v>
      </c>
      <c r="O365" s="7" t="str">
        <f t="shared" si="38"/>
        <v>Normal</v>
      </c>
      <c r="P365" s="7" t="str">
        <f t="shared" si="36"/>
        <v>No</v>
      </c>
      <c r="Q365" s="7" t="str">
        <f t="shared" si="37"/>
        <v>Standard</v>
      </c>
      <c r="R365" s="7" t="str">
        <f t="shared" si="39"/>
        <v>Afternoon</v>
      </c>
      <c r="S365" s="7" t="str">
        <f t="shared" si="40"/>
        <v>Europe</v>
      </c>
      <c r="T365" s="30">
        <f t="shared" si="41"/>
        <v>1.9444444444444444</v>
      </c>
      <c r="U365" s="6"/>
      <c r="V365" s="6"/>
    </row>
    <row r="366" spans="1:22" x14ac:dyDescent="0.3">
      <c r="A366" t="s">
        <v>1085</v>
      </c>
      <c r="B366" t="s">
        <v>360</v>
      </c>
      <c r="C366" t="s">
        <v>855</v>
      </c>
      <c r="D366" s="1">
        <v>44742.291666666664</v>
      </c>
      <c r="E366" t="s">
        <v>763</v>
      </c>
      <c r="F366" t="s">
        <v>361</v>
      </c>
      <c r="G366">
        <v>22</v>
      </c>
      <c r="H366">
        <v>45</v>
      </c>
      <c r="I366" t="s">
        <v>731</v>
      </c>
      <c r="J366">
        <v>2022</v>
      </c>
      <c r="K366">
        <v>6</v>
      </c>
      <c r="L366">
        <v>30</v>
      </c>
      <c r="M366">
        <v>7</v>
      </c>
      <c r="N366" s="7">
        <f t="shared" si="35"/>
        <v>67</v>
      </c>
      <c r="O366" s="7" t="str">
        <f t="shared" si="38"/>
        <v>Popular</v>
      </c>
      <c r="P366" s="7" t="str">
        <f t="shared" si="36"/>
        <v>No</v>
      </c>
      <c r="Q366" s="7" t="str">
        <f t="shared" si="37"/>
        <v>Wide Reach</v>
      </c>
      <c r="R366" s="7" t="str">
        <f t="shared" si="39"/>
        <v>Morning</v>
      </c>
      <c r="S366" s="7" t="str">
        <f t="shared" si="40"/>
        <v>Oceania</v>
      </c>
      <c r="T366" s="30">
        <f t="shared" si="41"/>
        <v>2.0454545454545454</v>
      </c>
      <c r="U366" s="6"/>
      <c r="V366" s="6"/>
    </row>
    <row r="367" spans="1:22" x14ac:dyDescent="0.3">
      <c r="A367" t="s">
        <v>1282</v>
      </c>
      <c r="B367" t="s">
        <v>1966</v>
      </c>
      <c r="C367" t="s">
        <v>856</v>
      </c>
      <c r="D367" s="1">
        <v>42898.763888888891</v>
      </c>
      <c r="E367" t="s">
        <v>761</v>
      </c>
      <c r="F367" t="s">
        <v>362</v>
      </c>
      <c r="G367">
        <v>35</v>
      </c>
      <c r="H367">
        <v>70</v>
      </c>
      <c r="I367" t="s">
        <v>30</v>
      </c>
      <c r="J367">
        <v>2017</v>
      </c>
      <c r="K367">
        <v>6</v>
      </c>
      <c r="L367">
        <v>12</v>
      </c>
      <c r="M367">
        <v>18</v>
      </c>
      <c r="N367" s="7">
        <f t="shared" si="35"/>
        <v>105</v>
      </c>
      <c r="O367" s="7" t="str">
        <f t="shared" si="38"/>
        <v>Popular</v>
      </c>
      <c r="P367" s="7" t="str">
        <f t="shared" si="36"/>
        <v>Yes</v>
      </c>
      <c r="Q367" s="7" t="str">
        <f t="shared" si="37"/>
        <v>Wide Reach</v>
      </c>
      <c r="R367" s="7" t="str">
        <f t="shared" si="39"/>
        <v>Evening</v>
      </c>
      <c r="S367" s="7" t="str">
        <f t="shared" si="40"/>
        <v>North America</v>
      </c>
      <c r="T367" s="30">
        <f t="shared" si="41"/>
        <v>2</v>
      </c>
      <c r="U367" s="6"/>
      <c r="V367" s="6"/>
    </row>
    <row r="368" spans="1:22" x14ac:dyDescent="0.3">
      <c r="A368" t="s">
        <v>1283</v>
      </c>
      <c r="B368" t="s">
        <v>1967</v>
      </c>
      <c r="C368" t="s">
        <v>857</v>
      </c>
      <c r="D368" s="1">
        <v>44382.395833333336</v>
      </c>
      <c r="E368" t="s">
        <v>762</v>
      </c>
      <c r="F368" t="s">
        <v>363</v>
      </c>
      <c r="G368">
        <v>20</v>
      </c>
      <c r="H368">
        <v>40</v>
      </c>
      <c r="I368" t="s">
        <v>720</v>
      </c>
      <c r="J368">
        <v>2021</v>
      </c>
      <c r="K368">
        <v>7</v>
      </c>
      <c r="L368">
        <v>5</v>
      </c>
      <c r="M368">
        <v>9</v>
      </c>
      <c r="N368" s="7">
        <f t="shared" si="35"/>
        <v>60</v>
      </c>
      <c r="O368" s="7" t="str">
        <f t="shared" si="38"/>
        <v>Normal</v>
      </c>
      <c r="P368" s="7" t="str">
        <f t="shared" si="36"/>
        <v>No</v>
      </c>
      <c r="Q368" s="7" t="str">
        <f t="shared" si="37"/>
        <v>Standard</v>
      </c>
      <c r="R368" s="7" t="str">
        <f t="shared" si="39"/>
        <v>Morning</v>
      </c>
      <c r="S368" s="7" t="str">
        <f t="shared" si="40"/>
        <v>North America</v>
      </c>
      <c r="T368" s="30">
        <f t="shared" si="41"/>
        <v>2</v>
      </c>
      <c r="U368" s="6"/>
      <c r="V368" s="6"/>
    </row>
    <row r="369" spans="1:22" x14ac:dyDescent="0.3">
      <c r="A369" t="s">
        <v>1284</v>
      </c>
      <c r="B369" t="s">
        <v>1968</v>
      </c>
      <c r="C369" t="s">
        <v>789</v>
      </c>
      <c r="D369" s="1">
        <v>42475.618055555555</v>
      </c>
      <c r="E369" t="s">
        <v>763</v>
      </c>
      <c r="F369" t="s">
        <v>364</v>
      </c>
      <c r="G369">
        <v>28</v>
      </c>
      <c r="H369">
        <v>55</v>
      </c>
      <c r="I369" t="s">
        <v>722</v>
      </c>
      <c r="J369">
        <v>2016</v>
      </c>
      <c r="K369">
        <v>4</v>
      </c>
      <c r="L369">
        <v>15</v>
      </c>
      <c r="M369">
        <v>14</v>
      </c>
      <c r="N369" s="7">
        <f t="shared" si="35"/>
        <v>83</v>
      </c>
      <c r="O369" s="7" t="str">
        <f t="shared" si="38"/>
        <v>Popular</v>
      </c>
      <c r="P369" s="7" t="str">
        <f t="shared" si="36"/>
        <v>Yes</v>
      </c>
      <c r="Q369" s="7" t="str">
        <f t="shared" si="37"/>
        <v>Wide Reach</v>
      </c>
      <c r="R369" s="7" t="str">
        <f t="shared" si="39"/>
        <v>Afternoon</v>
      </c>
      <c r="S369" s="7" t="str">
        <f t="shared" si="40"/>
        <v>Europe</v>
      </c>
      <c r="T369" s="30">
        <f t="shared" si="41"/>
        <v>1.9642857142857142</v>
      </c>
      <c r="U369" s="6"/>
      <c r="V369" s="6"/>
    </row>
    <row r="370" spans="1:22" x14ac:dyDescent="0.3">
      <c r="A370" t="s">
        <v>1285</v>
      </c>
      <c r="B370" t="s">
        <v>1969</v>
      </c>
      <c r="C370" t="s">
        <v>771</v>
      </c>
      <c r="D370" s="1">
        <v>43871.46875</v>
      </c>
      <c r="E370" t="s">
        <v>761</v>
      </c>
      <c r="F370" t="s">
        <v>365</v>
      </c>
      <c r="G370">
        <v>15</v>
      </c>
      <c r="H370">
        <v>30</v>
      </c>
      <c r="I370" t="s">
        <v>732</v>
      </c>
      <c r="J370">
        <v>2020</v>
      </c>
      <c r="K370">
        <v>2</v>
      </c>
      <c r="L370">
        <v>10</v>
      </c>
      <c r="M370">
        <v>11</v>
      </c>
      <c r="N370" s="7">
        <f t="shared" si="35"/>
        <v>45</v>
      </c>
      <c r="O370" s="7" t="str">
        <f t="shared" si="38"/>
        <v>Normal</v>
      </c>
      <c r="P370" s="7" t="str">
        <f t="shared" si="36"/>
        <v>No</v>
      </c>
      <c r="Q370" s="7" t="str">
        <f t="shared" si="37"/>
        <v>Standard</v>
      </c>
      <c r="R370" s="7" t="str">
        <f t="shared" si="39"/>
        <v>Morning</v>
      </c>
      <c r="S370" s="7" t="str">
        <f t="shared" si="40"/>
        <v>Asia</v>
      </c>
      <c r="T370" s="30">
        <f t="shared" si="41"/>
        <v>2</v>
      </c>
      <c r="U370" s="6"/>
      <c r="V370" s="6"/>
    </row>
    <row r="371" spans="1:22" x14ac:dyDescent="0.3">
      <c r="A371" t="s">
        <v>974</v>
      </c>
      <c r="B371" t="s">
        <v>1970</v>
      </c>
      <c r="C371" t="s">
        <v>791</v>
      </c>
      <c r="D371" s="1">
        <v>43365.6875</v>
      </c>
      <c r="E371" t="s">
        <v>762</v>
      </c>
      <c r="F371" t="s">
        <v>366</v>
      </c>
      <c r="G371">
        <v>40</v>
      </c>
      <c r="H371">
        <v>80</v>
      </c>
      <c r="I371" t="s">
        <v>30</v>
      </c>
      <c r="J371">
        <v>2018</v>
      </c>
      <c r="K371">
        <v>9</v>
      </c>
      <c r="L371">
        <v>22</v>
      </c>
      <c r="M371">
        <v>16</v>
      </c>
      <c r="N371" s="7">
        <f t="shared" si="35"/>
        <v>120</v>
      </c>
      <c r="O371" s="7" t="str">
        <f t="shared" si="38"/>
        <v>Popular</v>
      </c>
      <c r="P371" s="7" t="str">
        <f t="shared" si="36"/>
        <v>Yes</v>
      </c>
      <c r="Q371" s="7" t="str">
        <f t="shared" si="37"/>
        <v>Wide Reach</v>
      </c>
      <c r="R371" s="7" t="str">
        <f t="shared" si="39"/>
        <v>Afternoon</v>
      </c>
      <c r="S371" s="7" t="str">
        <f t="shared" si="40"/>
        <v>North America</v>
      </c>
      <c r="T371" s="30">
        <f t="shared" si="41"/>
        <v>2</v>
      </c>
      <c r="U371" s="6"/>
      <c r="V371" s="6"/>
    </row>
    <row r="372" spans="1:22" x14ac:dyDescent="0.3">
      <c r="A372" t="s">
        <v>1286</v>
      </c>
      <c r="B372" t="s">
        <v>367</v>
      </c>
      <c r="C372" t="s">
        <v>816</v>
      </c>
      <c r="D372" s="1">
        <v>42316.416666666664</v>
      </c>
      <c r="E372" t="s">
        <v>763</v>
      </c>
      <c r="F372" t="s">
        <v>368</v>
      </c>
      <c r="G372">
        <v>18</v>
      </c>
      <c r="H372">
        <v>35</v>
      </c>
      <c r="I372" t="s">
        <v>731</v>
      </c>
      <c r="J372">
        <v>2015</v>
      </c>
      <c r="K372">
        <v>11</v>
      </c>
      <c r="L372">
        <v>8</v>
      </c>
      <c r="M372">
        <v>10</v>
      </c>
      <c r="N372" s="7">
        <f t="shared" si="35"/>
        <v>53</v>
      </c>
      <c r="O372" s="7" t="str">
        <f t="shared" si="38"/>
        <v>Normal</v>
      </c>
      <c r="P372" s="7" t="str">
        <f t="shared" si="36"/>
        <v>No</v>
      </c>
      <c r="Q372" s="7" t="str">
        <f t="shared" si="37"/>
        <v>Standard</v>
      </c>
      <c r="R372" s="7" t="str">
        <f t="shared" si="39"/>
        <v>Morning</v>
      </c>
      <c r="S372" s="7" t="str">
        <f t="shared" si="40"/>
        <v>Oceania</v>
      </c>
      <c r="T372" s="30">
        <f t="shared" si="41"/>
        <v>1.9444444444444444</v>
      </c>
      <c r="U372" s="6"/>
      <c r="V372" s="6"/>
    </row>
    <row r="373" spans="1:22" x14ac:dyDescent="0.3">
      <c r="A373" t="s">
        <v>1287</v>
      </c>
      <c r="B373" t="s">
        <v>1971</v>
      </c>
      <c r="C373" t="s">
        <v>858</v>
      </c>
      <c r="D373" s="1">
        <v>44783.916666666664</v>
      </c>
      <c r="E373" t="s">
        <v>762</v>
      </c>
      <c r="F373" t="s">
        <v>369</v>
      </c>
      <c r="G373">
        <v>25</v>
      </c>
      <c r="H373">
        <v>50</v>
      </c>
      <c r="I373" t="s">
        <v>734</v>
      </c>
      <c r="J373">
        <v>2022</v>
      </c>
      <c r="K373">
        <v>8</v>
      </c>
      <c r="L373">
        <v>10</v>
      </c>
      <c r="M373">
        <v>22</v>
      </c>
      <c r="N373" s="7">
        <f t="shared" si="35"/>
        <v>75</v>
      </c>
      <c r="O373" s="7" t="str">
        <f t="shared" si="38"/>
        <v>Popular</v>
      </c>
      <c r="P373" s="7" t="str">
        <f t="shared" si="36"/>
        <v>No</v>
      </c>
      <c r="Q373" s="7" t="str">
        <f t="shared" si="37"/>
        <v>Wide Reach</v>
      </c>
      <c r="R373" s="7" t="str">
        <f t="shared" si="39"/>
        <v>Evening</v>
      </c>
      <c r="S373" s="7" t="str">
        <f t="shared" si="40"/>
        <v>South America</v>
      </c>
      <c r="T373" s="30">
        <f t="shared" si="41"/>
        <v>2</v>
      </c>
      <c r="U373" s="6"/>
      <c r="V373" s="6"/>
    </row>
    <row r="374" spans="1:22" x14ac:dyDescent="0.3">
      <c r="A374" t="s">
        <v>1288</v>
      </c>
      <c r="B374" t="s">
        <v>1972</v>
      </c>
      <c r="C374" t="s">
        <v>859</v>
      </c>
      <c r="D374" s="1">
        <v>43560.729166666664</v>
      </c>
      <c r="E374" t="s">
        <v>761</v>
      </c>
      <c r="F374" t="s">
        <v>370</v>
      </c>
      <c r="G374">
        <v>18</v>
      </c>
      <c r="H374">
        <v>35</v>
      </c>
      <c r="I374" t="s">
        <v>733</v>
      </c>
      <c r="J374">
        <v>2019</v>
      </c>
      <c r="K374">
        <v>4</v>
      </c>
      <c r="L374">
        <v>5</v>
      </c>
      <c r="M374">
        <v>17</v>
      </c>
      <c r="N374" s="7">
        <f t="shared" si="35"/>
        <v>53</v>
      </c>
      <c r="O374" s="7" t="str">
        <f t="shared" si="38"/>
        <v>Normal</v>
      </c>
      <c r="P374" s="7" t="str">
        <f t="shared" si="36"/>
        <v>No</v>
      </c>
      <c r="Q374" s="7" t="str">
        <f t="shared" si="37"/>
        <v>Standard</v>
      </c>
      <c r="R374" s="7" t="str">
        <f t="shared" si="39"/>
        <v>Afternoon</v>
      </c>
      <c r="S374" s="7" t="str">
        <f t="shared" si="40"/>
        <v>Europe</v>
      </c>
      <c r="T374" s="30">
        <f t="shared" si="41"/>
        <v>1.9444444444444444</v>
      </c>
      <c r="U374" s="6"/>
      <c r="V374" s="6"/>
    </row>
    <row r="375" spans="1:22" x14ac:dyDescent="0.3">
      <c r="A375" t="s">
        <v>1289</v>
      </c>
      <c r="B375" t="s">
        <v>1973</v>
      </c>
      <c r="C375" t="s">
        <v>860</v>
      </c>
      <c r="D375" s="1">
        <v>44180.65625</v>
      </c>
      <c r="E375" t="s">
        <v>763</v>
      </c>
      <c r="F375" t="s">
        <v>371</v>
      </c>
      <c r="G375">
        <v>22</v>
      </c>
      <c r="H375">
        <v>45</v>
      </c>
      <c r="I375" t="s">
        <v>735</v>
      </c>
      <c r="J375">
        <v>2020</v>
      </c>
      <c r="K375">
        <v>12</v>
      </c>
      <c r="L375">
        <v>15</v>
      </c>
      <c r="M375">
        <v>15</v>
      </c>
      <c r="N375" s="7">
        <f t="shared" si="35"/>
        <v>67</v>
      </c>
      <c r="O375" s="7" t="str">
        <f t="shared" si="38"/>
        <v>Popular</v>
      </c>
      <c r="P375" s="7" t="str">
        <f t="shared" si="36"/>
        <v>No</v>
      </c>
      <c r="Q375" s="7" t="str">
        <f t="shared" si="37"/>
        <v>Wide Reach</v>
      </c>
      <c r="R375" s="7" t="str">
        <f t="shared" si="39"/>
        <v>Afternoon</v>
      </c>
      <c r="S375" s="7" t="str">
        <f t="shared" si="40"/>
        <v>Asia</v>
      </c>
      <c r="T375" s="30">
        <f t="shared" si="41"/>
        <v>2.0454545454545454</v>
      </c>
      <c r="U375" s="6"/>
      <c r="V375" s="6"/>
    </row>
    <row r="376" spans="1:22" x14ac:dyDescent="0.3">
      <c r="A376" t="s">
        <v>1290</v>
      </c>
      <c r="B376" t="s">
        <v>1974</v>
      </c>
      <c r="C376" t="s">
        <v>861</v>
      </c>
      <c r="D376" s="1">
        <v>43028.34375</v>
      </c>
      <c r="E376" t="s">
        <v>762</v>
      </c>
      <c r="F376" t="s">
        <v>372</v>
      </c>
      <c r="G376">
        <v>35</v>
      </c>
      <c r="H376">
        <v>70</v>
      </c>
      <c r="I376" t="s">
        <v>720</v>
      </c>
      <c r="J376">
        <v>2017</v>
      </c>
      <c r="K376">
        <v>10</v>
      </c>
      <c r="L376">
        <v>20</v>
      </c>
      <c r="M376">
        <v>8</v>
      </c>
      <c r="N376" s="7">
        <f t="shared" si="35"/>
        <v>105</v>
      </c>
      <c r="O376" s="7" t="str">
        <f t="shared" si="38"/>
        <v>Popular</v>
      </c>
      <c r="P376" s="7" t="str">
        <f t="shared" si="36"/>
        <v>Yes</v>
      </c>
      <c r="Q376" s="7" t="str">
        <f t="shared" si="37"/>
        <v>Wide Reach</v>
      </c>
      <c r="R376" s="7" t="str">
        <f t="shared" si="39"/>
        <v>Morning</v>
      </c>
      <c r="S376" s="7" t="str">
        <f t="shared" si="40"/>
        <v>North America</v>
      </c>
      <c r="T376" s="30">
        <f t="shared" si="41"/>
        <v>2</v>
      </c>
      <c r="U376" s="6"/>
      <c r="V376" s="6"/>
    </row>
    <row r="377" spans="1:22" x14ac:dyDescent="0.3">
      <c r="A377" t="s">
        <v>1291</v>
      </c>
      <c r="B377" t="s">
        <v>1975</v>
      </c>
      <c r="C377" t="s">
        <v>862</v>
      </c>
      <c r="D377" s="1">
        <v>44255.541666666664</v>
      </c>
      <c r="E377" t="s">
        <v>761</v>
      </c>
      <c r="F377" t="s">
        <v>373</v>
      </c>
      <c r="G377">
        <v>30</v>
      </c>
      <c r="H377">
        <v>60</v>
      </c>
      <c r="I377" t="s">
        <v>731</v>
      </c>
      <c r="J377">
        <v>2021</v>
      </c>
      <c r="K377">
        <v>2</v>
      </c>
      <c r="L377">
        <v>28</v>
      </c>
      <c r="M377">
        <v>13</v>
      </c>
      <c r="N377" s="7">
        <f t="shared" si="35"/>
        <v>90</v>
      </c>
      <c r="O377" s="7" t="str">
        <f t="shared" si="38"/>
        <v>Popular</v>
      </c>
      <c r="P377" s="7" t="str">
        <f t="shared" si="36"/>
        <v>Yes</v>
      </c>
      <c r="Q377" s="7" t="str">
        <f t="shared" si="37"/>
        <v>Wide Reach</v>
      </c>
      <c r="R377" s="7" t="str">
        <f t="shared" si="39"/>
        <v>Afternoon</v>
      </c>
      <c r="S377" s="7" t="str">
        <f t="shared" si="40"/>
        <v>Oceania</v>
      </c>
      <c r="T377" s="30">
        <f t="shared" si="41"/>
        <v>2</v>
      </c>
      <c r="U377" s="6"/>
      <c r="V377" s="6"/>
    </row>
    <row r="378" spans="1:22" x14ac:dyDescent="0.3">
      <c r="A378" t="s">
        <v>1292</v>
      </c>
      <c r="B378" t="s">
        <v>1976</v>
      </c>
      <c r="C378" t="s">
        <v>863</v>
      </c>
      <c r="D378" s="1">
        <v>43263.854166666664</v>
      </c>
      <c r="E378" t="s">
        <v>763</v>
      </c>
      <c r="F378" t="s">
        <v>374</v>
      </c>
      <c r="G378">
        <v>28</v>
      </c>
      <c r="H378">
        <v>55</v>
      </c>
      <c r="I378" t="s">
        <v>722</v>
      </c>
      <c r="J378">
        <v>2018</v>
      </c>
      <c r="K378">
        <v>6</v>
      </c>
      <c r="L378">
        <v>12</v>
      </c>
      <c r="M378">
        <v>20</v>
      </c>
      <c r="N378" s="7">
        <f t="shared" si="35"/>
        <v>83</v>
      </c>
      <c r="O378" s="7" t="str">
        <f t="shared" si="38"/>
        <v>Popular</v>
      </c>
      <c r="P378" s="7" t="str">
        <f t="shared" si="36"/>
        <v>Yes</v>
      </c>
      <c r="Q378" s="7" t="str">
        <f t="shared" si="37"/>
        <v>Wide Reach</v>
      </c>
      <c r="R378" s="7" t="str">
        <f t="shared" si="39"/>
        <v>Evening</v>
      </c>
      <c r="S378" s="7" t="str">
        <f t="shared" si="40"/>
        <v>Europe</v>
      </c>
      <c r="T378" s="30">
        <f t="shared" si="41"/>
        <v>1.9642857142857142</v>
      </c>
      <c r="U378" s="6"/>
      <c r="V378" s="6"/>
    </row>
    <row r="379" spans="1:22" x14ac:dyDescent="0.3">
      <c r="A379" t="s">
        <v>1293</v>
      </c>
      <c r="B379" t="s">
        <v>1977</v>
      </c>
      <c r="C379" t="s">
        <v>864</v>
      </c>
      <c r="D379" s="1">
        <v>42437.597222222219</v>
      </c>
      <c r="E379" t="s">
        <v>762</v>
      </c>
      <c r="F379" t="s">
        <v>375</v>
      </c>
      <c r="G379">
        <v>20</v>
      </c>
      <c r="H379">
        <v>40</v>
      </c>
      <c r="I379" t="s">
        <v>30</v>
      </c>
      <c r="J379">
        <v>2016</v>
      </c>
      <c r="K379">
        <v>3</v>
      </c>
      <c r="L379">
        <v>8</v>
      </c>
      <c r="M379">
        <v>14</v>
      </c>
      <c r="N379" s="7">
        <f t="shared" si="35"/>
        <v>60</v>
      </c>
      <c r="O379" s="7" t="str">
        <f t="shared" si="38"/>
        <v>Normal</v>
      </c>
      <c r="P379" s="7" t="str">
        <f t="shared" si="36"/>
        <v>No</v>
      </c>
      <c r="Q379" s="7" t="str">
        <f t="shared" si="37"/>
        <v>Standard</v>
      </c>
      <c r="R379" s="7" t="str">
        <f t="shared" si="39"/>
        <v>Afternoon</v>
      </c>
      <c r="S379" s="7" t="str">
        <f t="shared" si="40"/>
        <v>North America</v>
      </c>
      <c r="T379" s="30">
        <f t="shared" si="41"/>
        <v>2</v>
      </c>
      <c r="U379" s="6"/>
      <c r="V379" s="6"/>
    </row>
    <row r="380" spans="1:22" x14ac:dyDescent="0.3">
      <c r="A380" t="s">
        <v>1294</v>
      </c>
      <c r="B380" t="s">
        <v>1978</v>
      </c>
      <c r="C380" t="s">
        <v>865</v>
      </c>
      <c r="D380" s="1">
        <v>45034.715277777781</v>
      </c>
      <c r="E380" t="s">
        <v>761</v>
      </c>
      <c r="F380" t="s">
        <v>376</v>
      </c>
      <c r="G380">
        <v>18</v>
      </c>
      <c r="H380">
        <v>35</v>
      </c>
      <c r="I380" t="s">
        <v>736</v>
      </c>
      <c r="J380">
        <v>2023</v>
      </c>
      <c r="K380">
        <v>4</v>
      </c>
      <c r="L380">
        <v>18</v>
      </c>
      <c r="M380">
        <v>17</v>
      </c>
      <c r="N380" s="7">
        <f t="shared" si="35"/>
        <v>53</v>
      </c>
      <c r="O380" s="7" t="str">
        <f t="shared" si="38"/>
        <v>Normal</v>
      </c>
      <c r="P380" s="7" t="str">
        <f t="shared" si="36"/>
        <v>No</v>
      </c>
      <c r="Q380" s="7" t="str">
        <f t="shared" si="37"/>
        <v>Standard</v>
      </c>
      <c r="R380" s="7" t="str">
        <f t="shared" si="39"/>
        <v>Afternoon</v>
      </c>
      <c r="S380" s="7" t="str">
        <f t="shared" si="40"/>
        <v>Europe</v>
      </c>
      <c r="T380" s="30">
        <f t="shared" si="41"/>
        <v>1.9444444444444444</v>
      </c>
      <c r="U380" s="6"/>
      <c r="V380" s="6"/>
    </row>
    <row r="381" spans="1:22" x14ac:dyDescent="0.3">
      <c r="A381" t="s">
        <v>1295</v>
      </c>
      <c r="B381" t="s">
        <v>1979</v>
      </c>
      <c r="C381" t="s">
        <v>843</v>
      </c>
      <c r="D381" s="1">
        <v>44037.53125</v>
      </c>
      <c r="E381" t="s">
        <v>763</v>
      </c>
      <c r="F381" t="s">
        <v>377</v>
      </c>
      <c r="G381">
        <v>22</v>
      </c>
      <c r="H381">
        <v>45</v>
      </c>
      <c r="I381" t="s">
        <v>737</v>
      </c>
      <c r="J381">
        <v>2020</v>
      </c>
      <c r="K381">
        <v>7</v>
      </c>
      <c r="L381">
        <v>25</v>
      </c>
      <c r="M381">
        <v>12</v>
      </c>
      <c r="N381" s="7">
        <f t="shared" si="35"/>
        <v>67</v>
      </c>
      <c r="O381" s="7" t="str">
        <f t="shared" si="38"/>
        <v>Popular</v>
      </c>
      <c r="P381" s="7" t="str">
        <f t="shared" si="36"/>
        <v>No</v>
      </c>
      <c r="Q381" s="7" t="str">
        <f t="shared" si="37"/>
        <v>Wide Reach</v>
      </c>
      <c r="R381" s="7" t="str">
        <f t="shared" si="39"/>
        <v>Afternoon</v>
      </c>
      <c r="S381" s="7" t="str">
        <f t="shared" si="40"/>
        <v>Europe</v>
      </c>
      <c r="T381" s="30">
        <f t="shared" si="41"/>
        <v>2.0454545454545454</v>
      </c>
      <c r="U381" s="6"/>
      <c r="V381" s="6"/>
    </row>
    <row r="382" spans="1:22" x14ac:dyDescent="0.3">
      <c r="A382" t="s">
        <v>1296</v>
      </c>
      <c r="B382" t="s">
        <v>1980</v>
      </c>
      <c r="C382" t="s">
        <v>866</v>
      </c>
      <c r="D382" s="1">
        <v>43799.8125</v>
      </c>
      <c r="E382" t="s">
        <v>762</v>
      </c>
      <c r="F382" t="s">
        <v>378</v>
      </c>
      <c r="G382">
        <v>35</v>
      </c>
      <c r="H382">
        <v>70</v>
      </c>
      <c r="I382" t="s">
        <v>738</v>
      </c>
      <c r="J382">
        <v>2019</v>
      </c>
      <c r="K382">
        <v>11</v>
      </c>
      <c r="L382">
        <v>30</v>
      </c>
      <c r="M382">
        <v>19</v>
      </c>
      <c r="N382" s="7">
        <f t="shared" si="35"/>
        <v>105</v>
      </c>
      <c r="O382" s="7" t="str">
        <f t="shared" si="38"/>
        <v>Popular</v>
      </c>
      <c r="P382" s="7" t="str">
        <f t="shared" si="36"/>
        <v>Yes</v>
      </c>
      <c r="Q382" s="7" t="str">
        <f t="shared" si="37"/>
        <v>Wide Reach</v>
      </c>
      <c r="R382" s="7" t="str">
        <f t="shared" si="39"/>
        <v>Evening</v>
      </c>
      <c r="S382" s="7" t="str">
        <f t="shared" si="40"/>
        <v>Europe</v>
      </c>
      <c r="T382" s="30">
        <f t="shared" si="41"/>
        <v>2</v>
      </c>
      <c r="U382" s="6"/>
      <c r="V382" s="6"/>
    </row>
    <row r="383" spans="1:22" x14ac:dyDescent="0.3">
      <c r="A383" t="s">
        <v>1297</v>
      </c>
      <c r="B383" t="s">
        <v>1981</v>
      </c>
      <c r="C383" t="s">
        <v>867</v>
      </c>
      <c r="D383" s="1">
        <v>42248.666666666664</v>
      </c>
      <c r="E383" t="s">
        <v>761</v>
      </c>
      <c r="F383" t="s">
        <v>379</v>
      </c>
      <c r="G383">
        <v>15</v>
      </c>
      <c r="H383">
        <v>30</v>
      </c>
      <c r="I383" t="s">
        <v>739</v>
      </c>
      <c r="J383">
        <v>2015</v>
      </c>
      <c r="K383">
        <v>9</v>
      </c>
      <c r="L383">
        <v>1</v>
      </c>
      <c r="M383">
        <v>16</v>
      </c>
      <c r="N383" s="7">
        <f t="shared" si="35"/>
        <v>45</v>
      </c>
      <c r="O383" s="7" t="str">
        <f t="shared" si="38"/>
        <v>Normal</v>
      </c>
      <c r="P383" s="7" t="str">
        <f t="shared" si="36"/>
        <v>No</v>
      </c>
      <c r="Q383" s="7" t="str">
        <f t="shared" si="37"/>
        <v>Standard</v>
      </c>
      <c r="R383" s="7" t="str">
        <f t="shared" si="39"/>
        <v>Afternoon</v>
      </c>
      <c r="S383" s="7" t="str">
        <f t="shared" si="40"/>
        <v>Europe</v>
      </c>
      <c r="T383" s="30">
        <f t="shared" si="41"/>
        <v>2</v>
      </c>
      <c r="U383" s="6"/>
      <c r="V383" s="6"/>
    </row>
    <row r="384" spans="1:22" x14ac:dyDescent="0.3">
      <c r="A384" t="s">
        <v>1298</v>
      </c>
      <c r="B384" t="s">
        <v>1982</v>
      </c>
      <c r="C384" t="s">
        <v>868</v>
      </c>
      <c r="D384" s="1">
        <v>44686.427083333336</v>
      </c>
      <c r="E384" t="s">
        <v>763</v>
      </c>
      <c r="F384" t="s">
        <v>380</v>
      </c>
      <c r="G384">
        <v>25</v>
      </c>
      <c r="H384">
        <v>50</v>
      </c>
      <c r="I384" t="s">
        <v>740</v>
      </c>
      <c r="J384">
        <v>2022</v>
      </c>
      <c r="K384">
        <v>5</v>
      </c>
      <c r="L384">
        <v>5</v>
      </c>
      <c r="M384">
        <v>10</v>
      </c>
      <c r="N384" s="7">
        <f t="shared" si="35"/>
        <v>75</v>
      </c>
      <c r="O384" s="7" t="str">
        <f t="shared" si="38"/>
        <v>Popular</v>
      </c>
      <c r="P384" s="7" t="str">
        <f t="shared" si="36"/>
        <v>No</v>
      </c>
      <c r="Q384" s="7" t="str">
        <f t="shared" si="37"/>
        <v>Wide Reach</v>
      </c>
      <c r="R384" s="7" t="str">
        <f t="shared" si="39"/>
        <v>Morning</v>
      </c>
      <c r="S384" s="7" t="str">
        <f t="shared" si="40"/>
        <v>Europe</v>
      </c>
      <c r="T384" s="30">
        <f t="shared" si="41"/>
        <v>2</v>
      </c>
      <c r="U384" s="6"/>
      <c r="V384" s="6"/>
    </row>
    <row r="385" spans="1:22" x14ac:dyDescent="0.3">
      <c r="A385" t="s">
        <v>1299</v>
      </c>
      <c r="B385" t="s">
        <v>1983</v>
      </c>
      <c r="C385" t="s">
        <v>869</v>
      </c>
      <c r="D385" s="1">
        <v>43289.958333333336</v>
      </c>
      <c r="E385" t="s">
        <v>762</v>
      </c>
      <c r="F385" t="s">
        <v>381</v>
      </c>
      <c r="G385">
        <v>40</v>
      </c>
      <c r="H385">
        <v>80</v>
      </c>
      <c r="I385" t="s">
        <v>741</v>
      </c>
      <c r="J385">
        <v>2018</v>
      </c>
      <c r="K385">
        <v>7</v>
      </c>
      <c r="L385">
        <v>8</v>
      </c>
      <c r="M385">
        <v>23</v>
      </c>
      <c r="N385" s="7">
        <f t="shared" si="35"/>
        <v>120</v>
      </c>
      <c r="O385" s="7" t="str">
        <f t="shared" si="38"/>
        <v>Popular</v>
      </c>
      <c r="P385" s="7" t="str">
        <f t="shared" si="36"/>
        <v>Yes</v>
      </c>
      <c r="Q385" s="7" t="str">
        <f t="shared" si="37"/>
        <v>Wide Reach</v>
      </c>
      <c r="R385" s="7" t="str">
        <f t="shared" si="39"/>
        <v>Evening</v>
      </c>
      <c r="S385" s="7" t="str">
        <f t="shared" si="40"/>
        <v>Africa</v>
      </c>
      <c r="T385" s="30">
        <f t="shared" si="41"/>
        <v>2</v>
      </c>
      <c r="U385" s="6"/>
      <c r="V385" s="6"/>
    </row>
    <row r="386" spans="1:22" x14ac:dyDescent="0.3">
      <c r="A386" t="s">
        <v>1300</v>
      </c>
      <c r="B386" t="s">
        <v>1984</v>
      </c>
      <c r="C386" t="s">
        <v>870</v>
      </c>
      <c r="D386" s="1">
        <v>44459.604166666664</v>
      </c>
      <c r="E386" t="s">
        <v>761</v>
      </c>
      <c r="F386" t="s">
        <v>382</v>
      </c>
      <c r="G386">
        <v>18</v>
      </c>
      <c r="H386">
        <v>35</v>
      </c>
      <c r="I386" t="s">
        <v>742</v>
      </c>
      <c r="J386">
        <v>2021</v>
      </c>
      <c r="K386">
        <v>9</v>
      </c>
      <c r="L386">
        <v>20</v>
      </c>
      <c r="M386">
        <v>14</v>
      </c>
      <c r="N386" s="7">
        <f t="shared" si="35"/>
        <v>53</v>
      </c>
      <c r="O386" s="7" t="str">
        <f t="shared" si="38"/>
        <v>Normal</v>
      </c>
      <c r="P386" s="7" t="str">
        <f t="shared" si="36"/>
        <v>No</v>
      </c>
      <c r="Q386" s="7" t="str">
        <f t="shared" si="37"/>
        <v>Standard</v>
      </c>
      <c r="R386" s="7" t="str">
        <f t="shared" si="39"/>
        <v>Afternoon</v>
      </c>
      <c r="S386" s="7" t="str">
        <f t="shared" si="40"/>
        <v>Europe</v>
      </c>
      <c r="T386" s="30">
        <f t="shared" si="41"/>
        <v>1.9444444444444444</v>
      </c>
      <c r="U386" s="6"/>
      <c r="V386" s="6"/>
    </row>
    <row r="387" spans="1:22" x14ac:dyDescent="0.3">
      <c r="A387" t="s">
        <v>1175</v>
      </c>
      <c r="B387" t="s">
        <v>1985</v>
      </c>
      <c r="C387" t="s">
        <v>846</v>
      </c>
      <c r="D387" s="1">
        <v>42689.489583333336</v>
      </c>
      <c r="E387" t="s">
        <v>763</v>
      </c>
      <c r="F387" t="s">
        <v>383</v>
      </c>
      <c r="G387">
        <v>28</v>
      </c>
      <c r="H387">
        <v>55</v>
      </c>
      <c r="I387" t="s">
        <v>743</v>
      </c>
      <c r="J387">
        <v>2016</v>
      </c>
      <c r="K387">
        <v>11</v>
      </c>
      <c r="L387">
        <v>15</v>
      </c>
      <c r="M387">
        <v>11</v>
      </c>
      <c r="N387" s="7">
        <f t="shared" ref="N387:N450" si="42">SUM(G387,H387)</f>
        <v>83</v>
      </c>
      <c r="O387" s="7" t="str">
        <f t="shared" si="38"/>
        <v>Popular</v>
      </c>
      <c r="P387" s="7" t="str">
        <f t="shared" ref="P387:P450" si="43">IF(AND(G387&gt;25, H387&gt;50), "Yes", "No")</f>
        <v>Yes</v>
      </c>
      <c r="Q387" s="7" t="str">
        <f t="shared" ref="Q387:Q450" si="44">IF(OR(H387&gt;40,G387&gt;20),"Wide Reach","Standard")</f>
        <v>Wide Reach</v>
      </c>
      <c r="R387" s="7" t="str">
        <f t="shared" si="39"/>
        <v>Morning</v>
      </c>
      <c r="S387" s="7" t="str">
        <f t="shared" si="40"/>
        <v>Europe</v>
      </c>
      <c r="T387" s="30">
        <f t="shared" si="41"/>
        <v>1.9642857142857142</v>
      </c>
      <c r="U387" s="6"/>
      <c r="V387" s="6"/>
    </row>
    <row r="388" spans="1:22" x14ac:dyDescent="0.3">
      <c r="A388" t="s">
        <v>1083</v>
      </c>
      <c r="B388" t="s">
        <v>1986</v>
      </c>
      <c r="C388" t="s">
        <v>871</v>
      </c>
      <c r="D388" s="1">
        <v>43842.75</v>
      </c>
      <c r="E388" t="s">
        <v>762</v>
      </c>
      <c r="F388" t="s">
        <v>384</v>
      </c>
      <c r="G388">
        <v>30</v>
      </c>
      <c r="H388">
        <v>60</v>
      </c>
      <c r="I388" t="s">
        <v>744</v>
      </c>
      <c r="J388">
        <v>2020</v>
      </c>
      <c r="K388">
        <v>1</v>
      </c>
      <c r="L388">
        <v>12</v>
      </c>
      <c r="M388">
        <v>18</v>
      </c>
      <c r="N388" s="7">
        <f t="shared" si="42"/>
        <v>90</v>
      </c>
      <c r="O388" s="7" t="str">
        <f t="shared" ref="O388:O451" si="45">IF(N388&gt;60, "Popular", "Normal")</f>
        <v>Popular</v>
      </c>
      <c r="P388" s="7" t="str">
        <f t="shared" si="43"/>
        <v>Yes</v>
      </c>
      <c r="Q388" s="7" t="str">
        <f t="shared" si="44"/>
        <v>Wide Reach</v>
      </c>
      <c r="R388" s="7" t="str">
        <f t="shared" ref="R388:R451" si="46">IF(M388&gt;17,"Evening",IF(M388&gt;11,"Afternoon",IF(M388&gt;5,"Morning","Night")))</f>
        <v>Evening</v>
      </c>
      <c r="S388" s="7" t="str">
        <f t="shared" ref="S388:S451" si="47">_xlfn.SWITCH(I388,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Europe</v>
      </c>
      <c r="T388" s="30">
        <f t="shared" ref="T388:T451" si="48">IFERROR(H388/G388,"Error")</f>
        <v>2</v>
      </c>
      <c r="U388" s="6"/>
      <c r="V388" s="6"/>
    </row>
    <row r="389" spans="1:22" x14ac:dyDescent="0.3">
      <c r="A389" t="s">
        <v>1301</v>
      </c>
      <c r="B389" t="s">
        <v>1987</v>
      </c>
      <c r="C389" t="s">
        <v>795</v>
      </c>
      <c r="D389" s="1">
        <v>43097.802083333336</v>
      </c>
      <c r="E389" t="s">
        <v>763</v>
      </c>
      <c r="F389" t="s">
        <v>385</v>
      </c>
      <c r="G389">
        <v>22</v>
      </c>
      <c r="H389">
        <v>45</v>
      </c>
      <c r="I389" t="s">
        <v>745</v>
      </c>
      <c r="J389">
        <v>2017</v>
      </c>
      <c r="K389">
        <v>12</v>
      </c>
      <c r="L389">
        <v>28</v>
      </c>
      <c r="M389">
        <v>19</v>
      </c>
      <c r="N389" s="7">
        <f t="shared" si="42"/>
        <v>67</v>
      </c>
      <c r="O389" s="7" t="str">
        <f t="shared" si="45"/>
        <v>Popular</v>
      </c>
      <c r="P389" s="7" t="str">
        <f t="shared" si="43"/>
        <v>No</v>
      </c>
      <c r="Q389" s="7" t="str">
        <f t="shared" si="44"/>
        <v>Wide Reach</v>
      </c>
      <c r="R389" s="7" t="str">
        <f t="shared" si="46"/>
        <v>Evening</v>
      </c>
      <c r="S389" s="7" t="str">
        <f t="shared" si="47"/>
        <v>Europe</v>
      </c>
      <c r="T389" s="30">
        <f t="shared" si="48"/>
        <v>2.0454545454545454</v>
      </c>
      <c r="U389" s="6"/>
      <c r="V389" s="6"/>
    </row>
    <row r="390" spans="1:22" x14ac:dyDescent="0.3">
      <c r="A390" t="s">
        <v>1302</v>
      </c>
      <c r="B390" t="s">
        <v>1988</v>
      </c>
      <c r="C390" t="s">
        <v>872</v>
      </c>
      <c r="D390" s="1">
        <v>43526.847222222219</v>
      </c>
      <c r="E390" t="s">
        <v>761</v>
      </c>
      <c r="F390" t="s">
        <v>386</v>
      </c>
      <c r="G390">
        <v>35</v>
      </c>
      <c r="H390">
        <v>70</v>
      </c>
      <c r="I390" t="s">
        <v>746</v>
      </c>
      <c r="J390">
        <v>2019</v>
      </c>
      <c r="K390">
        <v>3</v>
      </c>
      <c r="L390">
        <v>2</v>
      </c>
      <c r="M390">
        <v>20</v>
      </c>
      <c r="N390" s="7">
        <f t="shared" si="42"/>
        <v>105</v>
      </c>
      <c r="O390" s="7" t="str">
        <f t="shared" si="45"/>
        <v>Popular</v>
      </c>
      <c r="P390" s="7" t="str">
        <f t="shared" si="43"/>
        <v>Yes</v>
      </c>
      <c r="Q390" s="7" t="str">
        <f t="shared" si="44"/>
        <v>Wide Reach</v>
      </c>
      <c r="R390" s="7" t="str">
        <f t="shared" si="46"/>
        <v>Evening</v>
      </c>
      <c r="S390" s="7" t="str">
        <f t="shared" si="47"/>
        <v>Europe</v>
      </c>
      <c r="T390" s="30">
        <f t="shared" si="48"/>
        <v>2</v>
      </c>
      <c r="U390" s="6"/>
      <c r="V390" s="6"/>
    </row>
    <row r="391" spans="1:22" x14ac:dyDescent="0.3">
      <c r="A391" t="s">
        <v>1303</v>
      </c>
      <c r="B391" t="s">
        <v>1989</v>
      </c>
      <c r="C391" t="s">
        <v>792</v>
      </c>
      <c r="D391" s="1">
        <v>44720.645833333336</v>
      </c>
      <c r="E391" t="s">
        <v>762</v>
      </c>
      <c r="F391" t="s">
        <v>387</v>
      </c>
      <c r="G391">
        <v>20</v>
      </c>
      <c r="H391">
        <v>40</v>
      </c>
      <c r="I391" t="s">
        <v>747</v>
      </c>
      <c r="J391">
        <v>2022</v>
      </c>
      <c r="K391">
        <v>6</v>
      </c>
      <c r="L391">
        <v>8</v>
      </c>
      <c r="M391">
        <v>15</v>
      </c>
      <c r="N391" s="7">
        <f t="shared" si="42"/>
        <v>60</v>
      </c>
      <c r="O391" s="7" t="str">
        <f t="shared" si="45"/>
        <v>Normal</v>
      </c>
      <c r="P391" s="7" t="str">
        <f t="shared" si="43"/>
        <v>No</v>
      </c>
      <c r="Q391" s="7" t="str">
        <f t="shared" si="44"/>
        <v>Standard</v>
      </c>
      <c r="R391" s="7" t="str">
        <f t="shared" si="46"/>
        <v>Afternoon</v>
      </c>
      <c r="S391" s="7" t="str">
        <f t="shared" si="47"/>
        <v>Europe</v>
      </c>
      <c r="T391" s="30">
        <f t="shared" si="48"/>
        <v>2</v>
      </c>
      <c r="U391" s="6"/>
      <c r="V391" s="6"/>
    </row>
    <row r="392" spans="1:22" x14ac:dyDescent="0.3">
      <c r="A392" t="s">
        <v>1304</v>
      </c>
      <c r="B392" t="s">
        <v>1990</v>
      </c>
      <c r="C392" t="s">
        <v>778</v>
      </c>
      <c r="D392" s="1">
        <v>43330.614583333336</v>
      </c>
      <c r="E392" t="s">
        <v>763</v>
      </c>
      <c r="F392" t="s">
        <v>388</v>
      </c>
      <c r="G392">
        <v>18</v>
      </c>
      <c r="H392">
        <v>35</v>
      </c>
      <c r="I392" t="s">
        <v>748</v>
      </c>
      <c r="J392">
        <v>2018</v>
      </c>
      <c r="K392">
        <v>8</v>
      </c>
      <c r="L392">
        <v>18</v>
      </c>
      <c r="M392">
        <v>14</v>
      </c>
      <c r="N392" s="7">
        <f t="shared" si="42"/>
        <v>53</v>
      </c>
      <c r="O392" s="7" t="str">
        <f t="shared" si="45"/>
        <v>Normal</v>
      </c>
      <c r="P392" s="7" t="str">
        <f t="shared" si="43"/>
        <v>No</v>
      </c>
      <c r="Q392" s="7" t="str">
        <f t="shared" si="44"/>
        <v>Standard</v>
      </c>
      <c r="R392" s="7" t="str">
        <f t="shared" si="46"/>
        <v>Afternoon</v>
      </c>
      <c r="S392" s="7" t="str">
        <f t="shared" si="47"/>
        <v>Europe</v>
      </c>
      <c r="T392" s="30">
        <f t="shared" si="48"/>
        <v>1.9444444444444444</v>
      </c>
      <c r="U392" s="6"/>
      <c r="V392" s="6"/>
    </row>
    <row r="393" spans="1:22" x14ac:dyDescent="0.3">
      <c r="A393" t="s">
        <v>1287</v>
      </c>
      <c r="B393" t="s">
        <v>1991</v>
      </c>
      <c r="C393" t="s">
        <v>858</v>
      </c>
      <c r="D393" s="1">
        <v>44783.916666666664</v>
      </c>
      <c r="E393" t="s">
        <v>762</v>
      </c>
      <c r="F393" t="s">
        <v>389</v>
      </c>
      <c r="G393">
        <v>25</v>
      </c>
      <c r="H393">
        <v>50</v>
      </c>
      <c r="I393" t="s">
        <v>734</v>
      </c>
      <c r="J393">
        <v>2022</v>
      </c>
      <c r="K393">
        <v>8</v>
      </c>
      <c r="L393">
        <v>10</v>
      </c>
      <c r="M393">
        <v>22</v>
      </c>
      <c r="N393" s="7">
        <f t="shared" si="42"/>
        <v>75</v>
      </c>
      <c r="O393" s="7" t="str">
        <f t="shared" si="45"/>
        <v>Popular</v>
      </c>
      <c r="P393" s="7" t="str">
        <f t="shared" si="43"/>
        <v>No</v>
      </c>
      <c r="Q393" s="7" t="str">
        <f t="shared" si="44"/>
        <v>Wide Reach</v>
      </c>
      <c r="R393" s="7" t="str">
        <f t="shared" si="46"/>
        <v>Evening</v>
      </c>
      <c r="S393" s="7" t="str">
        <f t="shared" si="47"/>
        <v>South America</v>
      </c>
      <c r="T393" s="30">
        <f t="shared" si="48"/>
        <v>2</v>
      </c>
      <c r="U393" s="6"/>
      <c r="V393" s="6"/>
    </row>
    <row r="394" spans="1:22" x14ac:dyDescent="0.3">
      <c r="A394" t="s">
        <v>990</v>
      </c>
      <c r="B394" t="s">
        <v>1992</v>
      </c>
      <c r="C394" t="s">
        <v>873</v>
      </c>
      <c r="D394" s="1">
        <v>43560.729166666664</v>
      </c>
      <c r="E394" t="s">
        <v>761</v>
      </c>
      <c r="F394" t="s">
        <v>390</v>
      </c>
      <c r="G394">
        <v>18</v>
      </c>
      <c r="H394">
        <v>35</v>
      </c>
      <c r="I394" t="s">
        <v>733</v>
      </c>
      <c r="J394">
        <v>2019</v>
      </c>
      <c r="K394">
        <v>4</v>
      </c>
      <c r="L394">
        <v>5</v>
      </c>
      <c r="M394">
        <v>17</v>
      </c>
      <c r="N394" s="7">
        <f t="shared" si="42"/>
        <v>53</v>
      </c>
      <c r="O394" s="7" t="str">
        <f t="shared" si="45"/>
        <v>Normal</v>
      </c>
      <c r="P394" s="7" t="str">
        <f t="shared" si="43"/>
        <v>No</v>
      </c>
      <c r="Q394" s="7" t="str">
        <f t="shared" si="44"/>
        <v>Standard</v>
      </c>
      <c r="R394" s="7" t="str">
        <f t="shared" si="46"/>
        <v>Afternoon</v>
      </c>
      <c r="S394" s="7" t="str">
        <f t="shared" si="47"/>
        <v>Europe</v>
      </c>
      <c r="T394" s="30">
        <f t="shared" si="48"/>
        <v>1.9444444444444444</v>
      </c>
      <c r="U394" s="6"/>
      <c r="V394" s="6"/>
    </row>
    <row r="395" spans="1:22" x14ac:dyDescent="0.3">
      <c r="A395" t="s">
        <v>1305</v>
      </c>
      <c r="B395" t="s">
        <v>1993</v>
      </c>
      <c r="C395" t="s">
        <v>874</v>
      </c>
      <c r="D395" s="1">
        <v>44180.65625</v>
      </c>
      <c r="E395" t="s">
        <v>763</v>
      </c>
      <c r="F395" t="s">
        <v>391</v>
      </c>
      <c r="G395">
        <v>22</v>
      </c>
      <c r="H395">
        <v>45</v>
      </c>
      <c r="I395" t="s">
        <v>735</v>
      </c>
      <c r="J395">
        <v>2020</v>
      </c>
      <c r="K395">
        <v>12</v>
      </c>
      <c r="L395">
        <v>15</v>
      </c>
      <c r="M395">
        <v>15</v>
      </c>
      <c r="N395" s="7">
        <f t="shared" si="42"/>
        <v>67</v>
      </c>
      <c r="O395" s="7" t="str">
        <f t="shared" si="45"/>
        <v>Popular</v>
      </c>
      <c r="P395" s="7" t="str">
        <f t="shared" si="43"/>
        <v>No</v>
      </c>
      <c r="Q395" s="7" t="str">
        <f t="shared" si="44"/>
        <v>Wide Reach</v>
      </c>
      <c r="R395" s="7" t="str">
        <f t="shared" si="46"/>
        <v>Afternoon</v>
      </c>
      <c r="S395" s="7" t="str">
        <f t="shared" si="47"/>
        <v>Asia</v>
      </c>
      <c r="T395" s="30">
        <f t="shared" si="48"/>
        <v>2.0454545454545454</v>
      </c>
      <c r="U395" s="6"/>
      <c r="V395" s="6"/>
    </row>
    <row r="396" spans="1:22" x14ac:dyDescent="0.3">
      <c r="A396" t="s">
        <v>1306</v>
      </c>
      <c r="B396" t="s">
        <v>1994</v>
      </c>
      <c r="C396" t="s">
        <v>875</v>
      </c>
      <c r="D396" s="1">
        <v>43028.34375</v>
      </c>
      <c r="E396" t="s">
        <v>762</v>
      </c>
      <c r="F396" t="s">
        <v>392</v>
      </c>
      <c r="G396">
        <v>35</v>
      </c>
      <c r="H396">
        <v>70</v>
      </c>
      <c r="I396" t="s">
        <v>720</v>
      </c>
      <c r="J396">
        <v>2017</v>
      </c>
      <c r="K396">
        <v>10</v>
      </c>
      <c r="L396">
        <v>20</v>
      </c>
      <c r="M396">
        <v>8</v>
      </c>
      <c r="N396" s="7">
        <f t="shared" si="42"/>
        <v>105</v>
      </c>
      <c r="O396" s="7" t="str">
        <f t="shared" si="45"/>
        <v>Popular</v>
      </c>
      <c r="P396" s="7" t="str">
        <f t="shared" si="43"/>
        <v>Yes</v>
      </c>
      <c r="Q396" s="7" t="str">
        <f t="shared" si="44"/>
        <v>Wide Reach</v>
      </c>
      <c r="R396" s="7" t="str">
        <f t="shared" si="46"/>
        <v>Morning</v>
      </c>
      <c r="S396" s="7" t="str">
        <f t="shared" si="47"/>
        <v>North America</v>
      </c>
      <c r="T396" s="30">
        <f t="shared" si="48"/>
        <v>2</v>
      </c>
      <c r="U396" s="6"/>
      <c r="V396" s="6"/>
    </row>
    <row r="397" spans="1:22" x14ac:dyDescent="0.3">
      <c r="A397" t="s">
        <v>1307</v>
      </c>
      <c r="B397" t="s">
        <v>1995</v>
      </c>
      <c r="C397" t="s">
        <v>876</v>
      </c>
      <c r="D397" s="1">
        <v>44255.541666666664</v>
      </c>
      <c r="E397" t="s">
        <v>761</v>
      </c>
      <c r="F397" t="s">
        <v>393</v>
      </c>
      <c r="G397">
        <v>30</v>
      </c>
      <c r="H397">
        <v>60</v>
      </c>
      <c r="I397" t="s">
        <v>731</v>
      </c>
      <c r="J397">
        <v>2021</v>
      </c>
      <c r="K397">
        <v>2</v>
      </c>
      <c r="L397">
        <v>28</v>
      </c>
      <c r="M397">
        <v>13</v>
      </c>
      <c r="N397" s="7">
        <f t="shared" si="42"/>
        <v>90</v>
      </c>
      <c r="O397" s="7" t="str">
        <f t="shared" si="45"/>
        <v>Popular</v>
      </c>
      <c r="P397" s="7" t="str">
        <f t="shared" si="43"/>
        <v>Yes</v>
      </c>
      <c r="Q397" s="7" t="str">
        <f t="shared" si="44"/>
        <v>Wide Reach</v>
      </c>
      <c r="R397" s="7" t="str">
        <f t="shared" si="46"/>
        <v>Afternoon</v>
      </c>
      <c r="S397" s="7" t="str">
        <f t="shared" si="47"/>
        <v>Oceania</v>
      </c>
      <c r="T397" s="30">
        <f t="shared" si="48"/>
        <v>2</v>
      </c>
      <c r="U397" s="6"/>
      <c r="V397" s="6"/>
    </row>
    <row r="398" spans="1:22" x14ac:dyDescent="0.3">
      <c r="A398" t="s">
        <v>1308</v>
      </c>
      <c r="B398" t="s">
        <v>1996</v>
      </c>
      <c r="C398" t="s">
        <v>877</v>
      </c>
      <c r="D398" s="1">
        <v>43263.854166666664</v>
      </c>
      <c r="E398" t="s">
        <v>763</v>
      </c>
      <c r="F398" t="s">
        <v>394</v>
      </c>
      <c r="G398">
        <v>28</v>
      </c>
      <c r="H398">
        <v>55</v>
      </c>
      <c r="I398" t="s">
        <v>722</v>
      </c>
      <c r="J398">
        <v>2018</v>
      </c>
      <c r="K398">
        <v>6</v>
      </c>
      <c r="L398">
        <v>12</v>
      </c>
      <c r="M398">
        <v>20</v>
      </c>
      <c r="N398" s="7">
        <f t="shared" si="42"/>
        <v>83</v>
      </c>
      <c r="O398" s="7" t="str">
        <f t="shared" si="45"/>
        <v>Popular</v>
      </c>
      <c r="P398" s="7" t="str">
        <f t="shared" si="43"/>
        <v>Yes</v>
      </c>
      <c r="Q398" s="7" t="str">
        <f t="shared" si="44"/>
        <v>Wide Reach</v>
      </c>
      <c r="R398" s="7" t="str">
        <f t="shared" si="46"/>
        <v>Evening</v>
      </c>
      <c r="S398" s="7" t="str">
        <f t="shared" si="47"/>
        <v>Europe</v>
      </c>
      <c r="T398" s="30">
        <f t="shared" si="48"/>
        <v>1.9642857142857142</v>
      </c>
      <c r="U398" s="6"/>
      <c r="V398" s="6"/>
    </row>
    <row r="399" spans="1:22" x14ac:dyDescent="0.3">
      <c r="A399" t="s">
        <v>1309</v>
      </c>
      <c r="B399" t="s">
        <v>1997</v>
      </c>
      <c r="C399" t="s">
        <v>864</v>
      </c>
      <c r="D399" s="1">
        <v>42437.597222222219</v>
      </c>
      <c r="E399" t="s">
        <v>762</v>
      </c>
      <c r="F399" t="s">
        <v>395</v>
      </c>
      <c r="G399">
        <v>20</v>
      </c>
      <c r="H399">
        <v>40</v>
      </c>
      <c r="I399" t="s">
        <v>30</v>
      </c>
      <c r="J399">
        <v>2016</v>
      </c>
      <c r="K399">
        <v>3</v>
      </c>
      <c r="L399">
        <v>8</v>
      </c>
      <c r="M399">
        <v>14</v>
      </c>
      <c r="N399" s="7">
        <f t="shared" si="42"/>
        <v>60</v>
      </c>
      <c r="O399" s="7" t="str">
        <f t="shared" si="45"/>
        <v>Normal</v>
      </c>
      <c r="P399" s="7" t="str">
        <f t="shared" si="43"/>
        <v>No</v>
      </c>
      <c r="Q399" s="7" t="str">
        <f t="shared" si="44"/>
        <v>Standard</v>
      </c>
      <c r="R399" s="7" t="str">
        <f t="shared" si="46"/>
        <v>Afternoon</v>
      </c>
      <c r="S399" s="7" t="str">
        <f t="shared" si="47"/>
        <v>North America</v>
      </c>
      <c r="T399" s="30">
        <f t="shared" si="48"/>
        <v>2</v>
      </c>
      <c r="U399" s="6"/>
      <c r="V399" s="6"/>
    </row>
    <row r="400" spans="1:22" x14ac:dyDescent="0.3">
      <c r="A400" t="s">
        <v>1294</v>
      </c>
      <c r="B400" t="s">
        <v>1998</v>
      </c>
      <c r="C400" t="s">
        <v>852</v>
      </c>
      <c r="D400" s="1">
        <v>45034.715277777781</v>
      </c>
      <c r="E400" t="s">
        <v>761</v>
      </c>
      <c r="F400" t="s">
        <v>396</v>
      </c>
      <c r="G400">
        <v>18</v>
      </c>
      <c r="H400">
        <v>35</v>
      </c>
      <c r="I400" t="s">
        <v>736</v>
      </c>
      <c r="J400">
        <v>2023</v>
      </c>
      <c r="K400">
        <v>4</v>
      </c>
      <c r="L400">
        <v>18</v>
      </c>
      <c r="M400">
        <v>17</v>
      </c>
      <c r="N400" s="7">
        <f t="shared" si="42"/>
        <v>53</v>
      </c>
      <c r="O400" s="7" t="str">
        <f t="shared" si="45"/>
        <v>Normal</v>
      </c>
      <c r="P400" s="7" t="str">
        <f t="shared" si="43"/>
        <v>No</v>
      </c>
      <c r="Q400" s="7" t="str">
        <f t="shared" si="44"/>
        <v>Standard</v>
      </c>
      <c r="R400" s="7" t="str">
        <f t="shared" si="46"/>
        <v>Afternoon</v>
      </c>
      <c r="S400" s="7" t="str">
        <f t="shared" si="47"/>
        <v>Europe</v>
      </c>
      <c r="T400" s="30">
        <f t="shared" si="48"/>
        <v>1.9444444444444444</v>
      </c>
      <c r="U400" s="6"/>
      <c r="V400" s="6"/>
    </row>
    <row r="401" spans="1:22" x14ac:dyDescent="0.3">
      <c r="A401" t="s">
        <v>1310</v>
      </c>
      <c r="B401" t="s">
        <v>1999</v>
      </c>
      <c r="C401" t="s">
        <v>878</v>
      </c>
      <c r="D401" s="1">
        <v>44037.53125</v>
      </c>
      <c r="E401" t="s">
        <v>763</v>
      </c>
      <c r="F401" t="s">
        <v>397</v>
      </c>
      <c r="G401">
        <v>22</v>
      </c>
      <c r="H401">
        <v>45</v>
      </c>
      <c r="I401" t="s">
        <v>737</v>
      </c>
      <c r="J401">
        <v>2020</v>
      </c>
      <c r="K401">
        <v>7</v>
      </c>
      <c r="L401">
        <v>25</v>
      </c>
      <c r="M401">
        <v>12</v>
      </c>
      <c r="N401" s="7">
        <f t="shared" si="42"/>
        <v>67</v>
      </c>
      <c r="O401" s="7" t="str">
        <f t="shared" si="45"/>
        <v>Popular</v>
      </c>
      <c r="P401" s="7" t="str">
        <f t="shared" si="43"/>
        <v>No</v>
      </c>
      <c r="Q401" s="7" t="str">
        <f t="shared" si="44"/>
        <v>Wide Reach</v>
      </c>
      <c r="R401" s="7" t="str">
        <f t="shared" si="46"/>
        <v>Afternoon</v>
      </c>
      <c r="S401" s="7" t="str">
        <f t="shared" si="47"/>
        <v>Europe</v>
      </c>
      <c r="T401" s="30">
        <f t="shared" si="48"/>
        <v>2.0454545454545454</v>
      </c>
      <c r="U401" s="6"/>
      <c r="V401" s="6"/>
    </row>
    <row r="402" spans="1:22" x14ac:dyDescent="0.3">
      <c r="A402" t="s">
        <v>1296</v>
      </c>
      <c r="B402" t="s">
        <v>2000</v>
      </c>
      <c r="C402" t="s">
        <v>866</v>
      </c>
      <c r="D402" s="1">
        <v>43799.8125</v>
      </c>
      <c r="E402" t="s">
        <v>762</v>
      </c>
      <c r="F402" t="s">
        <v>378</v>
      </c>
      <c r="G402">
        <v>35</v>
      </c>
      <c r="H402">
        <v>70</v>
      </c>
      <c r="I402" t="s">
        <v>738</v>
      </c>
      <c r="J402">
        <v>2019</v>
      </c>
      <c r="K402">
        <v>11</v>
      </c>
      <c r="L402">
        <v>30</v>
      </c>
      <c r="M402">
        <v>19</v>
      </c>
      <c r="N402" s="7">
        <f t="shared" si="42"/>
        <v>105</v>
      </c>
      <c r="O402" s="7" t="str">
        <f t="shared" si="45"/>
        <v>Popular</v>
      </c>
      <c r="P402" s="7" t="str">
        <f t="shared" si="43"/>
        <v>Yes</v>
      </c>
      <c r="Q402" s="7" t="str">
        <f t="shared" si="44"/>
        <v>Wide Reach</v>
      </c>
      <c r="R402" s="7" t="str">
        <f t="shared" si="46"/>
        <v>Evening</v>
      </c>
      <c r="S402" s="7" t="str">
        <f t="shared" si="47"/>
        <v>Europe</v>
      </c>
      <c r="T402" s="30">
        <f t="shared" si="48"/>
        <v>2</v>
      </c>
      <c r="U402" s="6"/>
      <c r="V402" s="6"/>
    </row>
    <row r="403" spans="1:22" x14ac:dyDescent="0.3">
      <c r="A403" t="s">
        <v>1297</v>
      </c>
      <c r="B403" t="s">
        <v>2001</v>
      </c>
      <c r="C403" t="s">
        <v>879</v>
      </c>
      <c r="D403" s="1">
        <v>42248.666666666664</v>
      </c>
      <c r="E403" t="s">
        <v>761</v>
      </c>
      <c r="F403" t="s">
        <v>398</v>
      </c>
      <c r="G403">
        <v>15</v>
      </c>
      <c r="H403">
        <v>30</v>
      </c>
      <c r="I403" t="s">
        <v>739</v>
      </c>
      <c r="J403">
        <v>2015</v>
      </c>
      <c r="K403">
        <v>9</v>
      </c>
      <c r="L403">
        <v>1</v>
      </c>
      <c r="M403">
        <v>16</v>
      </c>
      <c r="N403" s="7">
        <f t="shared" si="42"/>
        <v>45</v>
      </c>
      <c r="O403" s="7" t="str">
        <f t="shared" si="45"/>
        <v>Normal</v>
      </c>
      <c r="P403" s="7" t="str">
        <f t="shared" si="43"/>
        <v>No</v>
      </c>
      <c r="Q403" s="7" t="str">
        <f t="shared" si="44"/>
        <v>Standard</v>
      </c>
      <c r="R403" s="7" t="str">
        <f t="shared" si="46"/>
        <v>Afternoon</v>
      </c>
      <c r="S403" s="7" t="str">
        <f t="shared" si="47"/>
        <v>Europe</v>
      </c>
      <c r="T403" s="30">
        <f t="shared" si="48"/>
        <v>2</v>
      </c>
      <c r="U403" s="6"/>
      <c r="V403" s="6"/>
    </row>
    <row r="404" spans="1:22" x14ac:dyDescent="0.3">
      <c r="A404" t="s">
        <v>1298</v>
      </c>
      <c r="B404" t="s">
        <v>2002</v>
      </c>
      <c r="C404" t="s">
        <v>868</v>
      </c>
      <c r="D404" s="1">
        <v>44686.427083333336</v>
      </c>
      <c r="E404" t="s">
        <v>763</v>
      </c>
      <c r="F404" t="s">
        <v>380</v>
      </c>
      <c r="G404">
        <v>25</v>
      </c>
      <c r="H404">
        <v>50</v>
      </c>
      <c r="I404" t="s">
        <v>740</v>
      </c>
      <c r="J404">
        <v>2022</v>
      </c>
      <c r="K404">
        <v>5</v>
      </c>
      <c r="L404">
        <v>5</v>
      </c>
      <c r="M404">
        <v>10</v>
      </c>
      <c r="N404" s="7">
        <f t="shared" si="42"/>
        <v>75</v>
      </c>
      <c r="O404" s="7" t="str">
        <f t="shared" si="45"/>
        <v>Popular</v>
      </c>
      <c r="P404" s="7" t="str">
        <f t="shared" si="43"/>
        <v>No</v>
      </c>
      <c r="Q404" s="7" t="str">
        <f t="shared" si="44"/>
        <v>Wide Reach</v>
      </c>
      <c r="R404" s="7" t="str">
        <f t="shared" si="46"/>
        <v>Morning</v>
      </c>
      <c r="S404" s="7" t="str">
        <f t="shared" si="47"/>
        <v>Europe</v>
      </c>
      <c r="T404" s="30">
        <f t="shared" si="48"/>
        <v>2</v>
      </c>
      <c r="U404" s="6"/>
      <c r="V404" s="6"/>
    </row>
    <row r="405" spans="1:22" x14ac:dyDescent="0.3">
      <c r="A405" t="s">
        <v>1299</v>
      </c>
      <c r="B405" t="s">
        <v>2003</v>
      </c>
      <c r="C405" t="s">
        <v>869</v>
      </c>
      <c r="D405" s="1">
        <v>43289.958333333336</v>
      </c>
      <c r="E405" t="s">
        <v>762</v>
      </c>
      <c r="F405" t="s">
        <v>381</v>
      </c>
      <c r="G405">
        <v>40</v>
      </c>
      <c r="H405">
        <v>80</v>
      </c>
      <c r="I405" t="s">
        <v>741</v>
      </c>
      <c r="J405">
        <v>2018</v>
      </c>
      <c r="K405">
        <v>7</v>
      </c>
      <c r="L405">
        <v>8</v>
      </c>
      <c r="M405">
        <v>23</v>
      </c>
      <c r="N405" s="7">
        <f t="shared" si="42"/>
        <v>120</v>
      </c>
      <c r="O405" s="7" t="str">
        <f t="shared" si="45"/>
        <v>Popular</v>
      </c>
      <c r="P405" s="7" t="str">
        <f t="shared" si="43"/>
        <v>Yes</v>
      </c>
      <c r="Q405" s="7" t="str">
        <f t="shared" si="44"/>
        <v>Wide Reach</v>
      </c>
      <c r="R405" s="7" t="str">
        <f t="shared" si="46"/>
        <v>Evening</v>
      </c>
      <c r="S405" s="7" t="str">
        <f t="shared" si="47"/>
        <v>Africa</v>
      </c>
      <c r="T405" s="30">
        <f t="shared" si="48"/>
        <v>2</v>
      </c>
      <c r="U405" s="6"/>
      <c r="V405" s="6"/>
    </row>
    <row r="406" spans="1:22" x14ac:dyDescent="0.3">
      <c r="A406" t="s">
        <v>1300</v>
      </c>
      <c r="B406" t="s">
        <v>1984</v>
      </c>
      <c r="C406" t="s">
        <v>870</v>
      </c>
      <c r="D406" s="1">
        <v>44459.604166666664</v>
      </c>
      <c r="E406" t="s">
        <v>761</v>
      </c>
      <c r="F406" t="s">
        <v>382</v>
      </c>
      <c r="G406">
        <v>18</v>
      </c>
      <c r="H406">
        <v>35</v>
      </c>
      <c r="I406" t="s">
        <v>742</v>
      </c>
      <c r="J406">
        <v>2021</v>
      </c>
      <c r="K406">
        <v>9</v>
      </c>
      <c r="L406">
        <v>20</v>
      </c>
      <c r="M406">
        <v>14</v>
      </c>
      <c r="N406" s="7">
        <f t="shared" si="42"/>
        <v>53</v>
      </c>
      <c r="O406" s="7" t="str">
        <f t="shared" si="45"/>
        <v>Normal</v>
      </c>
      <c r="P406" s="7" t="str">
        <f t="shared" si="43"/>
        <v>No</v>
      </c>
      <c r="Q406" s="7" t="str">
        <f t="shared" si="44"/>
        <v>Standard</v>
      </c>
      <c r="R406" s="7" t="str">
        <f t="shared" si="46"/>
        <v>Afternoon</v>
      </c>
      <c r="S406" s="7" t="str">
        <f t="shared" si="47"/>
        <v>Europe</v>
      </c>
      <c r="T406" s="30">
        <f t="shared" si="48"/>
        <v>1.9444444444444444</v>
      </c>
      <c r="U406" s="6"/>
      <c r="V406" s="6"/>
    </row>
    <row r="407" spans="1:22" x14ac:dyDescent="0.3">
      <c r="A407" t="s">
        <v>1175</v>
      </c>
      <c r="B407" t="s">
        <v>1985</v>
      </c>
      <c r="C407" t="s">
        <v>846</v>
      </c>
      <c r="D407" s="1">
        <v>42689.489583333336</v>
      </c>
      <c r="E407" t="s">
        <v>763</v>
      </c>
      <c r="F407" t="s">
        <v>383</v>
      </c>
      <c r="G407">
        <v>28</v>
      </c>
      <c r="H407">
        <v>55</v>
      </c>
      <c r="I407" t="s">
        <v>743</v>
      </c>
      <c r="J407">
        <v>2016</v>
      </c>
      <c r="K407">
        <v>11</v>
      </c>
      <c r="L407">
        <v>15</v>
      </c>
      <c r="M407">
        <v>11</v>
      </c>
      <c r="N407" s="7">
        <f t="shared" si="42"/>
        <v>83</v>
      </c>
      <c r="O407" s="7" t="str">
        <f t="shared" si="45"/>
        <v>Popular</v>
      </c>
      <c r="P407" s="7" t="str">
        <f t="shared" si="43"/>
        <v>Yes</v>
      </c>
      <c r="Q407" s="7" t="str">
        <f t="shared" si="44"/>
        <v>Wide Reach</v>
      </c>
      <c r="R407" s="7" t="str">
        <f t="shared" si="46"/>
        <v>Morning</v>
      </c>
      <c r="S407" s="7" t="str">
        <f t="shared" si="47"/>
        <v>Europe</v>
      </c>
      <c r="T407" s="30">
        <f t="shared" si="48"/>
        <v>1.9642857142857142</v>
      </c>
      <c r="U407" s="6"/>
      <c r="V407" s="6"/>
    </row>
    <row r="408" spans="1:22" x14ac:dyDescent="0.3">
      <c r="A408" t="s">
        <v>1083</v>
      </c>
      <c r="B408" t="s">
        <v>1986</v>
      </c>
      <c r="C408" t="s">
        <v>871</v>
      </c>
      <c r="D408" s="1">
        <v>43842.75</v>
      </c>
      <c r="E408" t="s">
        <v>762</v>
      </c>
      <c r="F408" t="s">
        <v>384</v>
      </c>
      <c r="G408">
        <v>30</v>
      </c>
      <c r="H408">
        <v>60</v>
      </c>
      <c r="I408" t="s">
        <v>744</v>
      </c>
      <c r="J408">
        <v>2020</v>
      </c>
      <c r="K408">
        <v>1</v>
      </c>
      <c r="L408">
        <v>12</v>
      </c>
      <c r="M408">
        <v>18</v>
      </c>
      <c r="N408" s="7">
        <f t="shared" si="42"/>
        <v>90</v>
      </c>
      <c r="O408" s="7" t="str">
        <f t="shared" si="45"/>
        <v>Popular</v>
      </c>
      <c r="P408" s="7" t="str">
        <f t="shared" si="43"/>
        <v>Yes</v>
      </c>
      <c r="Q408" s="7" t="str">
        <f t="shared" si="44"/>
        <v>Wide Reach</v>
      </c>
      <c r="R408" s="7" t="str">
        <f t="shared" si="46"/>
        <v>Evening</v>
      </c>
      <c r="S408" s="7" t="str">
        <f t="shared" si="47"/>
        <v>Europe</v>
      </c>
      <c r="T408" s="30">
        <f t="shared" si="48"/>
        <v>2</v>
      </c>
      <c r="U408" s="6"/>
      <c r="V408" s="6"/>
    </row>
    <row r="409" spans="1:22" x14ac:dyDescent="0.3">
      <c r="A409" t="s">
        <v>1301</v>
      </c>
      <c r="B409" t="s">
        <v>1987</v>
      </c>
      <c r="C409" t="s">
        <v>795</v>
      </c>
      <c r="D409" s="1">
        <v>43097.802083333336</v>
      </c>
      <c r="E409" t="s">
        <v>763</v>
      </c>
      <c r="F409" t="s">
        <v>385</v>
      </c>
      <c r="G409">
        <v>22</v>
      </c>
      <c r="H409">
        <v>45</v>
      </c>
      <c r="I409" t="s">
        <v>745</v>
      </c>
      <c r="J409">
        <v>2017</v>
      </c>
      <c r="K409">
        <v>12</v>
      </c>
      <c r="L409">
        <v>28</v>
      </c>
      <c r="M409">
        <v>19</v>
      </c>
      <c r="N409" s="7">
        <f t="shared" si="42"/>
        <v>67</v>
      </c>
      <c r="O409" s="7" t="str">
        <f t="shared" si="45"/>
        <v>Popular</v>
      </c>
      <c r="P409" s="7" t="str">
        <f t="shared" si="43"/>
        <v>No</v>
      </c>
      <c r="Q409" s="7" t="str">
        <f t="shared" si="44"/>
        <v>Wide Reach</v>
      </c>
      <c r="R409" s="7" t="str">
        <f t="shared" si="46"/>
        <v>Evening</v>
      </c>
      <c r="S409" s="7" t="str">
        <f t="shared" si="47"/>
        <v>Europe</v>
      </c>
      <c r="T409" s="30">
        <f t="shared" si="48"/>
        <v>2.0454545454545454</v>
      </c>
      <c r="U409" s="6"/>
      <c r="V409" s="6"/>
    </row>
    <row r="410" spans="1:22" x14ac:dyDescent="0.3">
      <c r="A410" t="s">
        <v>1302</v>
      </c>
      <c r="B410" t="s">
        <v>2004</v>
      </c>
      <c r="C410" t="s">
        <v>880</v>
      </c>
      <c r="D410" s="1">
        <v>43526.847222222219</v>
      </c>
      <c r="E410" t="s">
        <v>761</v>
      </c>
      <c r="F410" t="s">
        <v>399</v>
      </c>
      <c r="G410">
        <v>35</v>
      </c>
      <c r="H410">
        <v>70</v>
      </c>
      <c r="I410" t="s">
        <v>746</v>
      </c>
      <c r="J410">
        <v>2019</v>
      </c>
      <c r="K410">
        <v>3</v>
      </c>
      <c r="L410">
        <v>2</v>
      </c>
      <c r="M410">
        <v>20</v>
      </c>
      <c r="N410" s="7">
        <f t="shared" si="42"/>
        <v>105</v>
      </c>
      <c r="O410" s="7" t="str">
        <f t="shared" si="45"/>
        <v>Popular</v>
      </c>
      <c r="P410" s="7" t="str">
        <f t="shared" si="43"/>
        <v>Yes</v>
      </c>
      <c r="Q410" s="7" t="str">
        <f t="shared" si="44"/>
        <v>Wide Reach</v>
      </c>
      <c r="R410" s="7" t="str">
        <f t="shared" si="46"/>
        <v>Evening</v>
      </c>
      <c r="S410" s="7" t="str">
        <f t="shared" si="47"/>
        <v>Europe</v>
      </c>
      <c r="T410" s="30">
        <f t="shared" si="48"/>
        <v>2</v>
      </c>
      <c r="U410" s="6"/>
      <c r="V410" s="6"/>
    </row>
    <row r="411" spans="1:22" x14ac:dyDescent="0.3">
      <c r="A411" t="s">
        <v>1303</v>
      </c>
      <c r="B411" t="s">
        <v>2005</v>
      </c>
      <c r="C411" t="s">
        <v>792</v>
      </c>
      <c r="D411" s="1">
        <v>44720.645833333336</v>
      </c>
      <c r="E411" t="s">
        <v>762</v>
      </c>
      <c r="F411" t="s">
        <v>400</v>
      </c>
      <c r="G411">
        <v>20</v>
      </c>
      <c r="H411">
        <v>40</v>
      </c>
      <c r="I411" t="s">
        <v>747</v>
      </c>
      <c r="J411">
        <v>2022</v>
      </c>
      <c r="K411">
        <v>6</v>
      </c>
      <c r="L411">
        <v>8</v>
      </c>
      <c r="M411">
        <v>15</v>
      </c>
      <c r="N411" s="7">
        <f t="shared" si="42"/>
        <v>60</v>
      </c>
      <c r="O411" s="7" t="str">
        <f t="shared" si="45"/>
        <v>Normal</v>
      </c>
      <c r="P411" s="7" t="str">
        <f t="shared" si="43"/>
        <v>No</v>
      </c>
      <c r="Q411" s="7" t="str">
        <f t="shared" si="44"/>
        <v>Standard</v>
      </c>
      <c r="R411" s="7" t="str">
        <f t="shared" si="46"/>
        <v>Afternoon</v>
      </c>
      <c r="S411" s="7" t="str">
        <f t="shared" si="47"/>
        <v>Europe</v>
      </c>
      <c r="T411" s="30">
        <f t="shared" si="48"/>
        <v>2</v>
      </c>
      <c r="U411" s="6"/>
      <c r="V411" s="6"/>
    </row>
    <row r="412" spans="1:22" x14ac:dyDescent="0.3">
      <c r="A412" t="s">
        <v>1304</v>
      </c>
      <c r="B412" t="s">
        <v>2006</v>
      </c>
      <c r="C412" t="s">
        <v>778</v>
      </c>
      <c r="D412" s="1">
        <v>43330.614583333336</v>
      </c>
      <c r="E412" t="s">
        <v>763</v>
      </c>
      <c r="F412" t="s">
        <v>388</v>
      </c>
      <c r="G412">
        <v>18</v>
      </c>
      <c r="H412">
        <v>35</v>
      </c>
      <c r="I412" t="s">
        <v>748</v>
      </c>
      <c r="J412">
        <v>2018</v>
      </c>
      <c r="K412">
        <v>8</v>
      </c>
      <c r="L412">
        <v>18</v>
      </c>
      <c r="M412">
        <v>14</v>
      </c>
      <c r="N412" s="7">
        <f t="shared" si="42"/>
        <v>53</v>
      </c>
      <c r="O412" s="7" t="str">
        <f t="shared" si="45"/>
        <v>Normal</v>
      </c>
      <c r="P412" s="7" t="str">
        <f t="shared" si="43"/>
        <v>No</v>
      </c>
      <c r="Q412" s="7" t="str">
        <f t="shared" si="44"/>
        <v>Standard</v>
      </c>
      <c r="R412" s="7" t="str">
        <f t="shared" si="46"/>
        <v>Afternoon</v>
      </c>
      <c r="S412" s="7" t="str">
        <f t="shared" si="47"/>
        <v>Europe</v>
      </c>
      <c r="T412" s="30">
        <f t="shared" si="48"/>
        <v>1.9444444444444444</v>
      </c>
      <c r="U412" s="6"/>
      <c r="V412" s="6"/>
    </row>
    <row r="413" spans="1:22" x14ac:dyDescent="0.3">
      <c r="A413" t="s">
        <v>1286</v>
      </c>
      <c r="B413" t="s">
        <v>2007</v>
      </c>
      <c r="C413" t="s">
        <v>816</v>
      </c>
      <c r="D413" s="1">
        <v>42316.416666666664</v>
      </c>
      <c r="E413" t="s">
        <v>762</v>
      </c>
      <c r="F413" t="s">
        <v>401</v>
      </c>
      <c r="G413">
        <v>18</v>
      </c>
      <c r="H413">
        <v>35</v>
      </c>
      <c r="I413" t="s">
        <v>731</v>
      </c>
      <c r="J413">
        <v>2015</v>
      </c>
      <c r="K413">
        <v>11</v>
      </c>
      <c r="L413">
        <v>8</v>
      </c>
      <c r="M413">
        <v>10</v>
      </c>
      <c r="N413" s="7">
        <f t="shared" si="42"/>
        <v>53</v>
      </c>
      <c r="O413" s="7" t="str">
        <f t="shared" si="45"/>
        <v>Normal</v>
      </c>
      <c r="P413" s="7" t="str">
        <f t="shared" si="43"/>
        <v>No</v>
      </c>
      <c r="Q413" s="7" t="str">
        <f t="shared" si="44"/>
        <v>Standard</v>
      </c>
      <c r="R413" s="7" t="str">
        <f t="shared" si="46"/>
        <v>Morning</v>
      </c>
      <c r="S413" s="7" t="str">
        <f t="shared" si="47"/>
        <v>Oceania</v>
      </c>
      <c r="T413" s="30">
        <f t="shared" si="48"/>
        <v>1.9444444444444444</v>
      </c>
      <c r="U413" s="6"/>
      <c r="V413" s="6"/>
    </row>
    <row r="414" spans="1:22" x14ac:dyDescent="0.3">
      <c r="A414" t="s">
        <v>1311</v>
      </c>
      <c r="B414" t="s">
        <v>2008</v>
      </c>
      <c r="C414" t="s">
        <v>787</v>
      </c>
      <c r="D414" s="1">
        <v>44167.729166666664</v>
      </c>
      <c r="E414" t="s">
        <v>761</v>
      </c>
      <c r="F414" t="s">
        <v>402</v>
      </c>
      <c r="G414">
        <v>22</v>
      </c>
      <c r="H414">
        <v>45</v>
      </c>
      <c r="I414" t="s">
        <v>720</v>
      </c>
      <c r="J414">
        <v>2020</v>
      </c>
      <c r="K414">
        <v>12</v>
      </c>
      <c r="L414">
        <v>2</v>
      </c>
      <c r="M414">
        <v>17</v>
      </c>
      <c r="N414" s="7">
        <f t="shared" si="42"/>
        <v>67</v>
      </c>
      <c r="O414" s="7" t="str">
        <f t="shared" si="45"/>
        <v>Popular</v>
      </c>
      <c r="P414" s="7" t="str">
        <f t="shared" si="43"/>
        <v>No</v>
      </c>
      <c r="Q414" s="7" t="str">
        <f t="shared" si="44"/>
        <v>Wide Reach</v>
      </c>
      <c r="R414" s="7" t="str">
        <f t="shared" si="46"/>
        <v>Afternoon</v>
      </c>
      <c r="S414" s="7" t="str">
        <f t="shared" si="47"/>
        <v>North America</v>
      </c>
      <c r="T414" s="30">
        <f t="shared" si="48"/>
        <v>2.0454545454545454</v>
      </c>
      <c r="U414" s="6"/>
      <c r="V414" s="6"/>
    </row>
    <row r="415" spans="1:22" x14ac:dyDescent="0.3">
      <c r="A415" t="s">
        <v>1312</v>
      </c>
      <c r="B415" t="s">
        <v>2009</v>
      </c>
      <c r="C415" t="s">
        <v>793</v>
      </c>
      <c r="D415" s="1">
        <v>42896.510416666664</v>
      </c>
      <c r="E415" t="s">
        <v>762</v>
      </c>
      <c r="F415" t="s">
        <v>403</v>
      </c>
      <c r="G415">
        <v>28</v>
      </c>
      <c r="H415">
        <v>55</v>
      </c>
      <c r="I415" t="s">
        <v>733</v>
      </c>
      <c r="J415">
        <v>2017</v>
      </c>
      <c r="K415">
        <v>6</v>
      </c>
      <c r="L415">
        <v>10</v>
      </c>
      <c r="M415">
        <v>12</v>
      </c>
      <c r="N415" s="7">
        <f t="shared" si="42"/>
        <v>83</v>
      </c>
      <c r="O415" s="7" t="str">
        <f t="shared" si="45"/>
        <v>Popular</v>
      </c>
      <c r="P415" s="7" t="str">
        <f t="shared" si="43"/>
        <v>Yes</v>
      </c>
      <c r="Q415" s="7" t="str">
        <f t="shared" si="44"/>
        <v>Wide Reach</v>
      </c>
      <c r="R415" s="7" t="str">
        <f t="shared" si="46"/>
        <v>Afternoon</v>
      </c>
      <c r="S415" s="7" t="str">
        <f t="shared" si="47"/>
        <v>Europe</v>
      </c>
      <c r="T415" s="30">
        <f t="shared" si="48"/>
        <v>1.9642857142857142</v>
      </c>
      <c r="U415" s="6"/>
      <c r="V415" s="6"/>
    </row>
    <row r="416" spans="1:22" x14ac:dyDescent="0.3">
      <c r="A416" t="s">
        <v>1313</v>
      </c>
      <c r="B416" t="s">
        <v>2010</v>
      </c>
      <c r="C416" t="s">
        <v>881</v>
      </c>
      <c r="D416" s="1">
        <v>44301.597222222219</v>
      </c>
      <c r="E416" t="s">
        <v>763</v>
      </c>
      <c r="F416" t="s">
        <v>404</v>
      </c>
      <c r="G416">
        <v>35</v>
      </c>
      <c r="H416">
        <v>70</v>
      </c>
      <c r="I416" t="s">
        <v>30</v>
      </c>
      <c r="J416">
        <v>2021</v>
      </c>
      <c r="K416">
        <v>4</v>
      </c>
      <c r="L416">
        <v>15</v>
      </c>
      <c r="M416">
        <v>14</v>
      </c>
      <c r="N416" s="7">
        <f t="shared" si="42"/>
        <v>105</v>
      </c>
      <c r="O416" s="7" t="str">
        <f t="shared" si="45"/>
        <v>Popular</v>
      </c>
      <c r="P416" s="7" t="str">
        <f t="shared" si="43"/>
        <v>Yes</v>
      </c>
      <c r="Q416" s="7" t="str">
        <f t="shared" si="44"/>
        <v>Wide Reach</v>
      </c>
      <c r="R416" s="7" t="str">
        <f t="shared" si="46"/>
        <v>Afternoon</v>
      </c>
      <c r="S416" s="7" t="str">
        <f t="shared" si="47"/>
        <v>North America</v>
      </c>
      <c r="T416" s="30">
        <f t="shared" si="48"/>
        <v>2</v>
      </c>
      <c r="U416" s="6"/>
      <c r="V416" s="6"/>
    </row>
    <row r="417" spans="1:22" x14ac:dyDescent="0.3">
      <c r="A417" t="s">
        <v>974</v>
      </c>
      <c r="B417" t="s">
        <v>2011</v>
      </c>
      <c r="C417" t="s">
        <v>882</v>
      </c>
      <c r="D417" s="1">
        <v>43736.822916666664</v>
      </c>
      <c r="E417" t="s">
        <v>761</v>
      </c>
      <c r="F417" t="s">
        <v>405</v>
      </c>
      <c r="G417">
        <v>20</v>
      </c>
      <c r="H417">
        <v>40</v>
      </c>
      <c r="I417" t="s">
        <v>722</v>
      </c>
      <c r="J417">
        <v>2019</v>
      </c>
      <c r="K417">
        <v>9</v>
      </c>
      <c r="L417">
        <v>28</v>
      </c>
      <c r="M417">
        <v>19</v>
      </c>
      <c r="N417" s="7">
        <f t="shared" si="42"/>
        <v>60</v>
      </c>
      <c r="O417" s="7" t="str">
        <f t="shared" si="45"/>
        <v>Normal</v>
      </c>
      <c r="P417" s="7" t="str">
        <f t="shared" si="43"/>
        <v>No</v>
      </c>
      <c r="Q417" s="7" t="str">
        <f t="shared" si="44"/>
        <v>Standard</v>
      </c>
      <c r="R417" s="7" t="str">
        <f t="shared" si="46"/>
        <v>Evening</v>
      </c>
      <c r="S417" s="7" t="str">
        <f t="shared" si="47"/>
        <v>Europe</v>
      </c>
      <c r="T417" s="30">
        <f t="shared" si="48"/>
        <v>2</v>
      </c>
      <c r="U417" s="6"/>
      <c r="V417" s="6"/>
    </row>
    <row r="418" spans="1:22" x14ac:dyDescent="0.3">
      <c r="A418" t="s">
        <v>1314</v>
      </c>
      <c r="B418" t="s">
        <v>2012</v>
      </c>
      <c r="C418" t="s">
        <v>820</v>
      </c>
      <c r="D418" s="1">
        <v>42709.875</v>
      </c>
      <c r="E418" t="s">
        <v>762</v>
      </c>
      <c r="F418" t="s">
        <v>406</v>
      </c>
      <c r="G418">
        <v>25</v>
      </c>
      <c r="H418">
        <v>50</v>
      </c>
      <c r="I418" t="s">
        <v>732</v>
      </c>
      <c r="J418">
        <v>2016</v>
      </c>
      <c r="K418">
        <v>12</v>
      </c>
      <c r="L418">
        <v>5</v>
      </c>
      <c r="M418">
        <v>21</v>
      </c>
      <c r="N418" s="7">
        <f t="shared" si="42"/>
        <v>75</v>
      </c>
      <c r="O418" s="7" t="str">
        <f t="shared" si="45"/>
        <v>Popular</v>
      </c>
      <c r="P418" s="7" t="str">
        <f t="shared" si="43"/>
        <v>No</v>
      </c>
      <c r="Q418" s="7" t="str">
        <f t="shared" si="44"/>
        <v>Wide Reach</v>
      </c>
      <c r="R418" s="7" t="str">
        <f t="shared" si="46"/>
        <v>Evening</v>
      </c>
      <c r="S418" s="7" t="str">
        <f t="shared" si="47"/>
        <v>Asia</v>
      </c>
      <c r="T418" s="30">
        <f t="shared" si="48"/>
        <v>2</v>
      </c>
      <c r="U418" s="6"/>
      <c r="V418" s="6"/>
    </row>
    <row r="419" spans="1:22" x14ac:dyDescent="0.3">
      <c r="A419" t="s">
        <v>1315</v>
      </c>
      <c r="B419" t="s">
        <v>2013</v>
      </c>
      <c r="C419" t="s">
        <v>883</v>
      </c>
      <c r="D419" s="1">
        <v>43141.979166666664</v>
      </c>
      <c r="E419" t="s">
        <v>763</v>
      </c>
      <c r="F419" t="s">
        <v>407</v>
      </c>
      <c r="G419">
        <v>30</v>
      </c>
      <c r="H419">
        <v>60</v>
      </c>
      <c r="I419" t="s">
        <v>731</v>
      </c>
      <c r="J419">
        <v>2018</v>
      </c>
      <c r="K419">
        <v>2</v>
      </c>
      <c r="L419">
        <v>10</v>
      </c>
      <c r="M419">
        <v>23</v>
      </c>
      <c r="N419" s="7">
        <f t="shared" si="42"/>
        <v>90</v>
      </c>
      <c r="O419" s="7" t="str">
        <f t="shared" si="45"/>
        <v>Popular</v>
      </c>
      <c r="P419" s="7" t="str">
        <f t="shared" si="43"/>
        <v>Yes</v>
      </c>
      <c r="Q419" s="7" t="str">
        <f t="shared" si="44"/>
        <v>Wide Reach</v>
      </c>
      <c r="R419" s="7" t="str">
        <f t="shared" si="46"/>
        <v>Evening</v>
      </c>
      <c r="S419" s="7" t="str">
        <f t="shared" si="47"/>
        <v>Oceania</v>
      </c>
      <c r="T419" s="30">
        <f t="shared" si="48"/>
        <v>2</v>
      </c>
      <c r="U419" s="6"/>
      <c r="V419" s="6"/>
    </row>
    <row r="420" spans="1:22" x14ac:dyDescent="0.3">
      <c r="A420" t="s">
        <v>1316</v>
      </c>
      <c r="B420" t="s">
        <v>2014</v>
      </c>
      <c r="C420" t="s">
        <v>795</v>
      </c>
      <c r="D420" s="1">
        <v>44972.354166666664</v>
      </c>
      <c r="E420" t="s">
        <v>761</v>
      </c>
      <c r="F420" t="s">
        <v>408</v>
      </c>
      <c r="G420">
        <v>18</v>
      </c>
      <c r="H420">
        <v>35</v>
      </c>
      <c r="I420" t="s">
        <v>735</v>
      </c>
      <c r="J420">
        <v>2023</v>
      </c>
      <c r="K420">
        <v>2</v>
      </c>
      <c r="L420">
        <v>15</v>
      </c>
      <c r="M420">
        <v>8</v>
      </c>
      <c r="N420" s="7">
        <f t="shared" si="42"/>
        <v>53</v>
      </c>
      <c r="O420" s="7" t="str">
        <f t="shared" si="45"/>
        <v>Normal</v>
      </c>
      <c r="P420" s="7" t="str">
        <f t="shared" si="43"/>
        <v>No</v>
      </c>
      <c r="Q420" s="7" t="str">
        <f t="shared" si="44"/>
        <v>Standard</v>
      </c>
      <c r="R420" s="7" t="str">
        <f t="shared" si="46"/>
        <v>Morning</v>
      </c>
      <c r="S420" s="7" t="str">
        <f t="shared" si="47"/>
        <v>Asia</v>
      </c>
      <c r="T420" s="30">
        <f t="shared" si="48"/>
        <v>1.9444444444444444</v>
      </c>
      <c r="U420" s="6"/>
      <c r="V420" s="6"/>
    </row>
    <row r="421" spans="1:22" x14ac:dyDescent="0.3">
      <c r="A421" t="s">
        <v>1317</v>
      </c>
      <c r="B421" t="s">
        <v>2015</v>
      </c>
      <c r="C421" t="s">
        <v>884</v>
      </c>
      <c r="D421" s="1">
        <v>42238.625</v>
      </c>
      <c r="E421" t="s">
        <v>762</v>
      </c>
      <c r="F421" t="s">
        <v>409</v>
      </c>
      <c r="G421">
        <v>22</v>
      </c>
      <c r="H421">
        <v>45</v>
      </c>
      <c r="I421" t="s">
        <v>734</v>
      </c>
      <c r="J421">
        <v>2015</v>
      </c>
      <c r="K421">
        <v>8</v>
      </c>
      <c r="L421">
        <v>22</v>
      </c>
      <c r="M421">
        <v>15</v>
      </c>
      <c r="N421" s="7">
        <f t="shared" si="42"/>
        <v>67</v>
      </c>
      <c r="O421" s="7" t="str">
        <f t="shared" si="45"/>
        <v>Popular</v>
      </c>
      <c r="P421" s="7" t="str">
        <f t="shared" si="43"/>
        <v>No</v>
      </c>
      <c r="Q421" s="7" t="str">
        <f t="shared" si="44"/>
        <v>Wide Reach</v>
      </c>
      <c r="R421" s="7" t="str">
        <f t="shared" si="46"/>
        <v>Afternoon</v>
      </c>
      <c r="S421" s="7" t="str">
        <f t="shared" si="47"/>
        <v>South America</v>
      </c>
      <c r="T421" s="30">
        <f t="shared" si="48"/>
        <v>2.0454545454545454</v>
      </c>
      <c r="U421" s="6"/>
      <c r="V421" s="6"/>
    </row>
    <row r="422" spans="1:22" x14ac:dyDescent="0.3">
      <c r="A422" t="s">
        <v>1318</v>
      </c>
      <c r="B422" t="s">
        <v>2016</v>
      </c>
      <c r="C422" t="s">
        <v>794</v>
      </c>
      <c r="D422" s="1">
        <v>44155.78125</v>
      </c>
      <c r="E422" t="s">
        <v>763</v>
      </c>
      <c r="F422" t="s">
        <v>410</v>
      </c>
      <c r="G422">
        <v>28</v>
      </c>
      <c r="H422">
        <v>55</v>
      </c>
      <c r="I422" t="s">
        <v>737</v>
      </c>
      <c r="J422">
        <v>2020</v>
      </c>
      <c r="K422">
        <v>11</v>
      </c>
      <c r="L422">
        <v>20</v>
      </c>
      <c r="M422">
        <v>18</v>
      </c>
      <c r="N422" s="7">
        <f t="shared" si="42"/>
        <v>83</v>
      </c>
      <c r="O422" s="7" t="str">
        <f t="shared" si="45"/>
        <v>Popular</v>
      </c>
      <c r="P422" s="7" t="str">
        <f t="shared" si="43"/>
        <v>Yes</v>
      </c>
      <c r="Q422" s="7" t="str">
        <f t="shared" si="44"/>
        <v>Wide Reach</v>
      </c>
      <c r="R422" s="7" t="str">
        <f t="shared" si="46"/>
        <v>Evening</v>
      </c>
      <c r="S422" s="7" t="str">
        <f t="shared" si="47"/>
        <v>Europe</v>
      </c>
      <c r="T422" s="30">
        <f t="shared" si="48"/>
        <v>1.9642857142857142</v>
      </c>
      <c r="U422" s="6"/>
      <c r="V422" s="6"/>
    </row>
    <row r="423" spans="1:22" x14ac:dyDescent="0.3">
      <c r="A423" t="s">
        <v>1319</v>
      </c>
      <c r="B423" t="s">
        <v>2017</v>
      </c>
      <c r="C423" t="s">
        <v>885</v>
      </c>
      <c r="D423" s="1">
        <v>43682.875</v>
      </c>
      <c r="E423" t="s">
        <v>762</v>
      </c>
      <c r="F423" t="s">
        <v>411</v>
      </c>
      <c r="G423">
        <v>15</v>
      </c>
      <c r="H423">
        <v>30</v>
      </c>
      <c r="I423" t="s">
        <v>30</v>
      </c>
      <c r="J423">
        <v>2019</v>
      </c>
      <c r="K423">
        <v>8</v>
      </c>
      <c r="L423">
        <v>5</v>
      </c>
      <c r="M423">
        <v>21</v>
      </c>
      <c r="N423" s="7">
        <f t="shared" si="42"/>
        <v>45</v>
      </c>
      <c r="O423" s="7" t="str">
        <f t="shared" si="45"/>
        <v>Normal</v>
      </c>
      <c r="P423" s="7" t="str">
        <f t="shared" si="43"/>
        <v>No</v>
      </c>
      <c r="Q423" s="7" t="str">
        <f t="shared" si="44"/>
        <v>Standard</v>
      </c>
      <c r="R423" s="7" t="str">
        <f t="shared" si="46"/>
        <v>Evening</v>
      </c>
      <c r="S423" s="7" t="str">
        <f t="shared" si="47"/>
        <v>North America</v>
      </c>
      <c r="T423" s="30">
        <f t="shared" si="48"/>
        <v>2</v>
      </c>
      <c r="U423" s="6"/>
      <c r="V423" s="6"/>
    </row>
    <row r="424" spans="1:22" x14ac:dyDescent="0.3">
      <c r="A424" t="s">
        <v>1320</v>
      </c>
      <c r="B424" t="s">
        <v>2018</v>
      </c>
      <c r="C424" t="s">
        <v>806</v>
      </c>
      <c r="D424" s="1">
        <v>44239.697916666664</v>
      </c>
      <c r="E424" t="s">
        <v>761</v>
      </c>
      <c r="F424" t="s">
        <v>412</v>
      </c>
      <c r="G424">
        <v>18</v>
      </c>
      <c r="H424">
        <v>35</v>
      </c>
      <c r="I424" t="s">
        <v>720</v>
      </c>
      <c r="J424">
        <v>2021</v>
      </c>
      <c r="K424">
        <v>2</v>
      </c>
      <c r="L424">
        <v>12</v>
      </c>
      <c r="M424">
        <v>16</v>
      </c>
      <c r="N424" s="7">
        <f t="shared" si="42"/>
        <v>53</v>
      </c>
      <c r="O424" s="7" t="str">
        <f t="shared" si="45"/>
        <v>Normal</v>
      </c>
      <c r="P424" s="7" t="str">
        <f t="shared" si="43"/>
        <v>No</v>
      </c>
      <c r="Q424" s="7" t="str">
        <f t="shared" si="44"/>
        <v>Standard</v>
      </c>
      <c r="R424" s="7" t="str">
        <f t="shared" si="46"/>
        <v>Afternoon</v>
      </c>
      <c r="S424" s="7" t="str">
        <f t="shared" si="47"/>
        <v>North America</v>
      </c>
      <c r="T424" s="30">
        <f t="shared" si="48"/>
        <v>1.9444444444444444</v>
      </c>
      <c r="U424" s="6"/>
      <c r="V424" s="6"/>
    </row>
    <row r="425" spans="1:22" x14ac:dyDescent="0.3">
      <c r="A425" t="s">
        <v>1321</v>
      </c>
      <c r="B425" t="s">
        <v>2019</v>
      </c>
      <c r="C425" t="s">
        <v>805</v>
      </c>
      <c r="D425" s="1">
        <v>44163.597222222219</v>
      </c>
      <c r="E425" t="s">
        <v>763</v>
      </c>
      <c r="F425" t="s">
        <v>413</v>
      </c>
      <c r="G425">
        <v>22</v>
      </c>
      <c r="H425">
        <v>45</v>
      </c>
      <c r="I425" t="s">
        <v>722</v>
      </c>
      <c r="J425">
        <v>2020</v>
      </c>
      <c r="K425">
        <v>11</v>
      </c>
      <c r="L425">
        <v>28</v>
      </c>
      <c r="M425">
        <v>14</v>
      </c>
      <c r="N425" s="7">
        <f t="shared" si="42"/>
        <v>67</v>
      </c>
      <c r="O425" s="7" t="str">
        <f t="shared" si="45"/>
        <v>Popular</v>
      </c>
      <c r="P425" s="7" t="str">
        <f t="shared" si="43"/>
        <v>No</v>
      </c>
      <c r="Q425" s="7" t="str">
        <f t="shared" si="44"/>
        <v>Wide Reach</v>
      </c>
      <c r="R425" s="7" t="str">
        <f t="shared" si="46"/>
        <v>Afternoon</v>
      </c>
      <c r="S425" s="7" t="str">
        <f t="shared" si="47"/>
        <v>Europe</v>
      </c>
      <c r="T425" s="30">
        <f t="shared" si="48"/>
        <v>2.0454545454545454</v>
      </c>
      <c r="U425" s="6"/>
      <c r="V425" s="6"/>
    </row>
    <row r="426" spans="1:22" x14ac:dyDescent="0.3">
      <c r="A426" t="s">
        <v>1322</v>
      </c>
      <c r="B426" t="s">
        <v>2020</v>
      </c>
      <c r="C426" t="s">
        <v>804</v>
      </c>
      <c r="D426" s="1">
        <v>42505.9375</v>
      </c>
      <c r="E426" t="s">
        <v>762</v>
      </c>
      <c r="F426" t="s">
        <v>414</v>
      </c>
      <c r="G426">
        <v>28</v>
      </c>
      <c r="H426">
        <v>55</v>
      </c>
      <c r="I426" t="s">
        <v>731</v>
      </c>
      <c r="J426">
        <v>2016</v>
      </c>
      <c r="K426">
        <v>5</v>
      </c>
      <c r="L426">
        <v>15</v>
      </c>
      <c r="M426">
        <v>22</v>
      </c>
      <c r="N426" s="7">
        <f t="shared" si="42"/>
        <v>83</v>
      </c>
      <c r="O426" s="7" t="str">
        <f t="shared" si="45"/>
        <v>Popular</v>
      </c>
      <c r="P426" s="7" t="str">
        <f t="shared" si="43"/>
        <v>Yes</v>
      </c>
      <c r="Q426" s="7" t="str">
        <f t="shared" si="44"/>
        <v>Wide Reach</v>
      </c>
      <c r="R426" s="7" t="str">
        <f t="shared" si="46"/>
        <v>Evening</v>
      </c>
      <c r="S426" s="7" t="str">
        <f t="shared" si="47"/>
        <v>Oceania</v>
      </c>
      <c r="T426" s="30">
        <f t="shared" si="48"/>
        <v>1.9642857142857142</v>
      </c>
      <c r="U426" s="6"/>
      <c r="V426" s="6"/>
    </row>
    <row r="427" spans="1:22" x14ac:dyDescent="0.3">
      <c r="A427" t="s">
        <v>1131</v>
      </c>
      <c r="B427" t="s">
        <v>2021</v>
      </c>
      <c r="C427" t="s">
        <v>886</v>
      </c>
      <c r="D427" s="1">
        <v>43353.552083333336</v>
      </c>
      <c r="E427" t="s">
        <v>761</v>
      </c>
      <c r="F427" t="s">
        <v>415</v>
      </c>
      <c r="G427">
        <v>22</v>
      </c>
      <c r="H427">
        <v>45</v>
      </c>
      <c r="I427" t="s">
        <v>737</v>
      </c>
      <c r="J427">
        <v>2018</v>
      </c>
      <c r="K427">
        <v>9</v>
      </c>
      <c r="L427">
        <v>10</v>
      </c>
      <c r="M427">
        <v>13</v>
      </c>
      <c r="N427" s="7">
        <f t="shared" si="42"/>
        <v>67</v>
      </c>
      <c r="O427" s="7" t="str">
        <f t="shared" si="45"/>
        <v>Popular</v>
      </c>
      <c r="P427" s="7" t="str">
        <f t="shared" si="43"/>
        <v>No</v>
      </c>
      <c r="Q427" s="7" t="str">
        <f t="shared" si="44"/>
        <v>Wide Reach</v>
      </c>
      <c r="R427" s="7" t="str">
        <f t="shared" si="46"/>
        <v>Afternoon</v>
      </c>
      <c r="S427" s="7" t="str">
        <f t="shared" si="47"/>
        <v>Europe</v>
      </c>
      <c r="T427" s="30">
        <f t="shared" si="48"/>
        <v>2.0454545454545454</v>
      </c>
      <c r="U427" s="6"/>
      <c r="V427" s="6"/>
    </row>
    <row r="428" spans="1:22" x14ac:dyDescent="0.3">
      <c r="A428" t="s">
        <v>1323</v>
      </c>
      <c r="B428" t="s">
        <v>2022</v>
      </c>
      <c r="C428" t="s">
        <v>887</v>
      </c>
      <c r="D428" s="1">
        <v>44640.8125</v>
      </c>
      <c r="E428" t="s">
        <v>763</v>
      </c>
      <c r="F428" t="s">
        <v>416</v>
      </c>
      <c r="G428">
        <v>25</v>
      </c>
      <c r="H428">
        <v>50</v>
      </c>
      <c r="I428" t="s">
        <v>734</v>
      </c>
      <c r="J428">
        <v>2022</v>
      </c>
      <c r="K428">
        <v>3</v>
      </c>
      <c r="L428">
        <v>20</v>
      </c>
      <c r="M428">
        <v>19</v>
      </c>
      <c r="N428" s="7">
        <f t="shared" si="42"/>
        <v>75</v>
      </c>
      <c r="O428" s="7" t="str">
        <f t="shared" si="45"/>
        <v>Popular</v>
      </c>
      <c r="P428" s="7" t="str">
        <f t="shared" si="43"/>
        <v>No</v>
      </c>
      <c r="Q428" s="7" t="str">
        <f t="shared" si="44"/>
        <v>Wide Reach</v>
      </c>
      <c r="R428" s="7" t="str">
        <f t="shared" si="46"/>
        <v>Evening</v>
      </c>
      <c r="S428" s="7" t="str">
        <f t="shared" si="47"/>
        <v>South America</v>
      </c>
      <c r="T428" s="30">
        <f t="shared" si="48"/>
        <v>2</v>
      </c>
      <c r="U428" s="6"/>
      <c r="V428" s="6"/>
    </row>
    <row r="429" spans="1:22" x14ac:dyDescent="0.3">
      <c r="A429" t="s">
        <v>1324</v>
      </c>
      <c r="B429" t="s">
        <v>2023</v>
      </c>
      <c r="C429" t="s">
        <v>888</v>
      </c>
      <c r="D429" s="1">
        <v>42934.739583333336</v>
      </c>
      <c r="E429" t="s">
        <v>762</v>
      </c>
      <c r="F429" t="s">
        <v>417</v>
      </c>
      <c r="G429">
        <v>30</v>
      </c>
      <c r="H429">
        <v>60</v>
      </c>
      <c r="I429" t="s">
        <v>732</v>
      </c>
      <c r="J429">
        <v>2017</v>
      </c>
      <c r="K429">
        <v>7</v>
      </c>
      <c r="L429">
        <v>18</v>
      </c>
      <c r="M429">
        <v>17</v>
      </c>
      <c r="N429" s="7">
        <f t="shared" si="42"/>
        <v>90</v>
      </c>
      <c r="O429" s="7" t="str">
        <f t="shared" si="45"/>
        <v>Popular</v>
      </c>
      <c r="P429" s="7" t="str">
        <f t="shared" si="43"/>
        <v>Yes</v>
      </c>
      <c r="Q429" s="7" t="str">
        <f t="shared" si="44"/>
        <v>Wide Reach</v>
      </c>
      <c r="R429" s="7" t="str">
        <f t="shared" si="46"/>
        <v>Afternoon</v>
      </c>
      <c r="S429" s="7" t="str">
        <f t="shared" si="47"/>
        <v>Asia</v>
      </c>
      <c r="T429" s="30">
        <f t="shared" si="48"/>
        <v>2</v>
      </c>
      <c r="U429" s="6"/>
      <c r="V429" s="6"/>
    </row>
    <row r="430" spans="1:22" x14ac:dyDescent="0.3">
      <c r="A430" t="s">
        <v>1325</v>
      </c>
      <c r="B430" t="s">
        <v>2024</v>
      </c>
      <c r="C430" t="s">
        <v>815</v>
      </c>
      <c r="D430" s="1">
        <v>43449.416666666664</v>
      </c>
      <c r="E430" t="s">
        <v>761</v>
      </c>
      <c r="F430" t="s">
        <v>418</v>
      </c>
      <c r="G430">
        <v>18</v>
      </c>
      <c r="H430">
        <v>35</v>
      </c>
      <c r="I430" t="s">
        <v>733</v>
      </c>
      <c r="J430">
        <v>2018</v>
      </c>
      <c r="K430">
        <v>12</v>
      </c>
      <c r="L430">
        <v>15</v>
      </c>
      <c r="M430">
        <v>10</v>
      </c>
      <c r="N430" s="7">
        <f t="shared" si="42"/>
        <v>53</v>
      </c>
      <c r="O430" s="7" t="str">
        <f t="shared" si="45"/>
        <v>Normal</v>
      </c>
      <c r="P430" s="7" t="str">
        <f t="shared" si="43"/>
        <v>No</v>
      </c>
      <c r="Q430" s="7" t="str">
        <f t="shared" si="44"/>
        <v>Standard</v>
      </c>
      <c r="R430" s="7" t="str">
        <f t="shared" si="46"/>
        <v>Morning</v>
      </c>
      <c r="S430" s="7" t="str">
        <f t="shared" si="47"/>
        <v>Europe</v>
      </c>
      <c r="T430" s="30">
        <f t="shared" si="48"/>
        <v>1.9444444444444444</v>
      </c>
      <c r="U430" s="6"/>
      <c r="V430" s="6"/>
    </row>
    <row r="431" spans="1:22" x14ac:dyDescent="0.3">
      <c r="A431" t="s">
        <v>1326</v>
      </c>
      <c r="B431" t="s">
        <v>2025</v>
      </c>
      <c r="C431" t="s">
        <v>805</v>
      </c>
      <c r="D431" s="1">
        <v>42183.885416666664</v>
      </c>
      <c r="E431" t="s">
        <v>763</v>
      </c>
      <c r="F431" t="s">
        <v>419</v>
      </c>
      <c r="G431">
        <v>28</v>
      </c>
      <c r="H431">
        <v>55</v>
      </c>
      <c r="I431" t="s">
        <v>739</v>
      </c>
      <c r="J431">
        <v>2015</v>
      </c>
      <c r="K431">
        <v>6</v>
      </c>
      <c r="L431">
        <v>28</v>
      </c>
      <c r="M431">
        <v>21</v>
      </c>
      <c r="N431" s="7">
        <f t="shared" si="42"/>
        <v>83</v>
      </c>
      <c r="O431" s="7" t="str">
        <f t="shared" si="45"/>
        <v>Popular</v>
      </c>
      <c r="P431" s="7" t="str">
        <f t="shared" si="43"/>
        <v>Yes</v>
      </c>
      <c r="Q431" s="7" t="str">
        <f t="shared" si="44"/>
        <v>Wide Reach</v>
      </c>
      <c r="R431" s="7" t="str">
        <f t="shared" si="46"/>
        <v>Evening</v>
      </c>
      <c r="S431" s="7" t="str">
        <f t="shared" si="47"/>
        <v>Europe</v>
      </c>
      <c r="T431" s="30">
        <f t="shared" si="48"/>
        <v>1.9642857142857142</v>
      </c>
      <c r="U431" s="6"/>
      <c r="V431" s="6"/>
    </row>
    <row r="432" spans="1:22" x14ac:dyDescent="0.3">
      <c r="A432" t="s">
        <v>1327</v>
      </c>
      <c r="B432" t="s">
        <v>2026</v>
      </c>
      <c r="C432" t="s">
        <v>889</v>
      </c>
      <c r="D432" s="1">
        <v>43923.597222222219</v>
      </c>
      <c r="E432" t="s">
        <v>762</v>
      </c>
      <c r="F432" t="s">
        <v>420</v>
      </c>
      <c r="G432">
        <v>35</v>
      </c>
      <c r="H432">
        <v>70</v>
      </c>
      <c r="I432" t="s">
        <v>735</v>
      </c>
      <c r="J432">
        <v>2020</v>
      </c>
      <c r="K432">
        <v>4</v>
      </c>
      <c r="L432">
        <v>2</v>
      </c>
      <c r="M432">
        <v>14</v>
      </c>
      <c r="N432" s="7">
        <f t="shared" si="42"/>
        <v>105</v>
      </c>
      <c r="O432" s="7" t="str">
        <f t="shared" si="45"/>
        <v>Popular</v>
      </c>
      <c r="P432" s="7" t="str">
        <f t="shared" si="43"/>
        <v>Yes</v>
      </c>
      <c r="Q432" s="7" t="str">
        <f t="shared" si="44"/>
        <v>Wide Reach</v>
      </c>
      <c r="R432" s="7" t="str">
        <f t="shared" si="46"/>
        <v>Afternoon</v>
      </c>
      <c r="S432" s="7" t="str">
        <f t="shared" si="47"/>
        <v>Asia</v>
      </c>
      <c r="T432" s="30">
        <f t="shared" si="48"/>
        <v>2</v>
      </c>
      <c r="U432" s="6"/>
      <c r="V432" s="6"/>
    </row>
    <row r="433" spans="1:22" x14ac:dyDescent="0.3">
      <c r="A433" t="s">
        <v>1328</v>
      </c>
      <c r="B433" t="s">
        <v>2027</v>
      </c>
      <c r="C433" t="s">
        <v>890</v>
      </c>
      <c r="D433" s="1">
        <v>43746.770833333336</v>
      </c>
      <c r="E433" t="s">
        <v>761</v>
      </c>
      <c r="F433" t="s">
        <v>421</v>
      </c>
      <c r="G433">
        <v>20</v>
      </c>
      <c r="H433">
        <v>40</v>
      </c>
      <c r="I433" t="s">
        <v>742</v>
      </c>
      <c r="J433">
        <v>2019</v>
      </c>
      <c r="K433">
        <v>10</v>
      </c>
      <c r="L433">
        <v>8</v>
      </c>
      <c r="M433">
        <v>18</v>
      </c>
      <c r="N433" s="7">
        <f t="shared" si="42"/>
        <v>60</v>
      </c>
      <c r="O433" s="7" t="str">
        <f t="shared" si="45"/>
        <v>Normal</v>
      </c>
      <c r="P433" s="7" t="str">
        <f t="shared" si="43"/>
        <v>No</v>
      </c>
      <c r="Q433" s="7" t="str">
        <f t="shared" si="44"/>
        <v>Standard</v>
      </c>
      <c r="R433" s="7" t="str">
        <f t="shared" si="46"/>
        <v>Evening</v>
      </c>
      <c r="S433" s="7" t="str">
        <f t="shared" si="47"/>
        <v>Europe</v>
      </c>
      <c r="T433" s="30">
        <f t="shared" si="48"/>
        <v>2</v>
      </c>
      <c r="U433" s="6"/>
      <c r="V433" s="6"/>
    </row>
    <row r="434" spans="1:22" x14ac:dyDescent="0.3">
      <c r="A434" t="s">
        <v>1329</v>
      </c>
      <c r="B434" t="s">
        <v>2028</v>
      </c>
      <c r="C434" t="s">
        <v>891</v>
      </c>
      <c r="D434" s="1">
        <v>42696.40625</v>
      </c>
      <c r="E434" t="s">
        <v>763</v>
      </c>
      <c r="F434" t="s">
        <v>422</v>
      </c>
      <c r="G434">
        <v>22</v>
      </c>
      <c r="H434">
        <v>45</v>
      </c>
      <c r="I434" t="s">
        <v>740</v>
      </c>
      <c r="J434">
        <v>2016</v>
      </c>
      <c r="K434">
        <v>11</v>
      </c>
      <c r="L434">
        <v>22</v>
      </c>
      <c r="M434">
        <v>9</v>
      </c>
      <c r="N434" s="7">
        <f t="shared" si="42"/>
        <v>67</v>
      </c>
      <c r="O434" s="7" t="str">
        <f t="shared" si="45"/>
        <v>Popular</v>
      </c>
      <c r="P434" s="7" t="str">
        <f t="shared" si="43"/>
        <v>No</v>
      </c>
      <c r="Q434" s="7" t="str">
        <f t="shared" si="44"/>
        <v>Wide Reach</v>
      </c>
      <c r="R434" s="7" t="str">
        <f t="shared" si="46"/>
        <v>Morning</v>
      </c>
      <c r="S434" s="7" t="str">
        <f t="shared" si="47"/>
        <v>Europe</v>
      </c>
      <c r="T434" s="30">
        <f t="shared" si="48"/>
        <v>2.0454545454545454</v>
      </c>
      <c r="U434" s="6"/>
      <c r="V434" s="6"/>
    </row>
    <row r="435" spans="1:22" x14ac:dyDescent="0.3">
      <c r="A435" t="s">
        <v>1330</v>
      </c>
      <c r="B435" t="s">
        <v>2029</v>
      </c>
      <c r="C435" t="s">
        <v>804</v>
      </c>
      <c r="D435" s="1">
        <v>44791.916666666664</v>
      </c>
      <c r="E435" t="s">
        <v>762</v>
      </c>
      <c r="F435" t="s">
        <v>423</v>
      </c>
      <c r="G435">
        <v>40</v>
      </c>
      <c r="H435">
        <v>80</v>
      </c>
      <c r="I435" t="s">
        <v>741</v>
      </c>
      <c r="J435">
        <v>2022</v>
      </c>
      <c r="K435">
        <v>8</v>
      </c>
      <c r="L435">
        <v>18</v>
      </c>
      <c r="M435">
        <v>22</v>
      </c>
      <c r="N435" s="7">
        <f t="shared" si="42"/>
        <v>120</v>
      </c>
      <c r="O435" s="7" t="str">
        <f t="shared" si="45"/>
        <v>Popular</v>
      </c>
      <c r="P435" s="7" t="str">
        <f t="shared" si="43"/>
        <v>Yes</v>
      </c>
      <c r="Q435" s="7" t="str">
        <f t="shared" si="44"/>
        <v>Wide Reach</v>
      </c>
      <c r="R435" s="7" t="str">
        <f t="shared" si="46"/>
        <v>Evening</v>
      </c>
      <c r="S435" s="7" t="str">
        <f t="shared" si="47"/>
        <v>Africa</v>
      </c>
      <c r="T435" s="30">
        <f t="shared" si="48"/>
        <v>2</v>
      </c>
      <c r="U435" s="6"/>
      <c r="V435" s="6"/>
    </row>
    <row r="436" spans="1:22" x14ac:dyDescent="0.3">
      <c r="A436" t="s">
        <v>1331</v>
      </c>
      <c r="B436" t="s">
        <v>2030</v>
      </c>
      <c r="C436" t="s">
        <v>819</v>
      </c>
      <c r="D436" s="1">
        <v>42806.979166666664</v>
      </c>
      <c r="E436" t="s">
        <v>761</v>
      </c>
      <c r="F436" t="s">
        <v>424</v>
      </c>
      <c r="G436">
        <v>18</v>
      </c>
      <c r="H436">
        <v>35</v>
      </c>
      <c r="I436" t="s">
        <v>722</v>
      </c>
      <c r="J436">
        <v>2017</v>
      </c>
      <c r="K436">
        <v>3</v>
      </c>
      <c r="L436">
        <v>12</v>
      </c>
      <c r="M436">
        <v>23</v>
      </c>
      <c r="N436" s="7">
        <f t="shared" si="42"/>
        <v>53</v>
      </c>
      <c r="O436" s="7" t="str">
        <f t="shared" si="45"/>
        <v>Normal</v>
      </c>
      <c r="P436" s="7" t="str">
        <f t="shared" si="43"/>
        <v>No</v>
      </c>
      <c r="Q436" s="7" t="str">
        <f t="shared" si="44"/>
        <v>Standard</v>
      </c>
      <c r="R436" s="7" t="str">
        <f t="shared" si="46"/>
        <v>Evening</v>
      </c>
      <c r="S436" s="7" t="str">
        <f t="shared" si="47"/>
        <v>Europe</v>
      </c>
      <c r="T436" s="30">
        <f t="shared" si="48"/>
        <v>1.9444444444444444</v>
      </c>
      <c r="U436" s="6"/>
      <c r="V436" s="6"/>
    </row>
    <row r="437" spans="1:22" x14ac:dyDescent="0.3">
      <c r="A437" t="s">
        <v>1332</v>
      </c>
      <c r="B437" t="s">
        <v>2031</v>
      </c>
      <c r="C437" t="s">
        <v>833</v>
      </c>
      <c r="D437" s="1">
        <v>42353.677083333336</v>
      </c>
      <c r="E437" t="s">
        <v>763</v>
      </c>
      <c r="F437" t="s">
        <v>425</v>
      </c>
      <c r="G437">
        <v>25</v>
      </c>
      <c r="H437">
        <v>50</v>
      </c>
      <c r="I437" t="s">
        <v>731</v>
      </c>
      <c r="J437">
        <v>2015</v>
      </c>
      <c r="K437">
        <v>12</v>
      </c>
      <c r="L437">
        <v>15</v>
      </c>
      <c r="M437">
        <v>16</v>
      </c>
      <c r="N437" s="7">
        <f t="shared" si="42"/>
        <v>75</v>
      </c>
      <c r="O437" s="7" t="str">
        <f t="shared" si="45"/>
        <v>Popular</v>
      </c>
      <c r="P437" s="7" t="str">
        <f t="shared" si="43"/>
        <v>No</v>
      </c>
      <c r="Q437" s="7" t="str">
        <f t="shared" si="44"/>
        <v>Wide Reach</v>
      </c>
      <c r="R437" s="7" t="str">
        <f t="shared" si="46"/>
        <v>Afternoon</v>
      </c>
      <c r="S437" s="7" t="str">
        <f t="shared" si="47"/>
        <v>Oceania</v>
      </c>
      <c r="T437" s="30">
        <f t="shared" si="48"/>
        <v>2</v>
      </c>
      <c r="U437" s="6"/>
      <c r="V437" s="6"/>
    </row>
    <row r="438" spans="1:22" x14ac:dyDescent="0.3">
      <c r="A438" t="s">
        <v>1333</v>
      </c>
      <c r="B438" t="s">
        <v>2032</v>
      </c>
      <c r="C438" t="s">
        <v>892</v>
      </c>
      <c r="D438" s="1">
        <v>44444.5625</v>
      </c>
      <c r="E438" t="s">
        <v>762</v>
      </c>
      <c r="F438" t="s">
        <v>426</v>
      </c>
      <c r="G438">
        <v>35</v>
      </c>
      <c r="H438">
        <v>70</v>
      </c>
      <c r="I438" t="s">
        <v>720</v>
      </c>
      <c r="J438">
        <v>2021</v>
      </c>
      <c r="K438">
        <v>9</v>
      </c>
      <c r="L438">
        <v>5</v>
      </c>
      <c r="M438">
        <v>13</v>
      </c>
      <c r="N438" s="7">
        <f t="shared" si="42"/>
        <v>105</v>
      </c>
      <c r="O438" s="7" t="str">
        <f t="shared" si="45"/>
        <v>Popular</v>
      </c>
      <c r="P438" s="7" t="str">
        <f t="shared" si="43"/>
        <v>Yes</v>
      </c>
      <c r="Q438" s="7" t="str">
        <f t="shared" si="44"/>
        <v>Wide Reach</v>
      </c>
      <c r="R438" s="7" t="str">
        <f t="shared" si="46"/>
        <v>Afternoon</v>
      </c>
      <c r="S438" s="7" t="str">
        <f t="shared" si="47"/>
        <v>North America</v>
      </c>
      <c r="T438" s="30">
        <f t="shared" si="48"/>
        <v>2</v>
      </c>
      <c r="U438" s="6"/>
      <c r="V438" s="6"/>
    </row>
    <row r="439" spans="1:22" x14ac:dyDescent="0.3">
      <c r="A439" t="s">
        <v>1334</v>
      </c>
      <c r="B439" t="s">
        <v>2033</v>
      </c>
      <c r="C439" t="s">
        <v>893</v>
      </c>
      <c r="D439" s="1">
        <v>43242.864583333336</v>
      </c>
      <c r="E439" t="s">
        <v>761</v>
      </c>
      <c r="F439" t="s">
        <v>427</v>
      </c>
      <c r="G439">
        <v>18</v>
      </c>
      <c r="H439">
        <v>35</v>
      </c>
      <c r="I439" t="s">
        <v>737</v>
      </c>
      <c r="J439">
        <v>2018</v>
      </c>
      <c r="K439">
        <v>5</v>
      </c>
      <c r="L439">
        <v>22</v>
      </c>
      <c r="M439">
        <v>20</v>
      </c>
      <c r="N439" s="7">
        <f t="shared" si="42"/>
        <v>53</v>
      </c>
      <c r="O439" s="7" t="str">
        <f t="shared" si="45"/>
        <v>Normal</v>
      </c>
      <c r="P439" s="7" t="str">
        <f t="shared" si="43"/>
        <v>No</v>
      </c>
      <c r="Q439" s="7" t="str">
        <f t="shared" si="44"/>
        <v>Standard</v>
      </c>
      <c r="R439" s="7" t="str">
        <f t="shared" si="46"/>
        <v>Evening</v>
      </c>
      <c r="S439" s="7" t="str">
        <f t="shared" si="47"/>
        <v>Europe</v>
      </c>
      <c r="T439" s="30">
        <f t="shared" si="48"/>
        <v>1.9444444444444444</v>
      </c>
      <c r="U439" s="6"/>
      <c r="V439" s="6"/>
    </row>
    <row r="440" spans="1:22" x14ac:dyDescent="0.3">
      <c r="A440" t="s">
        <v>1335</v>
      </c>
      <c r="B440" t="s">
        <v>2034</v>
      </c>
      <c r="C440" t="s">
        <v>894</v>
      </c>
      <c r="D440" s="1">
        <v>42561.763888888891</v>
      </c>
      <c r="E440" t="s">
        <v>763</v>
      </c>
      <c r="F440" t="s">
        <v>428</v>
      </c>
      <c r="G440">
        <v>28</v>
      </c>
      <c r="H440">
        <v>55</v>
      </c>
      <c r="I440" t="s">
        <v>30</v>
      </c>
      <c r="J440">
        <v>2016</v>
      </c>
      <c r="K440">
        <v>7</v>
      </c>
      <c r="L440">
        <v>10</v>
      </c>
      <c r="M440">
        <v>18</v>
      </c>
      <c r="N440" s="7">
        <f t="shared" si="42"/>
        <v>83</v>
      </c>
      <c r="O440" s="7" t="str">
        <f t="shared" si="45"/>
        <v>Popular</v>
      </c>
      <c r="P440" s="7" t="str">
        <f t="shared" si="43"/>
        <v>Yes</v>
      </c>
      <c r="Q440" s="7" t="str">
        <f t="shared" si="44"/>
        <v>Wide Reach</v>
      </c>
      <c r="R440" s="7" t="str">
        <f t="shared" si="46"/>
        <v>Evening</v>
      </c>
      <c r="S440" s="7" t="str">
        <f t="shared" si="47"/>
        <v>North America</v>
      </c>
      <c r="T440" s="30">
        <f t="shared" si="48"/>
        <v>1.9642857142857142</v>
      </c>
      <c r="U440" s="6"/>
      <c r="V440" s="6"/>
    </row>
    <row r="441" spans="1:22" x14ac:dyDescent="0.3">
      <c r="A441" t="s">
        <v>1336</v>
      </c>
      <c r="B441" t="s">
        <v>2035</v>
      </c>
      <c r="C441" t="s">
        <v>895</v>
      </c>
      <c r="D441" s="1">
        <v>43585.583333333336</v>
      </c>
      <c r="E441" t="s">
        <v>762</v>
      </c>
      <c r="F441" t="s">
        <v>429</v>
      </c>
      <c r="G441">
        <v>22</v>
      </c>
      <c r="H441">
        <v>45</v>
      </c>
      <c r="I441" t="s">
        <v>733</v>
      </c>
      <c r="J441">
        <v>2019</v>
      </c>
      <c r="K441">
        <v>4</v>
      </c>
      <c r="L441">
        <v>30</v>
      </c>
      <c r="M441">
        <v>14</v>
      </c>
      <c r="N441" s="7">
        <f t="shared" si="42"/>
        <v>67</v>
      </c>
      <c r="O441" s="7" t="str">
        <f t="shared" si="45"/>
        <v>Popular</v>
      </c>
      <c r="P441" s="7" t="str">
        <f t="shared" si="43"/>
        <v>No</v>
      </c>
      <c r="Q441" s="7" t="str">
        <f t="shared" si="44"/>
        <v>Wide Reach</v>
      </c>
      <c r="R441" s="7" t="str">
        <f t="shared" si="46"/>
        <v>Afternoon</v>
      </c>
      <c r="S441" s="7" t="str">
        <f t="shared" si="47"/>
        <v>Europe</v>
      </c>
      <c r="T441" s="30">
        <f t="shared" si="48"/>
        <v>2.0454545454545454</v>
      </c>
      <c r="U441" s="6"/>
      <c r="V441" s="6"/>
    </row>
    <row r="442" spans="1:22" x14ac:dyDescent="0.3">
      <c r="A442" t="s">
        <v>1337</v>
      </c>
      <c r="B442" t="s">
        <v>2036</v>
      </c>
      <c r="C442" t="s">
        <v>896</v>
      </c>
      <c r="D442" s="1">
        <v>44569.479166666664</v>
      </c>
      <c r="E442" t="s">
        <v>761</v>
      </c>
      <c r="F442" t="s">
        <v>430</v>
      </c>
      <c r="G442">
        <v>20</v>
      </c>
      <c r="H442">
        <v>40</v>
      </c>
      <c r="I442" t="s">
        <v>734</v>
      </c>
      <c r="J442">
        <v>2022</v>
      </c>
      <c r="K442">
        <v>1</v>
      </c>
      <c r="L442">
        <v>8</v>
      </c>
      <c r="M442">
        <v>11</v>
      </c>
      <c r="N442" s="7">
        <f t="shared" si="42"/>
        <v>60</v>
      </c>
      <c r="O442" s="7" t="str">
        <f t="shared" si="45"/>
        <v>Normal</v>
      </c>
      <c r="P442" s="7" t="str">
        <f t="shared" si="43"/>
        <v>No</v>
      </c>
      <c r="Q442" s="7" t="str">
        <f t="shared" si="44"/>
        <v>Standard</v>
      </c>
      <c r="R442" s="7" t="str">
        <f t="shared" si="46"/>
        <v>Morning</v>
      </c>
      <c r="S442" s="7" t="str">
        <f t="shared" si="47"/>
        <v>South America</v>
      </c>
      <c r="T442" s="30">
        <f t="shared" si="48"/>
        <v>2</v>
      </c>
      <c r="U442" s="6"/>
      <c r="V442" s="6"/>
    </row>
    <row r="443" spans="1:22" x14ac:dyDescent="0.3">
      <c r="A443" t="s">
        <v>1338</v>
      </c>
      <c r="B443" t="s">
        <v>2037</v>
      </c>
      <c r="C443" t="s">
        <v>897</v>
      </c>
      <c r="D443" s="1">
        <v>42988.802083333336</v>
      </c>
      <c r="E443" t="s">
        <v>761</v>
      </c>
      <c r="F443" t="s">
        <v>431</v>
      </c>
      <c r="G443">
        <v>20</v>
      </c>
      <c r="H443">
        <v>40</v>
      </c>
      <c r="I443" t="s">
        <v>731</v>
      </c>
      <c r="J443">
        <v>2017</v>
      </c>
      <c r="K443">
        <v>9</v>
      </c>
      <c r="L443">
        <v>10</v>
      </c>
      <c r="M443">
        <v>19</v>
      </c>
      <c r="N443" s="7">
        <f t="shared" si="42"/>
        <v>60</v>
      </c>
      <c r="O443" s="7" t="str">
        <f t="shared" si="45"/>
        <v>Normal</v>
      </c>
      <c r="P443" s="7" t="str">
        <f t="shared" si="43"/>
        <v>No</v>
      </c>
      <c r="Q443" s="7" t="str">
        <f t="shared" si="44"/>
        <v>Standard</v>
      </c>
      <c r="R443" s="7" t="str">
        <f t="shared" si="46"/>
        <v>Evening</v>
      </c>
      <c r="S443" s="7" t="str">
        <f t="shared" si="47"/>
        <v>Oceania</v>
      </c>
      <c r="T443" s="30">
        <f t="shared" si="48"/>
        <v>2</v>
      </c>
      <c r="U443" s="6"/>
      <c r="V443" s="6"/>
    </row>
    <row r="444" spans="1:22" x14ac:dyDescent="0.3">
      <c r="A444" t="s">
        <v>1339</v>
      </c>
      <c r="B444" t="s">
        <v>2038</v>
      </c>
      <c r="C444" t="s">
        <v>815</v>
      </c>
      <c r="D444" s="1">
        <v>44669.479166666664</v>
      </c>
      <c r="E444" t="s">
        <v>762</v>
      </c>
      <c r="F444" t="s">
        <v>432</v>
      </c>
      <c r="G444">
        <v>25</v>
      </c>
      <c r="H444">
        <v>50</v>
      </c>
      <c r="I444" t="s">
        <v>720</v>
      </c>
      <c r="J444">
        <v>2022</v>
      </c>
      <c r="K444">
        <v>4</v>
      </c>
      <c r="L444">
        <v>18</v>
      </c>
      <c r="M444">
        <v>11</v>
      </c>
      <c r="N444" s="7">
        <f t="shared" si="42"/>
        <v>75</v>
      </c>
      <c r="O444" s="7" t="str">
        <f t="shared" si="45"/>
        <v>Popular</v>
      </c>
      <c r="P444" s="7" t="str">
        <f t="shared" si="43"/>
        <v>No</v>
      </c>
      <c r="Q444" s="7" t="str">
        <f t="shared" si="44"/>
        <v>Wide Reach</v>
      </c>
      <c r="R444" s="7" t="str">
        <f t="shared" si="46"/>
        <v>Morning</v>
      </c>
      <c r="S444" s="7" t="str">
        <f t="shared" si="47"/>
        <v>North America</v>
      </c>
      <c r="T444" s="30">
        <f t="shared" si="48"/>
        <v>2</v>
      </c>
      <c r="U444" s="6"/>
      <c r="V444" s="6"/>
    </row>
    <row r="445" spans="1:22" x14ac:dyDescent="0.3">
      <c r="A445" t="s">
        <v>1340</v>
      </c>
      <c r="B445" t="s">
        <v>2039</v>
      </c>
      <c r="C445" t="s">
        <v>805</v>
      </c>
      <c r="D445" s="1">
        <v>43439.90625</v>
      </c>
      <c r="E445" t="s">
        <v>763</v>
      </c>
      <c r="F445" t="s">
        <v>433</v>
      </c>
      <c r="G445">
        <v>18</v>
      </c>
      <c r="H445">
        <v>35</v>
      </c>
      <c r="I445" t="s">
        <v>30</v>
      </c>
      <c r="J445">
        <v>2018</v>
      </c>
      <c r="K445">
        <v>12</v>
      </c>
      <c r="L445">
        <v>5</v>
      </c>
      <c r="M445">
        <v>21</v>
      </c>
      <c r="N445" s="7">
        <f t="shared" si="42"/>
        <v>53</v>
      </c>
      <c r="O445" s="7" t="str">
        <f t="shared" si="45"/>
        <v>Normal</v>
      </c>
      <c r="P445" s="7" t="str">
        <f t="shared" si="43"/>
        <v>No</v>
      </c>
      <c r="Q445" s="7" t="str">
        <f t="shared" si="44"/>
        <v>Standard</v>
      </c>
      <c r="R445" s="7" t="str">
        <f t="shared" si="46"/>
        <v>Evening</v>
      </c>
      <c r="S445" s="7" t="str">
        <f t="shared" si="47"/>
        <v>North America</v>
      </c>
      <c r="T445" s="30">
        <f t="shared" si="48"/>
        <v>1.9444444444444444</v>
      </c>
      <c r="U445" s="6"/>
      <c r="V445" s="6"/>
    </row>
    <row r="446" spans="1:22" x14ac:dyDescent="0.3">
      <c r="A446" t="s">
        <v>1341</v>
      </c>
      <c r="B446" t="s">
        <v>2040</v>
      </c>
      <c r="C446" t="s">
        <v>806</v>
      </c>
      <c r="D446" s="1">
        <v>42549.597222222219</v>
      </c>
      <c r="E446" t="s">
        <v>761</v>
      </c>
      <c r="F446" t="s">
        <v>434</v>
      </c>
      <c r="G446">
        <v>22</v>
      </c>
      <c r="H446">
        <v>45</v>
      </c>
      <c r="I446" t="s">
        <v>722</v>
      </c>
      <c r="J446">
        <v>2016</v>
      </c>
      <c r="K446">
        <v>6</v>
      </c>
      <c r="L446">
        <v>28</v>
      </c>
      <c r="M446">
        <v>14</v>
      </c>
      <c r="N446" s="7">
        <f t="shared" si="42"/>
        <v>67</v>
      </c>
      <c r="O446" s="7" t="str">
        <f t="shared" si="45"/>
        <v>Popular</v>
      </c>
      <c r="P446" s="7" t="str">
        <f t="shared" si="43"/>
        <v>No</v>
      </c>
      <c r="Q446" s="7" t="str">
        <f t="shared" si="44"/>
        <v>Wide Reach</v>
      </c>
      <c r="R446" s="7" t="str">
        <f t="shared" si="46"/>
        <v>Afternoon</v>
      </c>
      <c r="S446" s="7" t="str">
        <f t="shared" si="47"/>
        <v>Europe</v>
      </c>
      <c r="T446" s="30">
        <f t="shared" si="48"/>
        <v>2.0454545454545454</v>
      </c>
      <c r="U446" s="6"/>
      <c r="V446" s="6"/>
    </row>
    <row r="447" spans="1:22" x14ac:dyDescent="0.3">
      <c r="A447" t="s">
        <v>1342</v>
      </c>
      <c r="B447" t="s">
        <v>2041</v>
      </c>
      <c r="C447" t="s">
        <v>833</v>
      </c>
      <c r="D447" s="1">
        <v>43760.708333333336</v>
      </c>
      <c r="E447" t="s">
        <v>762</v>
      </c>
      <c r="F447" t="s">
        <v>435</v>
      </c>
      <c r="G447">
        <v>15</v>
      </c>
      <c r="H447">
        <v>30</v>
      </c>
      <c r="I447" t="s">
        <v>737</v>
      </c>
      <c r="J447">
        <v>2019</v>
      </c>
      <c r="K447">
        <v>10</v>
      </c>
      <c r="L447">
        <v>22</v>
      </c>
      <c r="M447">
        <v>17</v>
      </c>
      <c r="N447" s="7">
        <f t="shared" si="42"/>
        <v>45</v>
      </c>
      <c r="O447" s="7" t="str">
        <f t="shared" si="45"/>
        <v>Normal</v>
      </c>
      <c r="P447" s="7" t="str">
        <f t="shared" si="43"/>
        <v>No</v>
      </c>
      <c r="Q447" s="7" t="str">
        <f t="shared" si="44"/>
        <v>Standard</v>
      </c>
      <c r="R447" s="7" t="str">
        <f t="shared" si="46"/>
        <v>Afternoon</v>
      </c>
      <c r="S447" s="7" t="str">
        <f t="shared" si="47"/>
        <v>Europe</v>
      </c>
      <c r="T447" s="30">
        <f t="shared" si="48"/>
        <v>2</v>
      </c>
      <c r="U447" s="6"/>
      <c r="V447" s="6"/>
    </row>
    <row r="448" spans="1:22" x14ac:dyDescent="0.3">
      <c r="A448" t="s">
        <v>1343</v>
      </c>
      <c r="B448" t="s">
        <v>2042</v>
      </c>
      <c r="C448" t="s">
        <v>897</v>
      </c>
      <c r="D448" s="1">
        <v>44270.947916666664</v>
      </c>
      <c r="E448" t="s">
        <v>763</v>
      </c>
      <c r="F448" t="s">
        <v>436</v>
      </c>
      <c r="G448">
        <v>28</v>
      </c>
      <c r="H448">
        <v>55</v>
      </c>
      <c r="I448" t="s">
        <v>734</v>
      </c>
      <c r="J448">
        <v>2021</v>
      </c>
      <c r="K448">
        <v>3</v>
      </c>
      <c r="L448">
        <v>15</v>
      </c>
      <c r="M448">
        <v>22</v>
      </c>
      <c r="N448" s="7">
        <f t="shared" si="42"/>
        <v>83</v>
      </c>
      <c r="O448" s="7" t="str">
        <f t="shared" si="45"/>
        <v>Popular</v>
      </c>
      <c r="P448" s="7" t="str">
        <f t="shared" si="43"/>
        <v>Yes</v>
      </c>
      <c r="Q448" s="7" t="str">
        <f t="shared" si="44"/>
        <v>Wide Reach</v>
      </c>
      <c r="R448" s="7" t="str">
        <f t="shared" si="46"/>
        <v>Evening</v>
      </c>
      <c r="S448" s="7" t="str">
        <f t="shared" si="47"/>
        <v>South America</v>
      </c>
      <c r="T448" s="30">
        <f t="shared" si="48"/>
        <v>1.9642857142857142</v>
      </c>
      <c r="U448" s="6"/>
      <c r="V448" s="6"/>
    </row>
    <row r="449" spans="1:22" x14ac:dyDescent="0.3">
      <c r="A449" t="s">
        <v>1344</v>
      </c>
      <c r="B449" t="s">
        <v>2043</v>
      </c>
      <c r="C449" t="s">
        <v>885</v>
      </c>
      <c r="D449" s="1">
        <v>42957.8125</v>
      </c>
      <c r="E449" t="s">
        <v>761</v>
      </c>
      <c r="F449" t="s">
        <v>437</v>
      </c>
      <c r="G449">
        <v>22</v>
      </c>
      <c r="H449">
        <v>45</v>
      </c>
      <c r="I449" t="s">
        <v>733</v>
      </c>
      <c r="J449">
        <v>2017</v>
      </c>
      <c r="K449">
        <v>8</v>
      </c>
      <c r="L449">
        <v>10</v>
      </c>
      <c r="M449">
        <v>19</v>
      </c>
      <c r="N449" s="7">
        <f t="shared" si="42"/>
        <v>67</v>
      </c>
      <c r="O449" s="7" t="str">
        <f t="shared" si="45"/>
        <v>Popular</v>
      </c>
      <c r="P449" s="7" t="str">
        <f t="shared" si="43"/>
        <v>No</v>
      </c>
      <c r="Q449" s="7" t="str">
        <f t="shared" si="44"/>
        <v>Wide Reach</v>
      </c>
      <c r="R449" s="7" t="str">
        <f t="shared" si="46"/>
        <v>Evening</v>
      </c>
      <c r="S449" s="7" t="str">
        <f t="shared" si="47"/>
        <v>Europe</v>
      </c>
      <c r="T449" s="30">
        <f t="shared" si="48"/>
        <v>2.0454545454545454</v>
      </c>
      <c r="U449" s="6"/>
      <c r="V449" s="6"/>
    </row>
    <row r="450" spans="1:22" x14ac:dyDescent="0.3">
      <c r="A450" t="s">
        <v>1345</v>
      </c>
      <c r="B450" t="s">
        <v>2044</v>
      </c>
      <c r="C450" t="s">
        <v>805</v>
      </c>
      <c r="D450" s="1">
        <v>44954.604166666664</v>
      </c>
      <c r="E450" t="s">
        <v>762</v>
      </c>
      <c r="F450" t="s">
        <v>438</v>
      </c>
      <c r="G450">
        <v>30</v>
      </c>
      <c r="H450">
        <v>60</v>
      </c>
      <c r="I450" t="s">
        <v>732</v>
      </c>
      <c r="J450">
        <v>2023</v>
      </c>
      <c r="K450">
        <v>1</v>
      </c>
      <c r="L450">
        <v>28</v>
      </c>
      <c r="M450">
        <v>14</v>
      </c>
      <c r="N450" s="7">
        <f t="shared" si="42"/>
        <v>90</v>
      </c>
      <c r="O450" s="7" t="str">
        <f t="shared" si="45"/>
        <v>Popular</v>
      </c>
      <c r="P450" s="7" t="str">
        <f t="shared" si="43"/>
        <v>Yes</v>
      </c>
      <c r="Q450" s="7" t="str">
        <f t="shared" si="44"/>
        <v>Wide Reach</v>
      </c>
      <c r="R450" s="7" t="str">
        <f t="shared" si="46"/>
        <v>Afternoon</v>
      </c>
      <c r="S450" s="7" t="str">
        <f t="shared" si="47"/>
        <v>Asia</v>
      </c>
      <c r="T450" s="30">
        <f t="shared" si="48"/>
        <v>2</v>
      </c>
      <c r="U450" s="6"/>
      <c r="V450" s="6"/>
    </row>
    <row r="451" spans="1:22" x14ac:dyDescent="0.3">
      <c r="A451" t="s">
        <v>1346</v>
      </c>
      <c r="B451" t="s">
        <v>2045</v>
      </c>
      <c r="C451" t="s">
        <v>886</v>
      </c>
      <c r="D451" s="1">
        <v>42716.416666666664</v>
      </c>
      <c r="E451" t="s">
        <v>763</v>
      </c>
      <c r="F451" t="s">
        <v>439</v>
      </c>
      <c r="G451">
        <v>25</v>
      </c>
      <c r="H451">
        <v>50</v>
      </c>
      <c r="I451" t="s">
        <v>739</v>
      </c>
      <c r="J451">
        <v>2016</v>
      </c>
      <c r="K451">
        <v>12</v>
      </c>
      <c r="L451">
        <v>12</v>
      </c>
      <c r="M451">
        <v>10</v>
      </c>
      <c r="N451" s="7">
        <f t="shared" ref="N451:N514" si="49">SUM(G451,H451)</f>
        <v>75</v>
      </c>
      <c r="O451" s="7" t="str">
        <f t="shared" si="45"/>
        <v>Popular</v>
      </c>
      <c r="P451" s="7" t="str">
        <f t="shared" ref="P451:P514" si="50">IF(AND(G451&gt;25, H451&gt;50), "Yes", "No")</f>
        <v>No</v>
      </c>
      <c r="Q451" s="7" t="str">
        <f t="shared" ref="Q451:Q514" si="51">IF(OR(H451&gt;40,G451&gt;20),"Wide Reach","Standard")</f>
        <v>Wide Reach</v>
      </c>
      <c r="R451" s="7" t="str">
        <f t="shared" si="46"/>
        <v>Morning</v>
      </c>
      <c r="S451" s="7" t="str">
        <f t="shared" si="47"/>
        <v>Europe</v>
      </c>
      <c r="T451" s="30">
        <f t="shared" si="48"/>
        <v>2</v>
      </c>
      <c r="U451" s="6"/>
      <c r="V451" s="6"/>
    </row>
    <row r="452" spans="1:22" x14ac:dyDescent="0.3">
      <c r="A452" t="s">
        <v>1347</v>
      </c>
      <c r="B452" t="s">
        <v>2046</v>
      </c>
      <c r="C452" t="s">
        <v>881</v>
      </c>
      <c r="D452" s="1">
        <v>44030.635416666664</v>
      </c>
      <c r="E452" t="s">
        <v>761</v>
      </c>
      <c r="F452" t="s">
        <v>440</v>
      </c>
      <c r="G452">
        <v>35</v>
      </c>
      <c r="H452">
        <v>70</v>
      </c>
      <c r="I452" t="s">
        <v>735</v>
      </c>
      <c r="J452">
        <v>2020</v>
      </c>
      <c r="K452">
        <v>7</v>
      </c>
      <c r="L452">
        <v>18</v>
      </c>
      <c r="M452">
        <v>15</v>
      </c>
      <c r="N452" s="7">
        <f t="shared" si="49"/>
        <v>105</v>
      </c>
      <c r="O452" s="7" t="str">
        <f t="shared" ref="O452:O515" si="52">IF(N452&gt;60, "Popular", "Normal")</f>
        <v>Popular</v>
      </c>
      <c r="P452" s="7" t="str">
        <f t="shared" si="50"/>
        <v>Yes</v>
      </c>
      <c r="Q452" s="7" t="str">
        <f t="shared" si="51"/>
        <v>Wide Reach</v>
      </c>
      <c r="R452" s="7" t="str">
        <f t="shared" ref="R452:R515" si="53">IF(M452&gt;17,"Evening",IF(M452&gt;11,"Afternoon",IF(M452&gt;5,"Morning","Night")))</f>
        <v>Afternoon</v>
      </c>
      <c r="S452" s="7" t="str">
        <f t="shared" ref="S452:S515" si="54">_xlfn.SWITCH(I452,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Asia</v>
      </c>
      <c r="T452" s="30">
        <f t="shared" ref="T452:T515" si="55">IFERROR(H452/G452,"Error")</f>
        <v>2</v>
      </c>
      <c r="U452" s="6"/>
      <c r="V452" s="6"/>
    </row>
    <row r="453" spans="1:22" x14ac:dyDescent="0.3">
      <c r="A453" t="s">
        <v>1348</v>
      </c>
      <c r="B453" t="s">
        <v>2047</v>
      </c>
      <c r="C453" t="s">
        <v>889</v>
      </c>
      <c r="D453" s="1">
        <v>44701.854166666664</v>
      </c>
      <c r="E453" t="s">
        <v>762</v>
      </c>
      <c r="F453" t="s">
        <v>441</v>
      </c>
      <c r="G453">
        <v>30</v>
      </c>
      <c r="H453">
        <v>60</v>
      </c>
      <c r="I453" t="s">
        <v>741</v>
      </c>
      <c r="J453">
        <v>2022</v>
      </c>
      <c r="K453">
        <v>5</v>
      </c>
      <c r="L453">
        <v>20</v>
      </c>
      <c r="M453">
        <v>20</v>
      </c>
      <c r="N453" s="7">
        <f t="shared" si="49"/>
        <v>90</v>
      </c>
      <c r="O453" s="7" t="str">
        <f t="shared" si="52"/>
        <v>Popular</v>
      </c>
      <c r="P453" s="7" t="str">
        <f t="shared" si="50"/>
        <v>Yes</v>
      </c>
      <c r="Q453" s="7" t="str">
        <f t="shared" si="51"/>
        <v>Wide Reach</v>
      </c>
      <c r="R453" s="7" t="str">
        <f t="shared" si="53"/>
        <v>Evening</v>
      </c>
      <c r="S453" s="7" t="str">
        <f t="shared" si="54"/>
        <v>Africa</v>
      </c>
      <c r="T453" s="30">
        <f t="shared" si="55"/>
        <v>2</v>
      </c>
      <c r="U453" s="6"/>
      <c r="V453" s="6"/>
    </row>
    <row r="454" spans="1:22" x14ac:dyDescent="0.3">
      <c r="A454" t="s">
        <v>1349</v>
      </c>
      <c r="B454" t="s">
        <v>2048</v>
      </c>
      <c r="C454" t="s">
        <v>815</v>
      </c>
      <c r="D454" s="1">
        <v>43777.614583333336</v>
      </c>
      <c r="E454" t="s">
        <v>761</v>
      </c>
      <c r="F454" t="s">
        <v>442</v>
      </c>
      <c r="G454">
        <v>18</v>
      </c>
      <c r="H454">
        <v>35</v>
      </c>
      <c r="I454" t="s">
        <v>742</v>
      </c>
      <c r="J454">
        <v>2019</v>
      </c>
      <c r="K454">
        <v>11</v>
      </c>
      <c r="L454">
        <v>8</v>
      </c>
      <c r="M454">
        <v>14</v>
      </c>
      <c r="N454" s="7">
        <f t="shared" si="49"/>
        <v>53</v>
      </c>
      <c r="O454" s="7" t="str">
        <f t="shared" si="52"/>
        <v>Normal</v>
      </c>
      <c r="P454" s="7" t="str">
        <f t="shared" si="50"/>
        <v>No</v>
      </c>
      <c r="Q454" s="7" t="str">
        <f t="shared" si="51"/>
        <v>Standard</v>
      </c>
      <c r="R454" s="7" t="str">
        <f t="shared" si="53"/>
        <v>Afternoon</v>
      </c>
      <c r="S454" s="7" t="str">
        <f t="shared" si="54"/>
        <v>Europe</v>
      </c>
      <c r="T454" s="30">
        <f t="shared" si="55"/>
        <v>1.9444444444444444</v>
      </c>
      <c r="U454" s="6"/>
      <c r="V454" s="6"/>
    </row>
    <row r="455" spans="1:22" x14ac:dyDescent="0.3">
      <c r="A455" t="s">
        <v>1350</v>
      </c>
      <c r="B455" t="s">
        <v>2049</v>
      </c>
      <c r="C455" t="s">
        <v>804</v>
      </c>
      <c r="D455" s="1">
        <v>42822.916666666664</v>
      </c>
      <c r="E455" t="s">
        <v>763</v>
      </c>
      <c r="F455" t="s">
        <v>443</v>
      </c>
      <c r="G455">
        <v>28</v>
      </c>
      <c r="H455">
        <v>55</v>
      </c>
      <c r="I455" t="s">
        <v>731</v>
      </c>
      <c r="J455">
        <v>2017</v>
      </c>
      <c r="K455">
        <v>3</v>
      </c>
      <c r="L455">
        <v>28</v>
      </c>
      <c r="M455">
        <v>22</v>
      </c>
      <c r="N455" s="7">
        <f t="shared" si="49"/>
        <v>83</v>
      </c>
      <c r="O455" s="7" t="str">
        <f t="shared" si="52"/>
        <v>Popular</v>
      </c>
      <c r="P455" s="7" t="str">
        <f t="shared" si="50"/>
        <v>Yes</v>
      </c>
      <c r="Q455" s="7" t="str">
        <f t="shared" si="51"/>
        <v>Wide Reach</v>
      </c>
      <c r="R455" s="7" t="str">
        <f t="shared" si="53"/>
        <v>Evening</v>
      </c>
      <c r="S455" s="7" t="str">
        <f t="shared" si="54"/>
        <v>Oceania</v>
      </c>
      <c r="T455" s="30">
        <f t="shared" si="55"/>
        <v>1.9642857142857142</v>
      </c>
      <c r="U455" s="6"/>
      <c r="V455" s="6"/>
    </row>
    <row r="456" spans="1:22" x14ac:dyDescent="0.3">
      <c r="A456" t="s">
        <v>1351</v>
      </c>
      <c r="B456" t="s">
        <v>2050</v>
      </c>
      <c r="C456" t="s">
        <v>893</v>
      </c>
      <c r="D456" s="1">
        <v>44089.760416666664</v>
      </c>
      <c r="E456" t="s">
        <v>762</v>
      </c>
      <c r="F456" t="s">
        <v>444</v>
      </c>
      <c r="G456">
        <v>22</v>
      </c>
      <c r="H456">
        <v>45</v>
      </c>
      <c r="I456" t="s">
        <v>720</v>
      </c>
      <c r="J456">
        <v>2020</v>
      </c>
      <c r="K456">
        <v>9</v>
      </c>
      <c r="L456">
        <v>15</v>
      </c>
      <c r="M456">
        <v>18</v>
      </c>
      <c r="N456" s="7">
        <f t="shared" si="49"/>
        <v>67</v>
      </c>
      <c r="O456" s="7" t="str">
        <f t="shared" si="52"/>
        <v>Popular</v>
      </c>
      <c r="P456" s="7" t="str">
        <f t="shared" si="50"/>
        <v>No</v>
      </c>
      <c r="Q456" s="7" t="str">
        <f t="shared" si="51"/>
        <v>Wide Reach</v>
      </c>
      <c r="R456" s="7" t="str">
        <f t="shared" si="53"/>
        <v>Evening</v>
      </c>
      <c r="S456" s="7" t="str">
        <f t="shared" si="54"/>
        <v>North America</v>
      </c>
      <c r="T456" s="30">
        <f t="shared" si="55"/>
        <v>2.0454545454545454</v>
      </c>
      <c r="U456" s="6"/>
      <c r="V456" s="6"/>
    </row>
    <row r="457" spans="1:22" x14ac:dyDescent="0.3">
      <c r="A457" t="s">
        <v>1352</v>
      </c>
      <c r="B457" t="s">
        <v>2051</v>
      </c>
      <c r="C457" t="s">
        <v>897</v>
      </c>
      <c r="D457" s="1">
        <v>43261.5625</v>
      </c>
      <c r="E457" t="s">
        <v>761</v>
      </c>
      <c r="F457" t="s">
        <v>445</v>
      </c>
      <c r="G457">
        <v>20</v>
      </c>
      <c r="H457">
        <v>40</v>
      </c>
      <c r="I457" t="s">
        <v>722</v>
      </c>
      <c r="J457">
        <v>2018</v>
      </c>
      <c r="K457">
        <v>6</v>
      </c>
      <c r="L457">
        <v>10</v>
      </c>
      <c r="M457">
        <v>13</v>
      </c>
      <c r="N457" s="7">
        <f t="shared" si="49"/>
        <v>60</v>
      </c>
      <c r="O457" s="7" t="str">
        <f t="shared" si="52"/>
        <v>Normal</v>
      </c>
      <c r="P457" s="7" t="str">
        <f t="shared" si="50"/>
        <v>No</v>
      </c>
      <c r="Q457" s="7" t="str">
        <f t="shared" si="51"/>
        <v>Standard</v>
      </c>
      <c r="R457" s="7" t="str">
        <f t="shared" si="53"/>
        <v>Afternoon</v>
      </c>
      <c r="S457" s="7" t="str">
        <f t="shared" si="54"/>
        <v>Europe</v>
      </c>
      <c r="T457" s="30">
        <f t="shared" si="55"/>
        <v>2</v>
      </c>
      <c r="U457" s="6"/>
      <c r="V457" s="6"/>
    </row>
    <row r="458" spans="1:22" x14ac:dyDescent="0.3">
      <c r="A458" t="s">
        <v>1353</v>
      </c>
      <c r="B458" t="s">
        <v>2052</v>
      </c>
      <c r="C458" t="s">
        <v>805</v>
      </c>
      <c r="D458" s="1">
        <v>42726.90625</v>
      </c>
      <c r="E458" t="s">
        <v>763</v>
      </c>
      <c r="F458" t="s">
        <v>446</v>
      </c>
      <c r="G458">
        <v>25</v>
      </c>
      <c r="H458">
        <v>50</v>
      </c>
      <c r="I458" t="s">
        <v>30</v>
      </c>
      <c r="J458">
        <v>2016</v>
      </c>
      <c r="K458">
        <v>12</v>
      </c>
      <c r="L458">
        <v>22</v>
      </c>
      <c r="M458">
        <v>21</v>
      </c>
      <c r="N458" s="7">
        <f t="shared" si="49"/>
        <v>75</v>
      </c>
      <c r="O458" s="7" t="str">
        <f t="shared" si="52"/>
        <v>Popular</v>
      </c>
      <c r="P458" s="7" t="str">
        <f t="shared" si="50"/>
        <v>No</v>
      </c>
      <c r="Q458" s="7" t="str">
        <f t="shared" si="51"/>
        <v>Wide Reach</v>
      </c>
      <c r="R458" s="7" t="str">
        <f t="shared" si="53"/>
        <v>Evening</v>
      </c>
      <c r="S458" s="7" t="str">
        <f t="shared" si="54"/>
        <v>North America</v>
      </c>
      <c r="T458" s="30">
        <f t="shared" si="55"/>
        <v>2</v>
      </c>
      <c r="U458" s="6"/>
      <c r="V458" s="6"/>
    </row>
    <row r="459" spans="1:22" x14ac:dyDescent="0.3">
      <c r="A459" t="s">
        <v>1354</v>
      </c>
      <c r="B459" t="s">
        <v>2053</v>
      </c>
      <c r="C459" t="s">
        <v>886</v>
      </c>
      <c r="D459" s="1">
        <v>44201.680555555555</v>
      </c>
      <c r="E459" t="s">
        <v>762</v>
      </c>
      <c r="F459" t="s">
        <v>447</v>
      </c>
      <c r="G459">
        <v>15</v>
      </c>
      <c r="H459">
        <v>30</v>
      </c>
      <c r="I459" t="s">
        <v>737</v>
      </c>
      <c r="J459">
        <v>2021</v>
      </c>
      <c r="K459">
        <v>1</v>
      </c>
      <c r="L459">
        <v>5</v>
      </c>
      <c r="M459">
        <v>16</v>
      </c>
      <c r="N459" s="7">
        <f t="shared" si="49"/>
        <v>45</v>
      </c>
      <c r="O459" s="7" t="str">
        <f t="shared" si="52"/>
        <v>Normal</v>
      </c>
      <c r="P459" s="7" t="str">
        <f t="shared" si="50"/>
        <v>No</v>
      </c>
      <c r="Q459" s="7" t="str">
        <f t="shared" si="51"/>
        <v>Standard</v>
      </c>
      <c r="R459" s="7" t="str">
        <f t="shared" si="53"/>
        <v>Afternoon</v>
      </c>
      <c r="S459" s="7" t="str">
        <f t="shared" si="54"/>
        <v>Europe</v>
      </c>
      <c r="T459" s="30">
        <f t="shared" si="55"/>
        <v>2</v>
      </c>
      <c r="U459" s="6"/>
      <c r="V459" s="6"/>
    </row>
    <row r="460" spans="1:22" x14ac:dyDescent="0.3">
      <c r="A460" t="s">
        <v>1355</v>
      </c>
      <c r="B460" t="s">
        <v>2054</v>
      </c>
      <c r="C460" t="s">
        <v>885</v>
      </c>
      <c r="D460" s="1">
        <v>43573.458333333336</v>
      </c>
      <c r="E460" t="s">
        <v>761</v>
      </c>
      <c r="F460" t="s">
        <v>448</v>
      </c>
      <c r="G460">
        <v>22</v>
      </c>
      <c r="H460">
        <v>45</v>
      </c>
      <c r="I460" t="s">
        <v>734</v>
      </c>
      <c r="J460">
        <v>2019</v>
      </c>
      <c r="K460">
        <v>4</v>
      </c>
      <c r="L460">
        <v>18</v>
      </c>
      <c r="M460">
        <v>11</v>
      </c>
      <c r="N460" s="7">
        <f t="shared" si="49"/>
        <v>67</v>
      </c>
      <c r="O460" s="7" t="str">
        <f t="shared" si="52"/>
        <v>Popular</v>
      </c>
      <c r="P460" s="7" t="str">
        <f t="shared" si="50"/>
        <v>No</v>
      </c>
      <c r="Q460" s="7" t="str">
        <f t="shared" si="51"/>
        <v>Wide Reach</v>
      </c>
      <c r="R460" s="7" t="str">
        <f t="shared" si="53"/>
        <v>Morning</v>
      </c>
      <c r="S460" s="7" t="str">
        <f t="shared" si="54"/>
        <v>South America</v>
      </c>
      <c r="T460" s="30">
        <f t="shared" si="55"/>
        <v>2.0454545454545454</v>
      </c>
      <c r="U460" s="6"/>
      <c r="V460" s="6"/>
    </row>
    <row r="461" spans="1:22" x14ac:dyDescent="0.3">
      <c r="A461" t="s">
        <v>1356</v>
      </c>
      <c r="B461" t="s">
        <v>2055</v>
      </c>
      <c r="C461" t="s">
        <v>804</v>
      </c>
      <c r="D461" s="1">
        <v>42975.8125</v>
      </c>
      <c r="E461" t="s">
        <v>763</v>
      </c>
      <c r="F461" t="s">
        <v>449</v>
      </c>
      <c r="G461">
        <v>18</v>
      </c>
      <c r="H461">
        <v>35</v>
      </c>
      <c r="I461" t="s">
        <v>732</v>
      </c>
      <c r="J461">
        <v>2017</v>
      </c>
      <c r="K461">
        <v>8</v>
      </c>
      <c r="L461">
        <v>28</v>
      </c>
      <c r="M461">
        <v>19</v>
      </c>
      <c r="N461" s="7">
        <f t="shared" si="49"/>
        <v>53</v>
      </c>
      <c r="O461" s="7" t="str">
        <f t="shared" si="52"/>
        <v>Normal</v>
      </c>
      <c r="P461" s="7" t="str">
        <f t="shared" si="50"/>
        <v>No</v>
      </c>
      <c r="Q461" s="7" t="str">
        <f t="shared" si="51"/>
        <v>Standard</v>
      </c>
      <c r="R461" s="7" t="str">
        <f t="shared" si="53"/>
        <v>Evening</v>
      </c>
      <c r="S461" s="7" t="str">
        <f t="shared" si="54"/>
        <v>Asia</v>
      </c>
      <c r="T461" s="30">
        <f t="shared" si="55"/>
        <v>1.9444444444444444</v>
      </c>
      <c r="U461" s="6"/>
      <c r="V461" s="6"/>
    </row>
    <row r="462" spans="1:22" x14ac:dyDescent="0.3">
      <c r="A462" t="s">
        <v>1357</v>
      </c>
      <c r="B462" t="s">
        <v>2056</v>
      </c>
      <c r="C462" t="s">
        <v>898</v>
      </c>
      <c r="D462" s="1">
        <v>44967.604166666664</v>
      </c>
      <c r="E462" t="s">
        <v>762</v>
      </c>
      <c r="F462" t="s">
        <v>450</v>
      </c>
      <c r="G462">
        <v>28</v>
      </c>
      <c r="H462">
        <v>55</v>
      </c>
      <c r="I462" t="s">
        <v>733</v>
      </c>
      <c r="J462">
        <v>2023</v>
      </c>
      <c r="K462">
        <v>2</v>
      </c>
      <c r="L462">
        <v>10</v>
      </c>
      <c r="M462">
        <v>14</v>
      </c>
      <c r="N462" s="7">
        <f t="shared" si="49"/>
        <v>83</v>
      </c>
      <c r="O462" s="7" t="str">
        <f t="shared" si="52"/>
        <v>Popular</v>
      </c>
      <c r="P462" s="7" t="str">
        <f t="shared" si="50"/>
        <v>Yes</v>
      </c>
      <c r="Q462" s="7" t="str">
        <f t="shared" si="51"/>
        <v>Wide Reach</v>
      </c>
      <c r="R462" s="7" t="str">
        <f t="shared" si="53"/>
        <v>Afternoon</v>
      </c>
      <c r="S462" s="7" t="str">
        <f t="shared" si="54"/>
        <v>Europe</v>
      </c>
      <c r="T462" s="30">
        <f t="shared" si="55"/>
        <v>1.9642857142857142</v>
      </c>
      <c r="U462" s="6"/>
      <c r="V462" s="6"/>
    </row>
    <row r="463" spans="1:22" x14ac:dyDescent="0.3">
      <c r="A463" t="s">
        <v>1358</v>
      </c>
      <c r="B463" t="s">
        <v>2057</v>
      </c>
      <c r="C463" t="s">
        <v>899</v>
      </c>
      <c r="D463" s="1">
        <v>44752.927083333336</v>
      </c>
      <c r="E463" t="s">
        <v>762</v>
      </c>
      <c r="F463" t="s">
        <v>451</v>
      </c>
      <c r="G463">
        <v>30</v>
      </c>
      <c r="H463">
        <v>60</v>
      </c>
      <c r="I463" t="s">
        <v>735</v>
      </c>
      <c r="J463">
        <v>2022</v>
      </c>
      <c r="K463">
        <v>7</v>
      </c>
      <c r="L463">
        <v>10</v>
      </c>
      <c r="M463">
        <v>22</v>
      </c>
      <c r="N463" s="7">
        <f t="shared" si="49"/>
        <v>90</v>
      </c>
      <c r="O463" s="7" t="str">
        <f t="shared" si="52"/>
        <v>Popular</v>
      </c>
      <c r="P463" s="7" t="str">
        <f t="shared" si="50"/>
        <v>Yes</v>
      </c>
      <c r="Q463" s="7" t="str">
        <f t="shared" si="51"/>
        <v>Wide Reach</v>
      </c>
      <c r="R463" s="7" t="str">
        <f t="shared" si="53"/>
        <v>Evening</v>
      </c>
      <c r="S463" s="7" t="str">
        <f t="shared" si="54"/>
        <v>Asia</v>
      </c>
      <c r="T463" s="30">
        <f t="shared" si="55"/>
        <v>2</v>
      </c>
      <c r="U463" s="6"/>
      <c r="V463" s="6"/>
    </row>
    <row r="464" spans="1:22" x14ac:dyDescent="0.3">
      <c r="A464" t="s">
        <v>1359</v>
      </c>
      <c r="B464" t="s">
        <v>2058</v>
      </c>
      <c r="C464" t="s">
        <v>820</v>
      </c>
      <c r="D464" s="1">
        <v>43600.895833333336</v>
      </c>
      <c r="E464" t="s">
        <v>761</v>
      </c>
      <c r="F464" t="s">
        <v>452</v>
      </c>
      <c r="G464">
        <v>18</v>
      </c>
      <c r="H464">
        <v>35</v>
      </c>
      <c r="I464" t="s">
        <v>739</v>
      </c>
      <c r="J464">
        <v>2019</v>
      </c>
      <c r="K464">
        <v>5</v>
      </c>
      <c r="L464">
        <v>15</v>
      </c>
      <c r="M464">
        <v>21</v>
      </c>
      <c r="N464" s="7">
        <f t="shared" si="49"/>
        <v>53</v>
      </c>
      <c r="O464" s="7" t="str">
        <f t="shared" si="52"/>
        <v>Normal</v>
      </c>
      <c r="P464" s="7" t="str">
        <f t="shared" si="50"/>
        <v>No</v>
      </c>
      <c r="Q464" s="7" t="str">
        <f t="shared" si="51"/>
        <v>Standard</v>
      </c>
      <c r="R464" s="7" t="str">
        <f t="shared" si="53"/>
        <v>Evening</v>
      </c>
      <c r="S464" s="7" t="str">
        <f t="shared" si="54"/>
        <v>Europe</v>
      </c>
      <c r="T464" s="30">
        <f t="shared" si="55"/>
        <v>1.9444444444444444</v>
      </c>
      <c r="U464" s="6"/>
      <c r="V464" s="6"/>
    </row>
    <row r="465" spans="1:22" x14ac:dyDescent="0.3">
      <c r="A465" t="s">
        <v>1360</v>
      </c>
      <c r="B465" t="s">
        <v>2059</v>
      </c>
      <c r="C465" t="s">
        <v>805</v>
      </c>
      <c r="D465" s="1">
        <v>43432.583333333336</v>
      </c>
      <c r="E465" t="s">
        <v>763</v>
      </c>
      <c r="F465" t="s">
        <v>453</v>
      </c>
      <c r="G465">
        <v>22</v>
      </c>
      <c r="H465">
        <v>45</v>
      </c>
      <c r="I465" t="s">
        <v>737</v>
      </c>
      <c r="J465">
        <v>2018</v>
      </c>
      <c r="K465">
        <v>11</v>
      </c>
      <c r="L465">
        <v>28</v>
      </c>
      <c r="M465">
        <v>14</v>
      </c>
      <c r="N465" s="7">
        <f t="shared" si="49"/>
        <v>67</v>
      </c>
      <c r="O465" s="7" t="str">
        <f t="shared" si="52"/>
        <v>Popular</v>
      </c>
      <c r="P465" s="7" t="str">
        <f t="shared" si="50"/>
        <v>No</v>
      </c>
      <c r="Q465" s="7" t="str">
        <f t="shared" si="51"/>
        <v>Wide Reach</v>
      </c>
      <c r="R465" s="7" t="str">
        <f t="shared" si="53"/>
        <v>Afternoon</v>
      </c>
      <c r="S465" s="7" t="str">
        <f t="shared" si="54"/>
        <v>Europe</v>
      </c>
      <c r="T465" s="30">
        <f t="shared" si="55"/>
        <v>2.0454545454545454</v>
      </c>
      <c r="U465" s="6"/>
      <c r="V465" s="6"/>
    </row>
    <row r="466" spans="1:22" x14ac:dyDescent="0.3">
      <c r="A466" t="s">
        <v>1361</v>
      </c>
      <c r="B466" t="s">
        <v>2060</v>
      </c>
      <c r="C466" t="s">
        <v>886</v>
      </c>
      <c r="D466" s="1">
        <v>44257.739583333336</v>
      </c>
      <c r="E466" t="s">
        <v>762</v>
      </c>
      <c r="F466" t="s">
        <v>454</v>
      </c>
      <c r="G466">
        <v>25</v>
      </c>
      <c r="H466">
        <v>50</v>
      </c>
      <c r="I466" t="s">
        <v>720</v>
      </c>
      <c r="J466">
        <v>2021</v>
      </c>
      <c r="K466">
        <v>3</v>
      </c>
      <c r="L466">
        <v>2</v>
      </c>
      <c r="M466">
        <v>17</v>
      </c>
      <c r="N466" s="7">
        <f t="shared" si="49"/>
        <v>75</v>
      </c>
      <c r="O466" s="7" t="str">
        <f t="shared" si="52"/>
        <v>Popular</v>
      </c>
      <c r="P466" s="7" t="str">
        <f t="shared" si="50"/>
        <v>No</v>
      </c>
      <c r="Q466" s="7" t="str">
        <f t="shared" si="51"/>
        <v>Wide Reach</v>
      </c>
      <c r="R466" s="7" t="str">
        <f t="shared" si="53"/>
        <v>Afternoon</v>
      </c>
      <c r="S466" s="7" t="str">
        <f t="shared" si="54"/>
        <v>North America</v>
      </c>
      <c r="T466" s="30">
        <f t="shared" si="55"/>
        <v>2</v>
      </c>
      <c r="U466" s="6"/>
      <c r="V466" s="6"/>
    </row>
    <row r="467" spans="1:22" x14ac:dyDescent="0.3">
      <c r="A467" t="s">
        <v>1362</v>
      </c>
      <c r="B467" t="s">
        <v>2061</v>
      </c>
      <c r="C467" t="s">
        <v>804</v>
      </c>
      <c r="D467" s="1">
        <v>42661.8125</v>
      </c>
      <c r="E467" t="s">
        <v>761</v>
      </c>
      <c r="F467" t="s">
        <v>455</v>
      </c>
      <c r="G467">
        <v>20</v>
      </c>
      <c r="H467">
        <v>40</v>
      </c>
      <c r="I467" t="s">
        <v>30</v>
      </c>
      <c r="J467">
        <v>2016</v>
      </c>
      <c r="K467">
        <v>10</v>
      </c>
      <c r="L467">
        <v>18</v>
      </c>
      <c r="M467">
        <v>19</v>
      </c>
      <c r="N467" s="7">
        <f t="shared" si="49"/>
        <v>60</v>
      </c>
      <c r="O467" s="7" t="str">
        <f t="shared" si="52"/>
        <v>Normal</v>
      </c>
      <c r="P467" s="7" t="str">
        <f t="shared" si="50"/>
        <v>No</v>
      </c>
      <c r="Q467" s="7" t="str">
        <f t="shared" si="51"/>
        <v>Standard</v>
      </c>
      <c r="R467" s="7" t="str">
        <f t="shared" si="53"/>
        <v>Evening</v>
      </c>
      <c r="S467" s="7" t="str">
        <f t="shared" si="54"/>
        <v>North America</v>
      </c>
      <c r="T467" s="30">
        <f t="shared" si="55"/>
        <v>2</v>
      </c>
      <c r="U467" s="6"/>
      <c r="V467" s="6"/>
    </row>
    <row r="468" spans="1:22" x14ac:dyDescent="0.3">
      <c r="A468" t="s">
        <v>1363</v>
      </c>
      <c r="B468" t="s">
        <v>2062</v>
      </c>
      <c r="C468" t="s">
        <v>897</v>
      </c>
      <c r="D468" s="1">
        <v>44058.520833333336</v>
      </c>
      <c r="E468" t="s">
        <v>763</v>
      </c>
      <c r="F468" t="s">
        <v>456</v>
      </c>
      <c r="G468">
        <v>28</v>
      </c>
      <c r="H468">
        <v>55</v>
      </c>
      <c r="I468" t="s">
        <v>733</v>
      </c>
      <c r="J468">
        <v>2020</v>
      </c>
      <c r="K468">
        <v>8</v>
      </c>
      <c r="L468">
        <v>15</v>
      </c>
      <c r="M468">
        <v>12</v>
      </c>
      <c r="N468" s="7">
        <f t="shared" si="49"/>
        <v>83</v>
      </c>
      <c r="O468" s="7" t="str">
        <f t="shared" si="52"/>
        <v>Popular</v>
      </c>
      <c r="P468" s="7" t="str">
        <f t="shared" si="50"/>
        <v>Yes</v>
      </c>
      <c r="Q468" s="7" t="str">
        <f t="shared" si="51"/>
        <v>Wide Reach</v>
      </c>
      <c r="R468" s="7" t="str">
        <f t="shared" si="53"/>
        <v>Afternoon</v>
      </c>
      <c r="S468" s="7" t="str">
        <f t="shared" si="54"/>
        <v>Europe</v>
      </c>
      <c r="T468" s="30">
        <f t="shared" si="55"/>
        <v>1.9642857142857142</v>
      </c>
      <c r="U468" s="6"/>
      <c r="V468" s="6"/>
    </row>
    <row r="469" spans="1:22" x14ac:dyDescent="0.3">
      <c r="A469" t="s">
        <v>1364</v>
      </c>
      <c r="B469" t="s">
        <v>2063</v>
      </c>
      <c r="C469" t="s">
        <v>815</v>
      </c>
      <c r="D469" s="1">
        <v>42853.680555555555</v>
      </c>
      <c r="E469" t="s">
        <v>762</v>
      </c>
      <c r="F469" t="s">
        <v>457</v>
      </c>
      <c r="G469">
        <v>18</v>
      </c>
      <c r="H469">
        <v>35</v>
      </c>
      <c r="I469" t="s">
        <v>722</v>
      </c>
      <c r="J469">
        <v>2017</v>
      </c>
      <c r="K469">
        <v>4</v>
      </c>
      <c r="L469">
        <v>28</v>
      </c>
      <c r="M469">
        <v>16</v>
      </c>
      <c r="N469" s="7">
        <f t="shared" si="49"/>
        <v>53</v>
      </c>
      <c r="O469" s="7" t="str">
        <f t="shared" si="52"/>
        <v>Normal</v>
      </c>
      <c r="P469" s="7" t="str">
        <f t="shared" si="50"/>
        <v>No</v>
      </c>
      <c r="Q469" s="7" t="str">
        <f t="shared" si="51"/>
        <v>Standard</v>
      </c>
      <c r="R469" s="7" t="str">
        <f t="shared" si="53"/>
        <v>Afternoon</v>
      </c>
      <c r="S469" s="7" t="str">
        <f t="shared" si="54"/>
        <v>Europe</v>
      </c>
      <c r="T469" s="30">
        <f t="shared" si="55"/>
        <v>1.9444444444444444</v>
      </c>
      <c r="U469" s="6"/>
      <c r="V469" s="6"/>
    </row>
    <row r="470" spans="1:22" x14ac:dyDescent="0.3">
      <c r="A470" t="s">
        <v>1365</v>
      </c>
      <c r="B470" t="s">
        <v>2064</v>
      </c>
      <c r="C470" t="s">
        <v>898</v>
      </c>
      <c r="D470" s="1">
        <v>43718.875</v>
      </c>
      <c r="E470" t="s">
        <v>761</v>
      </c>
      <c r="F470" t="s">
        <v>458</v>
      </c>
      <c r="G470">
        <v>22</v>
      </c>
      <c r="H470">
        <v>45</v>
      </c>
      <c r="I470" t="s">
        <v>731</v>
      </c>
      <c r="J470">
        <v>2019</v>
      </c>
      <c r="K470">
        <v>9</v>
      </c>
      <c r="L470">
        <v>10</v>
      </c>
      <c r="M470">
        <v>21</v>
      </c>
      <c r="N470" s="7">
        <f t="shared" si="49"/>
        <v>67</v>
      </c>
      <c r="O470" s="7" t="str">
        <f t="shared" si="52"/>
        <v>Popular</v>
      </c>
      <c r="P470" s="7" t="str">
        <f t="shared" si="50"/>
        <v>No</v>
      </c>
      <c r="Q470" s="7" t="str">
        <f t="shared" si="51"/>
        <v>Wide Reach</v>
      </c>
      <c r="R470" s="7" t="str">
        <f t="shared" si="53"/>
        <v>Evening</v>
      </c>
      <c r="S470" s="7" t="str">
        <f t="shared" si="54"/>
        <v>Oceania</v>
      </c>
      <c r="T470" s="30">
        <f t="shared" si="55"/>
        <v>2.0454545454545454</v>
      </c>
      <c r="U470" s="6"/>
      <c r="V470" s="6"/>
    </row>
    <row r="471" spans="1:22" x14ac:dyDescent="0.3">
      <c r="A471" t="s">
        <v>1366</v>
      </c>
      <c r="B471" t="s">
        <v>2065</v>
      </c>
      <c r="C471" t="s">
        <v>886</v>
      </c>
      <c r="D471" s="1">
        <v>44589.572916666664</v>
      </c>
      <c r="E471" t="s">
        <v>763</v>
      </c>
      <c r="F471" t="s">
        <v>459</v>
      </c>
      <c r="G471">
        <v>15</v>
      </c>
      <c r="H471">
        <v>30</v>
      </c>
      <c r="I471" t="s">
        <v>734</v>
      </c>
      <c r="J471">
        <v>2022</v>
      </c>
      <c r="K471">
        <v>1</v>
      </c>
      <c r="L471">
        <v>28</v>
      </c>
      <c r="M471">
        <v>13</v>
      </c>
      <c r="N471" s="7">
        <f t="shared" si="49"/>
        <v>45</v>
      </c>
      <c r="O471" s="7" t="str">
        <f t="shared" si="52"/>
        <v>Normal</v>
      </c>
      <c r="P471" s="7" t="str">
        <f t="shared" si="50"/>
        <v>No</v>
      </c>
      <c r="Q471" s="7" t="str">
        <f t="shared" si="51"/>
        <v>Standard</v>
      </c>
      <c r="R471" s="7" t="str">
        <f t="shared" si="53"/>
        <v>Afternoon</v>
      </c>
      <c r="S471" s="7" t="str">
        <f t="shared" si="54"/>
        <v>South America</v>
      </c>
      <c r="T471" s="30">
        <f t="shared" si="55"/>
        <v>2</v>
      </c>
      <c r="U471" s="6"/>
      <c r="V471" s="6"/>
    </row>
    <row r="472" spans="1:22" x14ac:dyDescent="0.3">
      <c r="A472" t="s">
        <v>1367</v>
      </c>
      <c r="B472" t="s">
        <v>2066</v>
      </c>
      <c r="C472" t="s">
        <v>900</v>
      </c>
      <c r="D472" s="1">
        <v>42536.9375</v>
      </c>
      <c r="E472" t="s">
        <v>762</v>
      </c>
      <c r="F472" t="s">
        <v>460</v>
      </c>
      <c r="G472">
        <v>30</v>
      </c>
      <c r="H472">
        <v>60</v>
      </c>
      <c r="I472" t="s">
        <v>742</v>
      </c>
      <c r="J472">
        <v>2016</v>
      </c>
      <c r="K472">
        <v>6</v>
      </c>
      <c r="L472">
        <v>15</v>
      </c>
      <c r="M472">
        <v>22</v>
      </c>
      <c r="N472" s="7">
        <f t="shared" si="49"/>
        <v>90</v>
      </c>
      <c r="O472" s="7" t="str">
        <f t="shared" si="52"/>
        <v>Popular</v>
      </c>
      <c r="P472" s="7" t="str">
        <f t="shared" si="50"/>
        <v>Yes</v>
      </c>
      <c r="Q472" s="7" t="str">
        <f t="shared" si="51"/>
        <v>Wide Reach</v>
      </c>
      <c r="R472" s="7" t="str">
        <f t="shared" si="53"/>
        <v>Evening</v>
      </c>
      <c r="S472" s="7" t="str">
        <f t="shared" si="54"/>
        <v>Europe</v>
      </c>
      <c r="T472" s="30">
        <f t="shared" si="55"/>
        <v>2</v>
      </c>
      <c r="U472" s="6"/>
      <c r="V472" s="6"/>
    </row>
    <row r="473" spans="1:22" x14ac:dyDescent="0.3">
      <c r="A473" t="s">
        <v>1368</v>
      </c>
      <c r="B473" t="s">
        <v>2067</v>
      </c>
      <c r="C473" t="s">
        <v>772</v>
      </c>
      <c r="D473" s="1">
        <v>44428.65625</v>
      </c>
      <c r="E473" t="s">
        <v>762</v>
      </c>
      <c r="F473" t="s">
        <v>461</v>
      </c>
      <c r="G473">
        <v>40</v>
      </c>
      <c r="H473">
        <v>80</v>
      </c>
      <c r="I473" t="s">
        <v>30</v>
      </c>
      <c r="J473">
        <v>2021</v>
      </c>
      <c r="K473">
        <v>8</v>
      </c>
      <c r="L473">
        <v>20</v>
      </c>
      <c r="M473">
        <v>15</v>
      </c>
      <c r="N473" s="7">
        <f t="shared" si="49"/>
        <v>120</v>
      </c>
      <c r="O473" s="7" t="str">
        <f t="shared" si="52"/>
        <v>Popular</v>
      </c>
      <c r="P473" s="7" t="str">
        <f t="shared" si="50"/>
        <v>Yes</v>
      </c>
      <c r="Q473" s="7" t="str">
        <f t="shared" si="51"/>
        <v>Wide Reach</v>
      </c>
      <c r="R473" s="7" t="str">
        <f t="shared" si="53"/>
        <v>Afternoon</v>
      </c>
      <c r="S473" s="7" t="str">
        <f t="shared" si="54"/>
        <v>North America</v>
      </c>
      <c r="T473" s="30">
        <f t="shared" si="55"/>
        <v>2</v>
      </c>
      <c r="U473" s="6"/>
      <c r="V473" s="6"/>
    </row>
    <row r="474" spans="1:22" x14ac:dyDescent="0.3">
      <c r="A474" t="s">
        <v>1348</v>
      </c>
      <c r="B474" t="s">
        <v>2068</v>
      </c>
      <c r="C474" t="s">
        <v>771</v>
      </c>
      <c r="D474" s="1">
        <v>43202.770833333336</v>
      </c>
      <c r="E474" t="s">
        <v>761</v>
      </c>
      <c r="F474" t="s">
        <v>462</v>
      </c>
      <c r="G474">
        <v>35</v>
      </c>
      <c r="H474">
        <v>70</v>
      </c>
      <c r="I474" t="s">
        <v>720</v>
      </c>
      <c r="J474">
        <v>2018</v>
      </c>
      <c r="K474">
        <v>4</v>
      </c>
      <c r="L474">
        <v>12</v>
      </c>
      <c r="M474">
        <v>18</v>
      </c>
      <c r="N474" s="7">
        <f t="shared" si="49"/>
        <v>105</v>
      </c>
      <c r="O474" s="7" t="str">
        <f t="shared" si="52"/>
        <v>Popular</v>
      </c>
      <c r="P474" s="7" t="str">
        <f t="shared" si="50"/>
        <v>Yes</v>
      </c>
      <c r="Q474" s="7" t="str">
        <f t="shared" si="51"/>
        <v>Wide Reach</v>
      </c>
      <c r="R474" s="7" t="str">
        <f t="shared" si="53"/>
        <v>Evening</v>
      </c>
      <c r="S474" s="7" t="str">
        <f t="shared" si="54"/>
        <v>North America</v>
      </c>
      <c r="T474" s="30">
        <f t="shared" si="55"/>
        <v>2</v>
      </c>
      <c r="U474" s="6"/>
      <c r="V474" s="6"/>
    </row>
    <row r="475" spans="1:22" x14ac:dyDescent="0.3">
      <c r="A475" t="s">
        <v>1369</v>
      </c>
      <c r="B475" t="s">
        <v>2069</v>
      </c>
      <c r="C475" t="s">
        <v>793</v>
      </c>
      <c r="D475" s="1">
        <v>44607.513888888891</v>
      </c>
      <c r="E475" t="s">
        <v>763</v>
      </c>
      <c r="F475" t="s">
        <v>463</v>
      </c>
      <c r="G475">
        <v>25</v>
      </c>
      <c r="H475">
        <v>50</v>
      </c>
      <c r="I475" t="s">
        <v>722</v>
      </c>
      <c r="J475">
        <v>2022</v>
      </c>
      <c r="K475">
        <v>2</v>
      </c>
      <c r="L475">
        <v>15</v>
      </c>
      <c r="M475">
        <v>12</v>
      </c>
      <c r="N475" s="7">
        <f t="shared" si="49"/>
        <v>75</v>
      </c>
      <c r="O475" s="7" t="str">
        <f t="shared" si="52"/>
        <v>Popular</v>
      </c>
      <c r="P475" s="7" t="str">
        <f t="shared" si="50"/>
        <v>No</v>
      </c>
      <c r="Q475" s="7" t="str">
        <f t="shared" si="51"/>
        <v>Wide Reach</v>
      </c>
      <c r="R475" s="7" t="str">
        <f t="shared" si="53"/>
        <v>Afternoon</v>
      </c>
      <c r="S475" s="7" t="str">
        <f t="shared" si="54"/>
        <v>Europe</v>
      </c>
      <c r="T475" s="30">
        <f t="shared" si="55"/>
        <v>2</v>
      </c>
      <c r="U475" s="6"/>
      <c r="V475" s="6"/>
    </row>
    <row r="476" spans="1:22" x14ac:dyDescent="0.3">
      <c r="A476" t="s">
        <v>862</v>
      </c>
      <c r="B476" t="s">
        <v>2070</v>
      </c>
      <c r="C476" t="s">
        <v>801</v>
      </c>
      <c r="D476" s="1">
        <v>43766.59375</v>
      </c>
      <c r="E476" t="s">
        <v>762</v>
      </c>
      <c r="F476" t="s">
        <v>464</v>
      </c>
      <c r="G476">
        <v>30</v>
      </c>
      <c r="H476">
        <v>60</v>
      </c>
      <c r="I476" t="s">
        <v>731</v>
      </c>
      <c r="J476">
        <v>2019</v>
      </c>
      <c r="K476">
        <v>10</v>
      </c>
      <c r="L476">
        <v>28</v>
      </c>
      <c r="M476">
        <v>14</v>
      </c>
      <c r="N476" s="7">
        <f t="shared" si="49"/>
        <v>90</v>
      </c>
      <c r="O476" s="7" t="str">
        <f t="shared" si="52"/>
        <v>Popular</v>
      </c>
      <c r="P476" s="7" t="str">
        <f t="shared" si="50"/>
        <v>Yes</v>
      </c>
      <c r="Q476" s="7" t="str">
        <f t="shared" si="51"/>
        <v>Wide Reach</v>
      </c>
      <c r="R476" s="7" t="str">
        <f t="shared" si="53"/>
        <v>Afternoon</v>
      </c>
      <c r="S476" s="7" t="str">
        <f t="shared" si="54"/>
        <v>Oceania</v>
      </c>
      <c r="T476" s="30">
        <f t="shared" si="55"/>
        <v>2</v>
      </c>
      <c r="U476" s="6"/>
      <c r="V476" s="6"/>
    </row>
    <row r="477" spans="1:22" x14ac:dyDescent="0.3">
      <c r="A477" t="s">
        <v>1370</v>
      </c>
      <c r="B477" t="s">
        <v>2071</v>
      </c>
      <c r="C477" t="s">
        <v>795</v>
      </c>
      <c r="D477" s="1">
        <v>43091.875</v>
      </c>
      <c r="E477" t="s">
        <v>761</v>
      </c>
      <c r="F477" t="s">
        <v>465</v>
      </c>
      <c r="G477">
        <v>22</v>
      </c>
      <c r="H477">
        <v>45</v>
      </c>
      <c r="I477" t="s">
        <v>732</v>
      </c>
      <c r="J477">
        <v>2017</v>
      </c>
      <c r="K477">
        <v>12</v>
      </c>
      <c r="L477">
        <v>22</v>
      </c>
      <c r="M477">
        <v>21</v>
      </c>
      <c r="N477" s="7">
        <f t="shared" si="49"/>
        <v>67</v>
      </c>
      <c r="O477" s="7" t="str">
        <f t="shared" si="52"/>
        <v>Popular</v>
      </c>
      <c r="P477" s="7" t="str">
        <f t="shared" si="50"/>
        <v>No</v>
      </c>
      <c r="Q477" s="7" t="str">
        <f t="shared" si="51"/>
        <v>Wide Reach</v>
      </c>
      <c r="R477" s="7" t="str">
        <f t="shared" si="53"/>
        <v>Evening</v>
      </c>
      <c r="S477" s="7" t="str">
        <f t="shared" si="54"/>
        <v>Asia</v>
      </c>
      <c r="T477" s="30">
        <f t="shared" si="55"/>
        <v>2.0454545454545454</v>
      </c>
      <c r="U477" s="6"/>
      <c r="V477" s="6"/>
    </row>
    <row r="478" spans="1:22" x14ac:dyDescent="0.3">
      <c r="A478" t="s">
        <v>1371</v>
      </c>
      <c r="B478" t="s">
        <v>2072</v>
      </c>
      <c r="C478" t="s">
        <v>855</v>
      </c>
      <c r="D478" s="1">
        <v>43992.729166666664</v>
      </c>
      <c r="E478" t="s">
        <v>763</v>
      </c>
      <c r="F478" t="s">
        <v>466</v>
      </c>
      <c r="G478">
        <v>28</v>
      </c>
      <c r="H478">
        <v>55</v>
      </c>
      <c r="I478" t="s">
        <v>737</v>
      </c>
      <c r="J478">
        <v>2020</v>
      </c>
      <c r="K478">
        <v>6</v>
      </c>
      <c r="L478">
        <v>10</v>
      </c>
      <c r="M478">
        <v>17</v>
      </c>
      <c r="N478" s="7">
        <f t="shared" si="49"/>
        <v>83</v>
      </c>
      <c r="O478" s="7" t="str">
        <f t="shared" si="52"/>
        <v>Popular</v>
      </c>
      <c r="P478" s="7" t="str">
        <f t="shared" si="50"/>
        <v>Yes</v>
      </c>
      <c r="Q478" s="7" t="str">
        <f t="shared" si="51"/>
        <v>Wide Reach</v>
      </c>
      <c r="R478" s="7" t="str">
        <f t="shared" si="53"/>
        <v>Afternoon</v>
      </c>
      <c r="S478" s="7" t="str">
        <f t="shared" si="54"/>
        <v>Europe</v>
      </c>
      <c r="T478" s="30">
        <f t="shared" si="55"/>
        <v>1.9642857142857142</v>
      </c>
      <c r="U478" s="6"/>
      <c r="V478" s="6"/>
    </row>
    <row r="479" spans="1:22" x14ac:dyDescent="0.3">
      <c r="A479" t="s">
        <v>1372</v>
      </c>
      <c r="B479" t="s">
        <v>2073</v>
      </c>
      <c r="C479" t="s">
        <v>901</v>
      </c>
      <c r="D479" s="1">
        <v>42631.822916666664</v>
      </c>
      <c r="E479" t="s">
        <v>762</v>
      </c>
      <c r="F479" t="s">
        <v>467</v>
      </c>
      <c r="G479">
        <v>18</v>
      </c>
      <c r="H479">
        <v>35</v>
      </c>
      <c r="I479" t="s">
        <v>733</v>
      </c>
      <c r="J479">
        <v>2016</v>
      </c>
      <c r="K479">
        <v>9</v>
      </c>
      <c r="L479">
        <v>18</v>
      </c>
      <c r="M479">
        <v>19</v>
      </c>
      <c r="N479" s="7">
        <f t="shared" si="49"/>
        <v>53</v>
      </c>
      <c r="O479" s="7" t="str">
        <f t="shared" si="52"/>
        <v>Normal</v>
      </c>
      <c r="P479" s="7" t="str">
        <f t="shared" si="50"/>
        <v>No</v>
      </c>
      <c r="Q479" s="7" t="str">
        <f t="shared" si="51"/>
        <v>Standard</v>
      </c>
      <c r="R479" s="7" t="str">
        <f t="shared" si="53"/>
        <v>Evening</v>
      </c>
      <c r="S479" s="7" t="str">
        <f t="shared" si="54"/>
        <v>Europe</v>
      </c>
      <c r="T479" s="30">
        <f t="shared" si="55"/>
        <v>1.9444444444444444</v>
      </c>
      <c r="U479" s="6"/>
      <c r="V479" s="6"/>
    </row>
    <row r="480" spans="1:22" x14ac:dyDescent="0.3">
      <c r="A480" t="s">
        <v>1373</v>
      </c>
      <c r="B480" t="s">
        <v>2074</v>
      </c>
      <c r="C480" t="s">
        <v>772</v>
      </c>
      <c r="D480" s="1">
        <v>44995.604166666664</v>
      </c>
      <c r="E480" t="s">
        <v>761</v>
      </c>
      <c r="F480" t="s">
        <v>468</v>
      </c>
      <c r="G480">
        <v>20</v>
      </c>
      <c r="H480">
        <v>40</v>
      </c>
      <c r="I480" t="s">
        <v>735</v>
      </c>
      <c r="J480">
        <v>2023</v>
      </c>
      <c r="K480">
        <v>3</v>
      </c>
      <c r="L480">
        <v>10</v>
      </c>
      <c r="M480">
        <v>14</v>
      </c>
      <c r="N480" s="7">
        <f t="shared" si="49"/>
        <v>60</v>
      </c>
      <c r="O480" s="7" t="str">
        <f t="shared" si="52"/>
        <v>Normal</v>
      </c>
      <c r="P480" s="7" t="str">
        <f t="shared" si="50"/>
        <v>No</v>
      </c>
      <c r="Q480" s="7" t="str">
        <f t="shared" si="51"/>
        <v>Standard</v>
      </c>
      <c r="R480" s="7" t="str">
        <f t="shared" si="53"/>
        <v>Afternoon</v>
      </c>
      <c r="S480" s="7" t="str">
        <f t="shared" si="54"/>
        <v>Asia</v>
      </c>
      <c r="T480" s="30">
        <f t="shared" si="55"/>
        <v>2</v>
      </c>
      <c r="U480" s="6"/>
      <c r="V480" s="6"/>
    </row>
    <row r="481" spans="1:22" x14ac:dyDescent="0.3">
      <c r="A481" t="s">
        <v>1374</v>
      </c>
      <c r="B481" t="s">
        <v>2075</v>
      </c>
      <c r="C481" t="s">
        <v>902</v>
      </c>
      <c r="D481" s="1">
        <v>43590.510416666664</v>
      </c>
      <c r="E481" t="s">
        <v>763</v>
      </c>
      <c r="F481" t="s">
        <v>469</v>
      </c>
      <c r="G481">
        <v>25</v>
      </c>
      <c r="H481">
        <v>50</v>
      </c>
      <c r="I481" t="s">
        <v>734</v>
      </c>
      <c r="J481">
        <v>2019</v>
      </c>
      <c r="K481">
        <v>5</v>
      </c>
      <c r="L481">
        <v>5</v>
      </c>
      <c r="M481">
        <v>12</v>
      </c>
      <c r="N481" s="7">
        <f t="shared" si="49"/>
        <v>75</v>
      </c>
      <c r="O481" s="7" t="str">
        <f t="shared" si="52"/>
        <v>Popular</v>
      </c>
      <c r="P481" s="7" t="str">
        <f t="shared" si="50"/>
        <v>No</v>
      </c>
      <c r="Q481" s="7" t="str">
        <f t="shared" si="51"/>
        <v>Wide Reach</v>
      </c>
      <c r="R481" s="7" t="str">
        <f t="shared" si="53"/>
        <v>Afternoon</v>
      </c>
      <c r="S481" s="7" t="str">
        <f t="shared" si="54"/>
        <v>South America</v>
      </c>
      <c r="T481" s="30">
        <f t="shared" si="55"/>
        <v>2</v>
      </c>
      <c r="U481" s="6"/>
      <c r="V481" s="6"/>
    </row>
    <row r="482" spans="1:22" x14ac:dyDescent="0.3">
      <c r="A482" t="s">
        <v>1375</v>
      </c>
      <c r="B482" t="s">
        <v>2076</v>
      </c>
      <c r="C482" t="s">
        <v>903</v>
      </c>
      <c r="D482" s="1">
        <v>43340.666666666664</v>
      </c>
      <c r="E482" t="s">
        <v>762</v>
      </c>
      <c r="F482" t="s">
        <v>470</v>
      </c>
      <c r="G482">
        <v>30</v>
      </c>
      <c r="H482">
        <v>60</v>
      </c>
      <c r="I482" t="s">
        <v>741</v>
      </c>
      <c r="J482">
        <v>2018</v>
      </c>
      <c r="K482">
        <v>8</v>
      </c>
      <c r="L482">
        <v>28</v>
      </c>
      <c r="M482">
        <v>16</v>
      </c>
      <c r="N482" s="7">
        <f t="shared" si="49"/>
        <v>90</v>
      </c>
      <c r="O482" s="7" t="str">
        <f t="shared" si="52"/>
        <v>Popular</v>
      </c>
      <c r="P482" s="7" t="str">
        <f t="shared" si="50"/>
        <v>Yes</v>
      </c>
      <c r="Q482" s="7" t="str">
        <f t="shared" si="51"/>
        <v>Wide Reach</v>
      </c>
      <c r="R482" s="7" t="str">
        <f t="shared" si="53"/>
        <v>Afternoon</v>
      </c>
      <c r="S482" s="7" t="str">
        <f t="shared" si="54"/>
        <v>Africa</v>
      </c>
      <c r="T482" s="30">
        <f t="shared" si="55"/>
        <v>2</v>
      </c>
      <c r="U482" s="6"/>
      <c r="V482" s="6"/>
    </row>
    <row r="483" spans="1:22" x14ac:dyDescent="0.3">
      <c r="A483" t="s">
        <v>1376</v>
      </c>
      <c r="B483" t="s">
        <v>2077</v>
      </c>
      <c r="C483" t="s">
        <v>773</v>
      </c>
      <c r="D483" s="1">
        <v>44880.864583333336</v>
      </c>
      <c r="E483" t="s">
        <v>761</v>
      </c>
      <c r="F483" t="s">
        <v>471</v>
      </c>
      <c r="G483">
        <v>35</v>
      </c>
      <c r="H483">
        <v>70</v>
      </c>
      <c r="I483" t="s">
        <v>30</v>
      </c>
      <c r="J483">
        <v>2022</v>
      </c>
      <c r="K483">
        <v>11</v>
      </c>
      <c r="L483">
        <v>15</v>
      </c>
      <c r="M483">
        <v>20</v>
      </c>
      <c r="N483" s="7">
        <f t="shared" si="49"/>
        <v>105</v>
      </c>
      <c r="O483" s="7" t="str">
        <f t="shared" si="52"/>
        <v>Popular</v>
      </c>
      <c r="P483" s="7" t="str">
        <f t="shared" si="50"/>
        <v>Yes</v>
      </c>
      <c r="Q483" s="7" t="str">
        <f t="shared" si="51"/>
        <v>Wide Reach</v>
      </c>
      <c r="R483" s="7" t="str">
        <f t="shared" si="53"/>
        <v>Evening</v>
      </c>
      <c r="S483" s="7" t="str">
        <f t="shared" si="54"/>
        <v>North America</v>
      </c>
      <c r="T483" s="30">
        <f t="shared" si="55"/>
        <v>2</v>
      </c>
      <c r="U483" s="6"/>
      <c r="V483" s="6"/>
    </row>
    <row r="484" spans="1:22" x14ac:dyDescent="0.3">
      <c r="A484" t="s">
        <v>1377</v>
      </c>
      <c r="B484" t="s">
        <v>2078</v>
      </c>
      <c r="C484" t="s">
        <v>772</v>
      </c>
      <c r="D484" s="1">
        <v>43648.708333333336</v>
      </c>
      <c r="E484" t="s">
        <v>762</v>
      </c>
      <c r="F484" t="s">
        <v>472</v>
      </c>
      <c r="G484">
        <v>40</v>
      </c>
      <c r="H484">
        <v>80</v>
      </c>
      <c r="I484" t="s">
        <v>720</v>
      </c>
      <c r="J484">
        <v>2019</v>
      </c>
      <c r="K484">
        <v>7</v>
      </c>
      <c r="L484">
        <v>2</v>
      </c>
      <c r="M484">
        <v>17</v>
      </c>
      <c r="N484" s="7">
        <f t="shared" si="49"/>
        <v>120</v>
      </c>
      <c r="O484" s="7" t="str">
        <f t="shared" si="52"/>
        <v>Popular</v>
      </c>
      <c r="P484" s="7" t="str">
        <f t="shared" si="50"/>
        <v>Yes</v>
      </c>
      <c r="Q484" s="7" t="str">
        <f t="shared" si="51"/>
        <v>Wide Reach</v>
      </c>
      <c r="R484" s="7" t="str">
        <f t="shared" si="53"/>
        <v>Afternoon</v>
      </c>
      <c r="S484" s="7" t="str">
        <f t="shared" si="54"/>
        <v>North America</v>
      </c>
      <c r="T484" s="30">
        <f t="shared" si="55"/>
        <v>2</v>
      </c>
      <c r="U484" s="6"/>
      <c r="V484" s="6"/>
    </row>
    <row r="485" spans="1:22" x14ac:dyDescent="0.3">
      <c r="A485" t="s">
        <v>1378</v>
      </c>
      <c r="B485" t="s">
        <v>2079</v>
      </c>
      <c r="C485" t="s">
        <v>787</v>
      </c>
      <c r="D485" s="1">
        <v>44304.597222222219</v>
      </c>
      <c r="E485" t="s">
        <v>763</v>
      </c>
      <c r="F485" t="s">
        <v>473</v>
      </c>
      <c r="G485">
        <v>30</v>
      </c>
      <c r="H485">
        <v>60</v>
      </c>
      <c r="I485" t="s">
        <v>722</v>
      </c>
      <c r="J485">
        <v>2021</v>
      </c>
      <c r="K485">
        <v>4</v>
      </c>
      <c r="L485">
        <v>18</v>
      </c>
      <c r="M485">
        <v>14</v>
      </c>
      <c r="N485" s="7">
        <f t="shared" si="49"/>
        <v>90</v>
      </c>
      <c r="O485" s="7" t="str">
        <f t="shared" si="52"/>
        <v>Popular</v>
      </c>
      <c r="P485" s="7" t="str">
        <f t="shared" si="50"/>
        <v>Yes</v>
      </c>
      <c r="Q485" s="7" t="str">
        <f t="shared" si="51"/>
        <v>Wide Reach</v>
      </c>
      <c r="R485" s="7" t="str">
        <f t="shared" si="53"/>
        <v>Afternoon</v>
      </c>
      <c r="S485" s="7" t="str">
        <f t="shared" si="54"/>
        <v>Europe</v>
      </c>
      <c r="T485" s="30">
        <f t="shared" si="55"/>
        <v>2</v>
      </c>
      <c r="U485" s="6"/>
      <c r="V485" s="6"/>
    </row>
    <row r="486" spans="1:22" x14ac:dyDescent="0.3">
      <c r="A486" t="s">
        <v>1379</v>
      </c>
      <c r="B486" t="s">
        <v>2080</v>
      </c>
      <c r="C486" t="s">
        <v>780</v>
      </c>
      <c r="D486" s="1">
        <v>44962.8125</v>
      </c>
      <c r="E486" t="s">
        <v>761</v>
      </c>
      <c r="F486" t="s">
        <v>474</v>
      </c>
      <c r="G486">
        <v>25</v>
      </c>
      <c r="H486">
        <v>50</v>
      </c>
      <c r="I486" t="s">
        <v>731</v>
      </c>
      <c r="J486">
        <v>2023</v>
      </c>
      <c r="K486">
        <v>2</v>
      </c>
      <c r="L486">
        <v>5</v>
      </c>
      <c r="M486">
        <v>19</v>
      </c>
      <c r="N486" s="7">
        <f t="shared" si="49"/>
        <v>75</v>
      </c>
      <c r="O486" s="7" t="str">
        <f t="shared" si="52"/>
        <v>Popular</v>
      </c>
      <c r="P486" s="7" t="str">
        <f t="shared" si="50"/>
        <v>No</v>
      </c>
      <c r="Q486" s="7" t="str">
        <f t="shared" si="51"/>
        <v>Wide Reach</v>
      </c>
      <c r="R486" s="7" t="str">
        <f t="shared" si="53"/>
        <v>Evening</v>
      </c>
      <c r="S486" s="7" t="str">
        <f t="shared" si="54"/>
        <v>Oceania</v>
      </c>
      <c r="T486" s="30">
        <f t="shared" si="55"/>
        <v>2</v>
      </c>
      <c r="U486" s="6"/>
      <c r="V486" s="6"/>
    </row>
    <row r="487" spans="1:22" x14ac:dyDescent="0.3">
      <c r="A487" t="s">
        <v>1380</v>
      </c>
      <c r="B487" t="s">
        <v>2081</v>
      </c>
      <c r="C487" t="s">
        <v>816</v>
      </c>
      <c r="D487" s="1">
        <v>43365.53125</v>
      </c>
      <c r="E487" t="s">
        <v>762</v>
      </c>
      <c r="F487" t="s">
        <v>475</v>
      </c>
      <c r="G487">
        <v>22</v>
      </c>
      <c r="H487">
        <v>45</v>
      </c>
      <c r="I487" t="s">
        <v>732</v>
      </c>
      <c r="J487">
        <v>2018</v>
      </c>
      <c r="K487">
        <v>9</v>
      </c>
      <c r="L487">
        <v>22</v>
      </c>
      <c r="M487">
        <v>12</v>
      </c>
      <c r="N487" s="7">
        <f t="shared" si="49"/>
        <v>67</v>
      </c>
      <c r="O487" s="7" t="str">
        <f t="shared" si="52"/>
        <v>Popular</v>
      </c>
      <c r="P487" s="7" t="str">
        <f t="shared" si="50"/>
        <v>No</v>
      </c>
      <c r="Q487" s="7" t="str">
        <f t="shared" si="51"/>
        <v>Wide Reach</v>
      </c>
      <c r="R487" s="7" t="str">
        <f t="shared" si="53"/>
        <v>Afternoon</v>
      </c>
      <c r="S487" s="7" t="str">
        <f t="shared" si="54"/>
        <v>Asia</v>
      </c>
      <c r="T487" s="30">
        <f t="shared" si="55"/>
        <v>2.0454545454545454</v>
      </c>
      <c r="U487" s="6"/>
      <c r="V487" s="6"/>
    </row>
    <row r="488" spans="1:22" x14ac:dyDescent="0.3">
      <c r="A488" t="s">
        <v>1381</v>
      </c>
      <c r="B488" t="s">
        <v>2082</v>
      </c>
      <c r="C488" t="s">
        <v>795</v>
      </c>
      <c r="D488" s="1">
        <v>42714.885416666664</v>
      </c>
      <c r="E488" t="s">
        <v>763</v>
      </c>
      <c r="F488" t="s">
        <v>476</v>
      </c>
      <c r="G488">
        <v>28</v>
      </c>
      <c r="H488">
        <v>55</v>
      </c>
      <c r="I488" t="s">
        <v>737</v>
      </c>
      <c r="J488">
        <v>2016</v>
      </c>
      <c r="K488">
        <v>12</v>
      </c>
      <c r="L488">
        <v>10</v>
      </c>
      <c r="M488">
        <v>21</v>
      </c>
      <c r="N488" s="7">
        <f t="shared" si="49"/>
        <v>83</v>
      </c>
      <c r="O488" s="7" t="str">
        <f t="shared" si="52"/>
        <v>Popular</v>
      </c>
      <c r="P488" s="7" t="str">
        <f t="shared" si="50"/>
        <v>Yes</v>
      </c>
      <c r="Q488" s="7" t="str">
        <f t="shared" si="51"/>
        <v>Wide Reach</v>
      </c>
      <c r="R488" s="7" t="str">
        <f t="shared" si="53"/>
        <v>Evening</v>
      </c>
      <c r="S488" s="7" t="str">
        <f t="shared" si="54"/>
        <v>Europe</v>
      </c>
      <c r="T488" s="30">
        <f t="shared" si="55"/>
        <v>1.9642857142857142</v>
      </c>
      <c r="U488" s="6"/>
      <c r="V488" s="6"/>
    </row>
    <row r="489" spans="1:22" x14ac:dyDescent="0.3">
      <c r="A489" t="s">
        <v>1382</v>
      </c>
      <c r="B489" t="s">
        <v>2083</v>
      </c>
      <c r="C489" t="s">
        <v>846</v>
      </c>
      <c r="D489" s="1">
        <v>43979.666666666664</v>
      </c>
      <c r="E489" t="s">
        <v>761</v>
      </c>
      <c r="F489" t="s">
        <v>477</v>
      </c>
      <c r="G489">
        <v>18</v>
      </c>
      <c r="H489">
        <v>35</v>
      </c>
      <c r="I489" t="s">
        <v>733</v>
      </c>
      <c r="J489">
        <v>2020</v>
      </c>
      <c r="K489">
        <v>5</v>
      </c>
      <c r="L489">
        <v>28</v>
      </c>
      <c r="M489">
        <v>16</v>
      </c>
      <c r="N489" s="7">
        <f t="shared" si="49"/>
        <v>53</v>
      </c>
      <c r="O489" s="7" t="str">
        <f t="shared" si="52"/>
        <v>Normal</v>
      </c>
      <c r="P489" s="7" t="str">
        <f t="shared" si="50"/>
        <v>No</v>
      </c>
      <c r="Q489" s="7" t="str">
        <f t="shared" si="51"/>
        <v>Standard</v>
      </c>
      <c r="R489" s="7" t="str">
        <f t="shared" si="53"/>
        <v>Afternoon</v>
      </c>
      <c r="S489" s="7" t="str">
        <f t="shared" si="54"/>
        <v>Europe</v>
      </c>
      <c r="T489" s="30">
        <f t="shared" si="55"/>
        <v>1.9444444444444444</v>
      </c>
      <c r="U489" s="6"/>
      <c r="V489" s="6"/>
    </row>
    <row r="490" spans="1:22" x14ac:dyDescent="0.3">
      <c r="A490" t="s">
        <v>1383</v>
      </c>
      <c r="B490" t="s">
        <v>2084</v>
      </c>
      <c r="C490" t="s">
        <v>904</v>
      </c>
      <c r="D490" s="1">
        <v>43054.9375</v>
      </c>
      <c r="E490" t="s">
        <v>762</v>
      </c>
      <c r="F490" t="s">
        <v>478</v>
      </c>
      <c r="G490">
        <v>22</v>
      </c>
      <c r="H490">
        <v>45</v>
      </c>
      <c r="I490" t="s">
        <v>735</v>
      </c>
      <c r="J490">
        <v>2017</v>
      </c>
      <c r="K490">
        <v>11</v>
      </c>
      <c r="L490">
        <v>15</v>
      </c>
      <c r="M490">
        <v>22</v>
      </c>
      <c r="N490" s="7">
        <f t="shared" si="49"/>
        <v>67</v>
      </c>
      <c r="O490" s="7" t="str">
        <f t="shared" si="52"/>
        <v>Popular</v>
      </c>
      <c r="P490" s="7" t="str">
        <f t="shared" si="50"/>
        <v>No</v>
      </c>
      <c r="Q490" s="7" t="str">
        <f t="shared" si="51"/>
        <v>Wide Reach</v>
      </c>
      <c r="R490" s="7" t="str">
        <f t="shared" si="53"/>
        <v>Evening</v>
      </c>
      <c r="S490" s="7" t="str">
        <f t="shared" si="54"/>
        <v>Asia</v>
      </c>
      <c r="T490" s="30">
        <f t="shared" si="55"/>
        <v>2.0454545454545454</v>
      </c>
      <c r="U490" s="6"/>
      <c r="V490" s="6"/>
    </row>
    <row r="491" spans="1:22" x14ac:dyDescent="0.3">
      <c r="A491" t="s">
        <v>1384</v>
      </c>
      <c r="B491" t="s">
        <v>2085</v>
      </c>
      <c r="C491" t="s">
        <v>771</v>
      </c>
      <c r="D491" s="1">
        <v>44410.791666666664</v>
      </c>
      <c r="E491" t="s">
        <v>763</v>
      </c>
      <c r="F491" t="s">
        <v>479</v>
      </c>
      <c r="G491">
        <v>30</v>
      </c>
      <c r="H491">
        <v>60</v>
      </c>
      <c r="I491" t="s">
        <v>734</v>
      </c>
      <c r="J491">
        <v>2021</v>
      </c>
      <c r="K491">
        <v>8</v>
      </c>
      <c r="L491">
        <v>2</v>
      </c>
      <c r="M491">
        <v>19</v>
      </c>
      <c r="N491" s="7">
        <f t="shared" si="49"/>
        <v>90</v>
      </c>
      <c r="O491" s="7" t="str">
        <f t="shared" si="52"/>
        <v>Popular</v>
      </c>
      <c r="P491" s="7" t="str">
        <f t="shared" si="50"/>
        <v>Yes</v>
      </c>
      <c r="Q491" s="7" t="str">
        <f t="shared" si="51"/>
        <v>Wide Reach</v>
      </c>
      <c r="R491" s="7" t="str">
        <f t="shared" si="53"/>
        <v>Evening</v>
      </c>
      <c r="S491" s="7" t="str">
        <f t="shared" si="54"/>
        <v>South America</v>
      </c>
      <c r="T491" s="30">
        <f t="shared" si="55"/>
        <v>2</v>
      </c>
      <c r="U491" s="6"/>
      <c r="V491" s="6"/>
    </row>
    <row r="492" spans="1:22" x14ac:dyDescent="0.3">
      <c r="A492" t="s">
        <v>1385</v>
      </c>
      <c r="B492" t="s">
        <v>2086</v>
      </c>
      <c r="C492" t="s">
        <v>843</v>
      </c>
      <c r="D492" s="1">
        <v>43552.645833333336</v>
      </c>
      <c r="E492" t="s">
        <v>762</v>
      </c>
      <c r="F492" t="s">
        <v>480</v>
      </c>
      <c r="G492">
        <v>35</v>
      </c>
      <c r="H492">
        <v>70</v>
      </c>
      <c r="I492" t="s">
        <v>741</v>
      </c>
      <c r="J492">
        <v>2019</v>
      </c>
      <c r="K492">
        <v>3</v>
      </c>
      <c r="L492">
        <v>28</v>
      </c>
      <c r="M492">
        <v>15</v>
      </c>
      <c r="N492" s="7">
        <f t="shared" si="49"/>
        <v>105</v>
      </c>
      <c r="O492" s="7" t="str">
        <f t="shared" si="52"/>
        <v>Popular</v>
      </c>
      <c r="P492" s="7" t="str">
        <f t="shared" si="50"/>
        <v>Yes</v>
      </c>
      <c r="Q492" s="7" t="str">
        <f t="shared" si="51"/>
        <v>Wide Reach</v>
      </c>
      <c r="R492" s="7" t="str">
        <f t="shared" si="53"/>
        <v>Afternoon</v>
      </c>
      <c r="S492" s="7" t="str">
        <f t="shared" si="54"/>
        <v>Africa</v>
      </c>
      <c r="T492" s="30">
        <f t="shared" si="55"/>
        <v>2</v>
      </c>
      <c r="U492" s="6"/>
      <c r="V492" s="6"/>
    </row>
    <row r="493" spans="1:22" x14ac:dyDescent="0.3">
      <c r="A493" t="s">
        <v>1386</v>
      </c>
      <c r="B493" t="s">
        <v>2087</v>
      </c>
      <c r="C493" t="s">
        <v>852</v>
      </c>
      <c r="D493" s="1">
        <v>43232.729166666664</v>
      </c>
      <c r="E493" t="s">
        <v>761</v>
      </c>
      <c r="F493" t="s">
        <v>481</v>
      </c>
      <c r="G493">
        <v>28</v>
      </c>
      <c r="H493">
        <v>55</v>
      </c>
      <c r="I493" t="s">
        <v>733</v>
      </c>
      <c r="J493">
        <v>2018</v>
      </c>
      <c r="K493">
        <v>5</v>
      </c>
      <c r="L493">
        <v>12</v>
      </c>
      <c r="M493">
        <v>17</v>
      </c>
      <c r="N493" s="7">
        <f t="shared" si="49"/>
        <v>83</v>
      </c>
      <c r="O493" s="7" t="str">
        <f t="shared" si="52"/>
        <v>Popular</v>
      </c>
      <c r="P493" s="7" t="str">
        <f t="shared" si="50"/>
        <v>Yes</v>
      </c>
      <c r="Q493" s="7" t="str">
        <f t="shared" si="51"/>
        <v>Wide Reach</v>
      </c>
      <c r="R493" s="7" t="str">
        <f t="shared" si="53"/>
        <v>Afternoon</v>
      </c>
      <c r="S493" s="7" t="str">
        <f t="shared" si="54"/>
        <v>Europe</v>
      </c>
      <c r="T493" s="30">
        <f t="shared" si="55"/>
        <v>1.9642857142857142</v>
      </c>
      <c r="U493" s="6"/>
      <c r="V493" s="6"/>
    </row>
    <row r="494" spans="1:22" x14ac:dyDescent="0.3">
      <c r="A494" t="s">
        <v>1387</v>
      </c>
      <c r="B494" t="s">
        <v>2088</v>
      </c>
      <c r="C494" t="s">
        <v>858</v>
      </c>
      <c r="D494" s="1">
        <v>44832.65625</v>
      </c>
      <c r="E494" t="s">
        <v>762</v>
      </c>
      <c r="F494" t="s">
        <v>482</v>
      </c>
      <c r="G494">
        <v>30</v>
      </c>
      <c r="H494">
        <v>60</v>
      </c>
      <c r="I494" t="s">
        <v>30</v>
      </c>
      <c r="J494">
        <v>2022</v>
      </c>
      <c r="K494">
        <v>9</v>
      </c>
      <c r="L494">
        <v>28</v>
      </c>
      <c r="M494">
        <v>15</v>
      </c>
      <c r="N494" s="7">
        <f t="shared" si="49"/>
        <v>90</v>
      </c>
      <c r="O494" s="7" t="str">
        <f t="shared" si="52"/>
        <v>Popular</v>
      </c>
      <c r="P494" s="7" t="str">
        <f t="shared" si="50"/>
        <v>Yes</v>
      </c>
      <c r="Q494" s="7" t="str">
        <f t="shared" si="51"/>
        <v>Wide Reach</v>
      </c>
      <c r="R494" s="7" t="str">
        <f t="shared" si="53"/>
        <v>Afternoon</v>
      </c>
      <c r="S494" s="7" t="str">
        <f t="shared" si="54"/>
        <v>North America</v>
      </c>
      <c r="T494" s="30">
        <f t="shared" si="55"/>
        <v>2</v>
      </c>
      <c r="U494" s="6"/>
      <c r="V494" s="6"/>
    </row>
    <row r="495" spans="1:22" x14ac:dyDescent="0.3">
      <c r="A495" t="s">
        <v>1388</v>
      </c>
      <c r="B495" t="s">
        <v>2089</v>
      </c>
      <c r="C495" t="s">
        <v>787</v>
      </c>
      <c r="D495" s="1">
        <v>43779.583333333336</v>
      </c>
      <c r="E495" t="s">
        <v>763</v>
      </c>
      <c r="F495" t="s">
        <v>483</v>
      </c>
      <c r="G495">
        <v>22</v>
      </c>
      <c r="H495">
        <v>45</v>
      </c>
      <c r="I495" t="s">
        <v>739</v>
      </c>
      <c r="J495">
        <v>2019</v>
      </c>
      <c r="K495">
        <v>11</v>
      </c>
      <c r="L495">
        <v>10</v>
      </c>
      <c r="M495">
        <v>14</v>
      </c>
      <c r="N495" s="7">
        <f t="shared" si="49"/>
        <v>67</v>
      </c>
      <c r="O495" s="7" t="str">
        <f t="shared" si="52"/>
        <v>Popular</v>
      </c>
      <c r="P495" s="7" t="str">
        <f t="shared" si="50"/>
        <v>No</v>
      </c>
      <c r="Q495" s="7" t="str">
        <f t="shared" si="51"/>
        <v>Wide Reach</v>
      </c>
      <c r="R495" s="7" t="str">
        <f t="shared" si="53"/>
        <v>Afternoon</v>
      </c>
      <c r="S495" s="7" t="str">
        <f t="shared" si="54"/>
        <v>Europe</v>
      </c>
      <c r="T495" s="30">
        <f t="shared" si="55"/>
        <v>2.0454545454545454</v>
      </c>
      <c r="U495" s="6"/>
      <c r="V495" s="6"/>
    </row>
    <row r="496" spans="1:22" x14ac:dyDescent="0.3">
      <c r="A496" t="s">
        <v>1389</v>
      </c>
      <c r="B496" t="s">
        <v>2090</v>
      </c>
      <c r="C496" t="s">
        <v>772</v>
      </c>
      <c r="D496" s="1">
        <v>44288.763888888891</v>
      </c>
      <c r="E496" t="s">
        <v>762</v>
      </c>
      <c r="F496" t="s">
        <v>484</v>
      </c>
      <c r="G496">
        <v>35</v>
      </c>
      <c r="H496">
        <v>70</v>
      </c>
      <c r="I496" t="s">
        <v>740</v>
      </c>
      <c r="J496">
        <v>2021</v>
      </c>
      <c r="K496">
        <v>4</v>
      </c>
      <c r="L496">
        <v>2</v>
      </c>
      <c r="M496">
        <v>18</v>
      </c>
      <c r="N496" s="7">
        <f t="shared" si="49"/>
        <v>105</v>
      </c>
      <c r="O496" s="7" t="str">
        <f t="shared" si="52"/>
        <v>Popular</v>
      </c>
      <c r="P496" s="7" t="str">
        <f t="shared" si="50"/>
        <v>Yes</v>
      </c>
      <c r="Q496" s="7" t="str">
        <f t="shared" si="51"/>
        <v>Wide Reach</v>
      </c>
      <c r="R496" s="7" t="str">
        <f t="shared" si="53"/>
        <v>Evening</v>
      </c>
      <c r="S496" s="7" t="str">
        <f t="shared" si="54"/>
        <v>Europe</v>
      </c>
      <c r="T496" s="30">
        <f t="shared" si="55"/>
        <v>2</v>
      </c>
      <c r="U496" s="6"/>
      <c r="V496" s="6"/>
    </row>
    <row r="497" spans="1:22" x14ac:dyDescent="0.3">
      <c r="A497" t="s">
        <v>1390</v>
      </c>
      <c r="B497" t="s">
        <v>2091</v>
      </c>
      <c r="C497" t="s">
        <v>905</v>
      </c>
      <c r="D497" s="1">
        <v>42969.895833333336</v>
      </c>
      <c r="E497" t="s">
        <v>761</v>
      </c>
      <c r="F497" t="s">
        <v>485</v>
      </c>
      <c r="G497">
        <v>18</v>
      </c>
      <c r="H497">
        <v>35</v>
      </c>
      <c r="I497" t="s">
        <v>735</v>
      </c>
      <c r="J497">
        <v>2017</v>
      </c>
      <c r="K497">
        <v>8</v>
      </c>
      <c r="L497">
        <v>22</v>
      </c>
      <c r="M497">
        <v>21</v>
      </c>
      <c r="N497" s="7">
        <f t="shared" si="49"/>
        <v>53</v>
      </c>
      <c r="O497" s="7" t="str">
        <f t="shared" si="52"/>
        <v>Normal</v>
      </c>
      <c r="P497" s="7" t="str">
        <f t="shared" si="50"/>
        <v>No</v>
      </c>
      <c r="Q497" s="7" t="str">
        <f t="shared" si="51"/>
        <v>Standard</v>
      </c>
      <c r="R497" s="7" t="str">
        <f t="shared" si="53"/>
        <v>Evening</v>
      </c>
      <c r="S497" s="7" t="str">
        <f t="shared" si="54"/>
        <v>Asia</v>
      </c>
      <c r="T497" s="30">
        <f t="shared" si="55"/>
        <v>1.9444444444444444</v>
      </c>
      <c r="U497" s="6"/>
      <c r="V497" s="6"/>
    </row>
    <row r="498" spans="1:22" x14ac:dyDescent="0.3">
      <c r="A498" t="s">
        <v>1391</v>
      </c>
      <c r="B498" t="s">
        <v>2092</v>
      </c>
      <c r="C498" t="s">
        <v>778</v>
      </c>
      <c r="D498" s="1">
        <v>43997.697916666664</v>
      </c>
      <c r="E498" t="s">
        <v>762</v>
      </c>
      <c r="F498" t="s">
        <v>486</v>
      </c>
      <c r="G498">
        <v>25</v>
      </c>
      <c r="H498">
        <v>50</v>
      </c>
      <c r="I498" t="s">
        <v>30</v>
      </c>
      <c r="J498">
        <v>2020</v>
      </c>
      <c r="K498">
        <v>6</v>
      </c>
      <c r="L498">
        <v>15</v>
      </c>
      <c r="M498">
        <v>16</v>
      </c>
      <c r="N498" s="7">
        <f t="shared" si="49"/>
        <v>75</v>
      </c>
      <c r="O498" s="7" t="str">
        <f t="shared" si="52"/>
        <v>Popular</v>
      </c>
      <c r="P498" s="7" t="str">
        <f t="shared" si="50"/>
        <v>No</v>
      </c>
      <c r="Q498" s="7" t="str">
        <f t="shared" si="51"/>
        <v>Wide Reach</v>
      </c>
      <c r="R498" s="7" t="str">
        <f t="shared" si="53"/>
        <v>Afternoon</v>
      </c>
      <c r="S498" s="7" t="str">
        <f t="shared" si="54"/>
        <v>North America</v>
      </c>
      <c r="T498" s="30">
        <f t="shared" si="55"/>
        <v>2</v>
      </c>
      <c r="U498" s="6"/>
      <c r="V498" s="6"/>
    </row>
    <row r="499" spans="1:22" x14ac:dyDescent="0.3">
      <c r="A499" t="s">
        <v>1392</v>
      </c>
      <c r="B499" t="s">
        <v>2093</v>
      </c>
      <c r="C499" t="s">
        <v>794</v>
      </c>
      <c r="D499" s="1">
        <v>42623.802083333336</v>
      </c>
      <c r="E499" t="s">
        <v>763</v>
      </c>
      <c r="F499" t="s">
        <v>487</v>
      </c>
      <c r="G499">
        <v>22</v>
      </c>
      <c r="H499">
        <v>45</v>
      </c>
      <c r="I499" t="s">
        <v>736</v>
      </c>
      <c r="J499">
        <v>2016</v>
      </c>
      <c r="K499">
        <v>9</v>
      </c>
      <c r="L499">
        <v>10</v>
      </c>
      <c r="M499">
        <v>19</v>
      </c>
      <c r="N499" s="7">
        <f t="shared" si="49"/>
        <v>67</v>
      </c>
      <c r="O499" s="7" t="str">
        <f t="shared" si="52"/>
        <v>Popular</v>
      </c>
      <c r="P499" s="7" t="str">
        <f t="shared" si="50"/>
        <v>No</v>
      </c>
      <c r="Q499" s="7" t="str">
        <f t="shared" si="51"/>
        <v>Wide Reach</v>
      </c>
      <c r="R499" s="7" t="str">
        <f t="shared" si="53"/>
        <v>Evening</v>
      </c>
      <c r="S499" s="7" t="str">
        <f t="shared" si="54"/>
        <v>Europe</v>
      </c>
      <c r="T499" s="30">
        <f t="shared" si="55"/>
        <v>2.0454545454545454</v>
      </c>
      <c r="U499" s="6"/>
      <c r="V499" s="6"/>
    </row>
    <row r="500" spans="1:22" x14ac:dyDescent="0.3">
      <c r="A500" t="s">
        <v>1393</v>
      </c>
      <c r="B500" t="s">
        <v>2094</v>
      </c>
      <c r="C500" t="s">
        <v>906</v>
      </c>
      <c r="D500" s="1">
        <v>44954.541666666664</v>
      </c>
      <c r="E500" t="s">
        <v>761</v>
      </c>
      <c r="F500" t="s">
        <v>488</v>
      </c>
      <c r="G500">
        <v>30</v>
      </c>
      <c r="H500">
        <v>60</v>
      </c>
      <c r="I500" t="s">
        <v>749</v>
      </c>
      <c r="J500">
        <v>2023</v>
      </c>
      <c r="K500">
        <v>1</v>
      </c>
      <c r="L500">
        <v>28</v>
      </c>
      <c r="M500">
        <v>13</v>
      </c>
      <c r="N500" s="7">
        <f t="shared" si="49"/>
        <v>90</v>
      </c>
      <c r="O500" s="7" t="str">
        <f t="shared" si="52"/>
        <v>Popular</v>
      </c>
      <c r="P500" s="7" t="str">
        <f t="shared" si="50"/>
        <v>Yes</v>
      </c>
      <c r="Q500" s="7" t="str">
        <f t="shared" si="51"/>
        <v>Wide Reach</v>
      </c>
      <c r="R500" s="7" t="str">
        <f t="shared" si="53"/>
        <v>Afternoon</v>
      </c>
      <c r="S500" s="7" t="str">
        <f t="shared" si="54"/>
        <v>Asia</v>
      </c>
      <c r="T500" s="30">
        <f t="shared" si="55"/>
        <v>2</v>
      </c>
      <c r="U500" s="6"/>
      <c r="V500" s="6"/>
    </row>
    <row r="501" spans="1:22" x14ac:dyDescent="0.3">
      <c r="A501" t="s">
        <v>1394</v>
      </c>
      <c r="B501" t="s">
        <v>2095</v>
      </c>
      <c r="C501" t="s">
        <v>907</v>
      </c>
      <c r="D501" s="1">
        <v>43573.6875</v>
      </c>
      <c r="E501" t="s">
        <v>762</v>
      </c>
      <c r="F501" t="s">
        <v>489</v>
      </c>
      <c r="G501">
        <v>20</v>
      </c>
      <c r="H501">
        <v>40</v>
      </c>
      <c r="I501" t="s">
        <v>739</v>
      </c>
      <c r="J501">
        <v>2019</v>
      </c>
      <c r="K501">
        <v>4</v>
      </c>
      <c r="L501">
        <v>18</v>
      </c>
      <c r="M501">
        <v>16</v>
      </c>
      <c r="N501" s="7">
        <f t="shared" si="49"/>
        <v>60</v>
      </c>
      <c r="O501" s="7" t="str">
        <f t="shared" si="52"/>
        <v>Normal</v>
      </c>
      <c r="P501" s="7" t="str">
        <f t="shared" si="50"/>
        <v>No</v>
      </c>
      <c r="Q501" s="7" t="str">
        <f t="shared" si="51"/>
        <v>Standard</v>
      </c>
      <c r="R501" s="7" t="str">
        <f t="shared" si="53"/>
        <v>Afternoon</v>
      </c>
      <c r="S501" s="7" t="str">
        <f t="shared" si="54"/>
        <v>Europe</v>
      </c>
      <c r="T501" s="30">
        <f t="shared" si="55"/>
        <v>2</v>
      </c>
      <c r="U501" s="6"/>
      <c r="V501" s="6"/>
    </row>
    <row r="502" spans="1:22" x14ac:dyDescent="0.3">
      <c r="A502" t="s">
        <v>1395</v>
      </c>
      <c r="B502" t="s">
        <v>2096</v>
      </c>
      <c r="C502" t="s">
        <v>778</v>
      </c>
      <c r="D502" s="1">
        <v>43044.916666666664</v>
      </c>
      <c r="E502" t="s">
        <v>763</v>
      </c>
      <c r="F502" t="s">
        <v>490</v>
      </c>
      <c r="G502">
        <v>28</v>
      </c>
      <c r="H502">
        <v>55</v>
      </c>
      <c r="I502" t="s">
        <v>750</v>
      </c>
      <c r="J502">
        <v>2017</v>
      </c>
      <c r="K502">
        <v>11</v>
      </c>
      <c r="L502">
        <v>5</v>
      </c>
      <c r="M502">
        <v>22</v>
      </c>
      <c r="N502" s="7">
        <f t="shared" si="49"/>
        <v>83</v>
      </c>
      <c r="O502" s="7" t="str">
        <f t="shared" si="52"/>
        <v>Popular</v>
      </c>
      <c r="P502" s="7" t="str">
        <f t="shared" si="50"/>
        <v>Yes</v>
      </c>
      <c r="Q502" s="7" t="str">
        <f t="shared" si="51"/>
        <v>Wide Reach</v>
      </c>
      <c r="R502" s="7" t="str">
        <f t="shared" si="53"/>
        <v>Evening</v>
      </c>
      <c r="S502" s="7" t="str">
        <f t="shared" si="54"/>
        <v>South America</v>
      </c>
      <c r="T502" s="30">
        <f t="shared" si="55"/>
        <v>1.9642857142857142</v>
      </c>
      <c r="U502" s="6"/>
      <c r="V502" s="6"/>
    </row>
    <row r="503" spans="1:22" x14ac:dyDescent="0.3">
      <c r="A503" t="s">
        <v>1396</v>
      </c>
      <c r="B503" t="s">
        <v>2097</v>
      </c>
      <c r="C503" t="s">
        <v>787</v>
      </c>
      <c r="D503" s="1">
        <v>44762.90625</v>
      </c>
      <c r="E503" t="s">
        <v>762</v>
      </c>
      <c r="F503" t="s">
        <v>491</v>
      </c>
      <c r="G503">
        <v>35</v>
      </c>
      <c r="H503">
        <v>70</v>
      </c>
      <c r="I503" t="s">
        <v>30</v>
      </c>
      <c r="J503">
        <v>2022</v>
      </c>
      <c r="K503">
        <v>7</v>
      </c>
      <c r="L503">
        <v>20</v>
      </c>
      <c r="M503">
        <v>21</v>
      </c>
      <c r="N503" s="7">
        <f t="shared" si="49"/>
        <v>105</v>
      </c>
      <c r="O503" s="7" t="str">
        <f t="shared" si="52"/>
        <v>Popular</v>
      </c>
      <c r="P503" s="7" t="str">
        <f t="shared" si="50"/>
        <v>Yes</v>
      </c>
      <c r="Q503" s="7" t="str">
        <f t="shared" si="51"/>
        <v>Wide Reach</v>
      </c>
      <c r="R503" s="7" t="str">
        <f t="shared" si="53"/>
        <v>Evening</v>
      </c>
      <c r="S503" s="7" t="str">
        <f t="shared" si="54"/>
        <v>North America</v>
      </c>
      <c r="T503" s="30">
        <f t="shared" si="55"/>
        <v>2</v>
      </c>
      <c r="U503" s="6"/>
      <c r="V503" s="6"/>
    </row>
    <row r="504" spans="1:22" x14ac:dyDescent="0.3">
      <c r="A504" t="s">
        <v>1397</v>
      </c>
      <c r="B504" t="s">
        <v>2098</v>
      </c>
      <c r="C504" t="s">
        <v>908</v>
      </c>
      <c r="D504" s="1">
        <v>43174.729166666664</v>
      </c>
      <c r="E504" t="s">
        <v>761</v>
      </c>
      <c r="F504" t="s">
        <v>492</v>
      </c>
      <c r="G504">
        <v>25</v>
      </c>
      <c r="H504">
        <v>50</v>
      </c>
      <c r="I504" t="s">
        <v>739</v>
      </c>
      <c r="J504">
        <v>2018</v>
      </c>
      <c r="K504">
        <v>3</v>
      </c>
      <c r="L504">
        <v>15</v>
      </c>
      <c r="M504">
        <v>17</v>
      </c>
      <c r="N504" s="7">
        <f t="shared" si="49"/>
        <v>75</v>
      </c>
      <c r="O504" s="7" t="str">
        <f t="shared" si="52"/>
        <v>Popular</v>
      </c>
      <c r="P504" s="7" t="str">
        <f t="shared" si="50"/>
        <v>No</v>
      </c>
      <c r="Q504" s="7" t="str">
        <f t="shared" si="51"/>
        <v>Wide Reach</v>
      </c>
      <c r="R504" s="7" t="str">
        <f t="shared" si="53"/>
        <v>Afternoon</v>
      </c>
      <c r="S504" s="7" t="str">
        <f t="shared" si="54"/>
        <v>Europe</v>
      </c>
      <c r="T504" s="30">
        <f t="shared" si="55"/>
        <v>2</v>
      </c>
      <c r="U504" s="6"/>
      <c r="V504" s="6"/>
    </row>
    <row r="505" spans="1:22" x14ac:dyDescent="0.3">
      <c r="A505" t="s">
        <v>1398</v>
      </c>
      <c r="B505" t="s">
        <v>2099</v>
      </c>
      <c r="C505" t="s">
        <v>794</v>
      </c>
      <c r="D505" s="1">
        <v>43766.59375</v>
      </c>
      <c r="E505" t="s">
        <v>763</v>
      </c>
      <c r="F505" t="s">
        <v>493</v>
      </c>
      <c r="G505">
        <v>22</v>
      </c>
      <c r="H505">
        <v>45</v>
      </c>
      <c r="I505" t="s">
        <v>751</v>
      </c>
      <c r="J505">
        <v>2019</v>
      </c>
      <c r="K505">
        <v>10</v>
      </c>
      <c r="L505">
        <v>28</v>
      </c>
      <c r="M505">
        <v>14</v>
      </c>
      <c r="N505" s="7">
        <f t="shared" si="49"/>
        <v>67</v>
      </c>
      <c r="O505" s="7" t="str">
        <f t="shared" si="52"/>
        <v>Popular</v>
      </c>
      <c r="P505" s="7" t="str">
        <f t="shared" si="50"/>
        <v>No</v>
      </c>
      <c r="Q505" s="7" t="str">
        <f t="shared" si="51"/>
        <v>Wide Reach</v>
      </c>
      <c r="R505" s="7" t="str">
        <f t="shared" si="53"/>
        <v>Afternoon</v>
      </c>
      <c r="S505" s="7" t="str">
        <f t="shared" si="54"/>
        <v>Asia</v>
      </c>
      <c r="T505" s="30">
        <f t="shared" si="55"/>
        <v>2.0454545454545454</v>
      </c>
      <c r="U505" s="6"/>
      <c r="V505" s="6"/>
    </row>
    <row r="506" spans="1:22" x14ac:dyDescent="0.3">
      <c r="A506" t="s">
        <v>1399</v>
      </c>
      <c r="B506" t="s">
        <v>2100</v>
      </c>
      <c r="C506" t="s">
        <v>869</v>
      </c>
      <c r="D506" s="1">
        <v>44357.666666666664</v>
      </c>
      <c r="E506" t="s">
        <v>762</v>
      </c>
      <c r="F506" t="s">
        <v>494</v>
      </c>
      <c r="G506">
        <v>30</v>
      </c>
      <c r="H506">
        <v>60</v>
      </c>
      <c r="I506" t="s">
        <v>734</v>
      </c>
      <c r="J506">
        <v>2021</v>
      </c>
      <c r="K506">
        <v>6</v>
      </c>
      <c r="L506">
        <v>10</v>
      </c>
      <c r="M506">
        <v>16</v>
      </c>
      <c r="N506" s="7">
        <f t="shared" si="49"/>
        <v>90</v>
      </c>
      <c r="O506" s="7" t="str">
        <f t="shared" si="52"/>
        <v>Popular</v>
      </c>
      <c r="P506" s="7" t="str">
        <f t="shared" si="50"/>
        <v>Yes</v>
      </c>
      <c r="Q506" s="7" t="str">
        <f t="shared" si="51"/>
        <v>Wide Reach</v>
      </c>
      <c r="R506" s="7" t="str">
        <f t="shared" si="53"/>
        <v>Afternoon</v>
      </c>
      <c r="S506" s="7" t="str">
        <f t="shared" si="54"/>
        <v>South America</v>
      </c>
      <c r="T506" s="30">
        <f t="shared" si="55"/>
        <v>2</v>
      </c>
      <c r="U506" s="6"/>
      <c r="V506" s="6"/>
    </row>
    <row r="507" spans="1:22" x14ac:dyDescent="0.3">
      <c r="A507" t="s">
        <v>1400</v>
      </c>
      <c r="B507" t="s">
        <v>2101</v>
      </c>
      <c r="C507" t="s">
        <v>778</v>
      </c>
      <c r="D507" s="1">
        <v>42965.8125</v>
      </c>
      <c r="E507" t="s">
        <v>761</v>
      </c>
      <c r="F507" t="s">
        <v>495</v>
      </c>
      <c r="G507">
        <v>18</v>
      </c>
      <c r="H507">
        <v>35</v>
      </c>
      <c r="I507" t="s">
        <v>752</v>
      </c>
      <c r="J507">
        <v>2017</v>
      </c>
      <c r="K507">
        <v>8</v>
      </c>
      <c r="L507">
        <v>18</v>
      </c>
      <c r="M507">
        <v>19</v>
      </c>
      <c r="N507" s="7">
        <f t="shared" si="49"/>
        <v>53</v>
      </c>
      <c r="O507" s="7" t="str">
        <f t="shared" si="52"/>
        <v>Normal</v>
      </c>
      <c r="P507" s="7" t="str">
        <f t="shared" si="50"/>
        <v>No</v>
      </c>
      <c r="Q507" s="7" t="str">
        <f t="shared" si="51"/>
        <v>Standard</v>
      </c>
      <c r="R507" s="7" t="str">
        <f t="shared" si="53"/>
        <v>Evening</v>
      </c>
      <c r="S507" s="7" t="str">
        <f t="shared" si="54"/>
        <v>Asia</v>
      </c>
      <c r="T507" s="30">
        <f t="shared" si="55"/>
        <v>1.9444444444444444</v>
      </c>
      <c r="U507" s="6"/>
      <c r="V507" s="6"/>
    </row>
    <row r="508" spans="1:22" x14ac:dyDescent="0.3">
      <c r="A508" t="s">
        <v>1401</v>
      </c>
      <c r="B508" t="s">
        <v>2102</v>
      </c>
      <c r="C508" t="s">
        <v>855</v>
      </c>
      <c r="D508" s="1">
        <v>43936.229166666664</v>
      </c>
      <c r="E508" t="s">
        <v>763</v>
      </c>
      <c r="F508" t="s">
        <v>496</v>
      </c>
      <c r="G508">
        <v>28</v>
      </c>
      <c r="H508">
        <v>55</v>
      </c>
      <c r="I508" t="s">
        <v>735</v>
      </c>
      <c r="J508">
        <v>2020</v>
      </c>
      <c r="K508">
        <v>4</v>
      </c>
      <c r="L508">
        <v>15</v>
      </c>
      <c r="M508">
        <v>5</v>
      </c>
      <c r="N508" s="7">
        <f t="shared" si="49"/>
        <v>83</v>
      </c>
      <c r="O508" s="7" t="str">
        <f t="shared" si="52"/>
        <v>Popular</v>
      </c>
      <c r="P508" s="7" t="str">
        <f t="shared" si="50"/>
        <v>Yes</v>
      </c>
      <c r="Q508" s="7" t="str">
        <f t="shared" si="51"/>
        <v>Wide Reach</v>
      </c>
      <c r="R508" s="7" t="str">
        <f t="shared" si="53"/>
        <v>Night</v>
      </c>
      <c r="S508" s="7" t="str">
        <f t="shared" si="54"/>
        <v>Asia</v>
      </c>
      <c r="T508" s="30">
        <f t="shared" si="55"/>
        <v>1.9642857142857142</v>
      </c>
      <c r="U508" s="6"/>
      <c r="V508" s="6"/>
    </row>
    <row r="509" spans="1:22" x14ac:dyDescent="0.3">
      <c r="A509" t="s">
        <v>1402</v>
      </c>
      <c r="B509" t="s">
        <v>2103</v>
      </c>
      <c r="C509" t="s">
        <v>905</v>
      </c>
      <c r="D509" s="1">
        <v>42696.541666666664</v>
      </c>
      <c r="E509" t="s">
        <v>762</v>
      </c>
      <c r="F509" t="s">
        <v>497</v>
      </c>
      <c r="G509">
        <v>20</v>
      </c>
      <c r="H509">
        <v>40</v>
      </c>
      <c r="I509" t="s">
        <v>753</v>
      </c>
      <c r="J509">
        <v>2016</v>
      </c>
      <c r="K509">
        <v>11</v>
      </c>
      <c r="L509">
        <v>22</v>
      </c>
      <c r="M509">
        <v>13</v>
      </c>
      <c r="N509" s="7">
        <f t="shared" si="49"/>
        <v>60</v>
      </c>
      <c r="O509" s="7" t="str">
        <f t="shared" si="52"/>
        <v>Normal</v>
      </c>
      <c r="P509" s="7" t="str">
        <f t="shared" si="50"/>
        <v>No</v>
      </c>
      <c r="Q509" s="7" t="str">
        <f t="shared" si="51"/>
        <v>Standard</v>
      </c>
      <c r="R509" s="7" t="str">
        <f t="shared" si="53"/>
        <v>Afternoon</v>
      </c>
      <c r="S509" s="7" t="str">
        <f t="shared" si="54"/>
        <v>Asia</v>
      </c>
      <c r="T509" s="30">
        <f t="shared" si="55"/>
        <v>2</v>
      </c>
      <c r="U509" s="6"/>
      <c r="V509" s="6"/>
    </row>
    <row r="510" spans="1:22" x14ac:dyDescent="0.3">
      <c r="A510" t="s">
        <v>1403</v>
      </c>
      <c r="B510" t="s">
        <v>2104</v>
      </c>
      <c r="C510" t="s">
        <v>872</v>
      </c>
      <c r="D510" s="1">
        <v>43475.614583333336</v>
      </c>
      <c r="E510" t="s">
        <v>761</v>
      </c>
      <c r="F510" t="s">
        <v>498</v>
      </c>
      <c r="G510">
        <v>22</v>
      </c>
      <c r="H510">
        <v>45</v>
      </c>
      <c r="I510" t="s">
        <v>744</v>
      </c>
      <c r="J510">
        <v>2019</v>
      </c>
      <c r="K510">
        <v>1</v>
      </c>
      <c r="L510">
        <v>10</v>
      </c>
      <c r="M510">
        <v>14</v>
      </c>
      <c r="N510" s="7">
        <f t="shared" si="49"/>
        <v>67</v>
      </c>
      <c r="O510" s="7" t="str">
        <f t="shared" si="52"/>
        <v>Popular</v>
      </c>
      <c r="P510" s="7" t="str">
        <f t="shared" si="50"/>
        <v>No</v>
      </c>
      <c r="Q510" s="7" t="str">
        <f t="shared" si="51"/>
        <v>Wide Reach</v>
      </c>
      <c r="R510" s="7" t="str">
        <f t="shared" si="53"/>
        <v>Afternoon</v>
      </c>
      <c r="S510" s="7" t="str">
        <f t="shared" si="54"/>
        <v>Europe</v>
      </c>
      <c r="T510" s="30">
        <f t="shared" si="55"/>
        <v>2.0454545454545454</v>
      </c>
      <c r="U510" s="6"/>
      <c r="V510" s="6"/>
    </row>
    <row r="511" spans="1:22" x14ac:dyDescent="0.3">
      <c r="A511" t="s">
        <v>1404</v>
      </c>
      <c r="B511" t="s">
        <v>2105</v>
      </c>
      <c r="C511" t="s">
        <v>909</v>
      </c>
      <c r="D511" s="1">
        <v>44985.680555555555</v>
      </c>
      <c r="E511" t="s">
        <v>763</v>
      </c>
      <c r="F511" t="s">
        <v>499</v>
      </c>
      <c r="G511">
        <v>25</v>
      </c>
      <c r="H511">
        <v>50</v>
      </c>
      <c r="I511" t="s">
        <v>735</v>
      </c>
      <c r="J511">
        <v>2023</v>
      </c>
      <c r="K511">
        <v>2</v>
      </c>
      <c r="L511">
        <v>28</v>
      </c>
      <c r="M511">
        <v>16</v>
      </c>
      <c r="N511" s="7">
        <f t="shared" si="49"/>
        <v>75</v>
      </c>
      <c r="O511" s="7" t="str">
        <f t="shared" si="52"/>
        <v>Popular</v>
      </c>
      <c r="P511" s="7" t="str">
        <f t="shared" si="50"/>
        <v>No</v>
      </c>
      <c r="Q511" s="7" t="str">
        <f t="shared" si="51"/>
        <v>Wide Reach</v>
      </c>
      <c r="R511" s="7" t="str">
        <f t="shared" si="53"/>
        <v>Afternoon</v>
      </c>
      <c r="S511" s="7" t="str">
        <f t="shared" si="54"/>
        <v>Asia</v>
      </c>
      <c r="T511" s="30">
        <f t="shared" si="55"/>
        <v>2</v>
      </c>
      <c r="U511" s="6"/>
      <c r="V511" s="6"/>
    </row>
    <row r="512" spans="1:22" x14ac:dyDescent="0.3">
      <c r="A512" t="s">
        <v>1405</v>
      </c>
      <c r="B512" t="s">
        <v>2106</v>
      </c>
      <c r="C512" t="s">
        <v>910</v>
      </c>
      <c r="D512" s="1">
        <v>43248.770833333336</v>
      </c>
      <c r="E512" t="s">
        <v>762</v>
      </c>
      <c r="F512" t="s">
        <v>500</v>
      </c>
      <c r="G512">
        <v>22</v>
      </c>
      <c r="H512">
        <v>45</v>
      </c>
      <c r="I512" t="s">
        <v>754</v>
      </c>
      <c r="J512">
        <v>2018</v>
      </c>
      <c r="K512">
        <v>5</v>
      </c>
      <c r="L512">
        <v>28</v>
      </c>
      <c r="M512">
        <v>18</v>
      </c>
      <c r="N512" s="7">
        <f t="shared" si="49"/>
        <v>67</v>
      </c>
      <c r="O512" s="7" t="str">
        <f t="shared" si="52"/>
        <v>Popular</v>
      </c>
      <c r="P512" s="7" t="str">
        <f t="shared" si="50"/>
        <v>No</v>
      </c>
      <c r="Q512" s="7" t="str">
        <f t="shared" si="51"/>
        <v>Wide Reach</v>
      </c>
      <c r="R512" s="7" t="str">
        <f t="shared" si="53"/>
        <v>Evening</v>
      </c>
      <c r="S512" s="7" t="str">
        <f t="shared" si="54"/>
        <v>Europe</v>
      </c>
      <c r="T512" s="30">
        <f t="shared" si="55"/>
        <v>2.0454545454545454</v>
      </c>
      <c r="U512" s="6"/>
      <c r="V512" s="6"/>
    </row>
    <row r="513" spans="1:22" x14ac:dyDescent="0.3">
      <c r="A513" t="s">
        <v>1406</v>
      </c>
      <c r="B513" t="s">
        <v>2107</v>
      </c>
      <c r="C513" t="s">
        <v>911</v>
      </c>
      <c r="D513" s="1">
        <v>44819.833333333336</v>
      </c>
      <c r="E513" t="s">
        <v>762</v>
      </c>
      <c r="F513" t="s">
        <v>501</v>
      </c>
      <c r="G513">
        <v>40</v>
      </c>
      <c r="H513">
        <v>80</v>
      </c>
      <c r="I513" t="s">
        <v>30</v>
      </c>
      <c r="J513">
        <v>2022</v>
      </c>
      <c r="K513">
        <v>9</v>
      </c>
      <c r="L513">
        <v>15</v>
      </c>
      <c r="M513">
        <v>20</v>
      </c>
      <c r="N513" s="7">
        <f t="shared" si="49"/>
        <v>120</v>
      </c>
      <c r="O513" s="7" t="str">
        <f t="shared" si="52"/>
        <v>Popular</v>
      </c>
      <c r="P513" s="7" t="str">
        <f t="shared" si="50"/>
        <v>Yes</v>
      </c>
      <c r="Q513" s="7" t="str">
        <f t="shared" si="51"/>
        <v>Wide Reach</v>
      </c>
      <c r="R513" s="7" t="str">
        <f t="shared" si="53"/>
        <v>Evening</v>
      </c>
      <c r="S513" s="7" t="str">
        <f t="shared" si="54"/>
        <v>North America</v>
      </c>
      <c r="T513" s="30">
        <f t="shared" si="55"/>
        <v>2</v>
      </c>
      <c r="U513" s="6"/>
      <c r="V513" s="6"/>
    </row>
    <row r="514" spans="1:22" x14ac:dyDescent="0.3">
      <c r="A514" t="s">
        <v>1407</v>
      </c>
      <c r="B514" t="s">
        <v>2108</v>
      </c>
      <c r="C514" t="s">
        <v>912</v>
      </c>
      <c r="D514" s="1">
        <v>43674.895833333336</v>
      </c>
      <c r="E514" t="s">
        <v>761</v>
      </c>
      <c r="F514" t="s">
        <v>502</v>
      </c>
      <c r="G514">
        <v>35</v>
      </c>
      <c r="H514">
        <v>70</v>
      </c>
      <c r="I514" t="s">
        <v>30</v>
      </c>
      <c r="J514">
        <v>2019</v>
      </c>
      <c r="K514">
        <v>7</v>
      </c>
      <c r="L514">
        <v>28</v>
      </c>
      <c r="M514">
        <v>21</v>
      </c>
      <c r="N514" s="7">
        <f t="shared" si="49"/>
        <v>105</v>
      </c>
      <c r="O514" s="7" t="str">
        <f t="shared" si="52"/>
        <v>Popular</v>
      </c>
      <c r="P514" s="7" t="str">
        <f t="shared" si="50"/>
        <v>Yes</v>
      </c>
      <c r="Q514" s="7" t="str">
        <f t="shared" si="51"/>
        <v>Wide Reach</v>
      </c>
      <c r="R514" s="7" t="str">
        <f t="shared" si="53"/>
        <v>Evening</v>
      </c>
      <c r="S514" s="7" t="str">
        <f t="shared" si="54"/>
        <v>North America</v>
      </c>
      <c r="T514" s="30">
        <f t="shared" si="55"/>
        <v>2</v>
      </c>
      <c r="U514" s="6"/>
      <c r="V514" s="6"/>
    </row>
    <row r="515" spans="1:22" x14ac:dyDescent="0.3">
      <c r="A515" t="s">
        <v>1408</v>
      </c>
      <c r="B515" t="s">
        <v>2109</v>
      </c>
      <c r="C515" t="s">
        <v>858</v>
      </c>
      <c r="D515" s="1">
        <v>44326.822916666664</v>
      </c>
      <c r="E515" t="s">
        <v>763</v>
      </c>
      <c r="F515" t="s">
        <v>503</v>
      </c>
      <c r="G515">
        <v>30</v>
      </c>
      <c r="H515">
        <v>60</v>
      </c>
      <c r="I515" t="s">
        <v>30</v>
      </c>
      <c r="J515">
        <v>2021</v>
      </c>
      <c r="K515">
        <v>5</v>
      </c>
      <c r="L515">
        <v>10</v>
      </c>
      <c r="M515">
        <v>19</v>
      </c>
      <c r="N515" s="7">
        <f t="shared" ref="N515:N578" si="56">SUM(G515,H515)</f>
        <v>90</v>
      </c>
      <c r="O515" s="7" t="str">
        <f t="shared" si="52"/>
        <v>Popular</v>
      </c>
      <c r="P515" s="7" t="str">
        <f t="shared" ref="P515:P578" si="57">IF(AND(G515&gt;25, H515&gt;50), "Yes", "No")</f>
        <v>Yes</v>
      </c>
      <c r="Q515" s="7" t="str">
        <f t="shared" ref="Q515:Q578" si="58">IF(OR(H515&gt;40,G515&gt;20),"Wide Reach","Standard")</f>
        <v>Wide Reach</v>
      </c>
      <c r="R515" s="7" t="str">
        <f t="shared" si="53"/>
        <v>Evening</v>
      </c>
      <c r="S515" s="7" t="str">
        <f t="shared" si="54"/>
        <v>North America</v>
      </c>
      <c r="T515" s="30">
        <f t="shared" si="55"/>
        <v>2</v>
      </c>
      <c r="U515" s="6"/>
      <c r="V515" s="6"/>
    </row>
    <row r="516" spans="1:22" x14ac:dyDescent="0.3">
      <c r="A516" t="s">
        <v>1409</v>
      </c>
      <c r="B516" t="s">
        <v>2110</v>
      </c>
      <c r="C516" t="s">
        <v>820</v>
      </c>
      <c r="D516" s="1">
        <v>43436.927083333336</v>
      </c>
      <c r="E516" t="s">
        <v>762</v>
      </c>
      <c r="F516" t="s">
        <v>504</v>
      </c>
      <c r="G516">
        <v>22</v>
      </c>
      <c r="H516">
        <v>45</v>
      </c>
      <c r="I516" t="s">
        <v>722</v>
      </c>
      <c r="J516">
        <v>2018</v>
      </c>
      <c r="K516">
        <v>12</v>
      </c>
      <c r="L516">
        <v>2</v>
      </c>
      <c r="M516">
        <v>22</v>
      </c>
      <c r="N516" s="7">
        <f t="shared" si="56"/>
        <v>67</v>
      </c>
      <c r="O516" s="7" t="str">
        <f t="shared" ref="O516:O579" si="59">IF(N516&gt;60, "Popular", "Normal")</f>
        <v>Popular</v>
      </c>
      <c r="P516" s="7" t="str">
        <f t="shared" si="57"/>
        <v>No</v>
      </c>
      <c r="Q516" s="7" t="str">
        <f t="shared" si="58"/>
        <v>Wide Reach</v>
      </c>
      <c r="R516" s="7" t="str">
        <f t="shared" ref="R516:R579" si="60">IF(M516&gt;17,"Evening",IF(M516&gt;11,"Afternoon",IF(M516&gt;5,"Morning","Night")))</f>
        <v>Evening</v>
      </c>
      <c r="S516" s="7" t="str">
        <f t="shared" ref="S516:S579" si="61">_xlfn.SWITCH(I516,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Europe</v>
      </c>
      <c r="T516" s="30">
        <f t="shared" ref="T516:T579" si="62">IFERROR(H516/G516,"Error")</f>
        <v>2.0454545454545454</v>
      </c>
      <c r="U516" s="6"/>
      <c r="V516" s="6"/>
    </row>
    <row r="517" spans="1:22" x14ac:dyDescent="0.3">
      <c r="A517" t="s">
        <v>1410</v>
      </c>
      <c r="B517" t="s">
        <v>2111</v>
      </c>
      <c r="C517" t="s">
        <v>794</v>
      </c>
      <c r="D517" s="1">
        <v>44061.791666666664</v>
      </c>
      <c r="E517" t="s">
        <v>761</v>
      </c>
      <c r="F517" t="s">
        <v>505</v>
      </c>
      <c r="G517">
        <v>18</v>
      </c>
      <c r="H517">
        <v>35</v>
      </c>
      <c r="I517" t="s">
        <v>722</v>
      </c>
      <c r="J517">
        <v>2020</v>
      </c>
      <c r="K517">
        <v>8</v>
      </c>
      <c r="L517">
        <v>18</v>
      </c>
      <c r="M517">
        <v>19</v>
      </c>
      <c r="N517" s="7">
        <f t="shared" si="56"/>
        <v>53</v>
      </c>
      <c r="O517" s="7" t="str">
        <f t="shared" si="59"/>
        <v>Normal</v>
      </c>
      <c r="P517" s="7" t="str">
        <f t="shared" si="57"/>
        <v>No</v>
      </c>
      <c r="Q517" s="7" t="str">
        <f t="shared" si="58"/>
        <v>Standard</v>
      </c>
      <c r="R517" s="7" t="str">
        <f t="shared" si="60"/>
        <v>Evening</v>
      </c>
      <c r="S517" s="7" t="str">
        <f t="shared" si="61"/>
        <v>Europe</v>
      </c>
      <c r="T517" s="30">
        <f t="shared" si="62"/>
        <v>1.9444444444444444</v>
      </c>
      <c r="U517" s="6"/>
      <c r="V517" s="6"/>
    </row>
    <row r="518" spans="1:22" x14ac:dyDescent="0.3">
      <c r="A518" t="s">
        <v>1411</v>
      </c>
      <c r="B518" t="s">
        <v>2112</v>
      </c>
      <c r="C518" t="s">
        <v>772</v>
      </c>
      <c r="D518" s="1">
        <v>42822.854166666664</v>
      </c>
      <c r="E518" t="s">
        <v>763</v>
      </c>
      <c r="F518" t="s">
        <v>506</v>
      </c>
      <c r="G518">
        <v>28</v>
      </c>
      <c r="H518">
        <v>55</v>
      </c>
      <c r="I518" t="s">
        <v>30</v>
      </c>
      <c r="J518">
        <v>2017</v>
      </c>
      <c r="K518">
        <v>3</v>
      </c>
      <c r="L518">
        <v>28</v>
      </c>
      <c r="M518">
        <v>20</v>
      </c>
      <c r="N518" s="7">
        <f t="shared" si="56"/>
        <v>83</v>
      </c>
      <c r="O518" s="7" t="str">
        <f t="shared" si="59"/>
        <v>Popular</v>
      </c>
      <c r="P518" s="7" t="str">
        <f t="shared" si="57"/>
        <v>Yes</v>
      </c>
      <c r="Q518" s="7" t="str">
        <f t="shared" si="58"/>
        <v>Wide Reach</v>
      </c>
      <c r="R518" s="7" t="str">
        <f t="shared" si="60"/>
        <v>Evening</v>
      </c>
      <c r="S518" s="7" t="str">
        <f t="shared" si="61"/>
        <v>North America</v>
      </c>
      <c r="T518" s="30">
        <f t="shared" si="62"/>
        <v>1.9642857142857142</v>
      </c>
      <c r="U518" s="6"/>
      <c r="V518" s="6"/>
    </row>
    <row r="519" spans="1:22" x14ac:dyDescent="0.3">
      <c r="A519" t="s">
        <v>1412</v>
      </c>
      <c r="B519" t="s">
        <v>2113</v>
      </c>
      <c r="C519" t="s">
        <v>913</v>
      </c>
      <c r="D519" s="1">
        <v>44576.885416666664</v>
      </c>
      <c r="E519" t="s">
        <v>762</v>
      </c>
      <c r="F519" t="s">
        <v>507</v>
      </c>
      <c r="G519">
        <v>25</v>
      </c>
      <c r="H519">
        <v>50</v>
      </c>
      <c r="I519" t="s">
        <v>30</v>
      </c>
      <c r="J519">
        <v>2022</v>
      </c>
      <c r="K519">
        <v>1</v>
      </c>
      <c r="L519">
        <v>15</v>
      </c>
      <c r="M519">
        <v>21</v>
      </c>
      <c r="N519" s="7">
        <f t="shared" si="56"/>
        <v>75</v>
      </c>
      <c r="O519" s="7" t="str">
        <f t="shared" si="59"/>
        <v>Popular</v>
      </c>
      <c r="P519" s="7" t="str">
        <f t="shared" si="57"/>
        <v>No</v>
      </c>
      <c r="Q519" s="7" t="str">
        <f t="shared" si="58"/>
        <v>Wide Reach</v>
      </c>
      <c r="R519" s="7" t="str">
        <f t="shared" si="60"/>
        <v>Evening</v>
      </c>
      <c r="S519" s="7" t="str">
        <f t="shared" si="61"/>
        <v>North America</v>
      </c>
      <c r="T519" s="30">
        <f t="shared" si="62"/>
        <v>2</v>
      </c>
      <c r="U519" s="6"/>
      <c r="V519" s="6"/>
    </row>
    <row r="520" spans="1:22" x14ac:dyDescent="0.3">
      <c r="A520" t="s">
        <v>1413</v>
      </c>
      <c r="B520" t="s">
        <v>2114</v>
      </c>
      <c r="C520" t="s">
        <v>914</v>
      </c>
      <c r="D520" s="1">
        <v>43626.78125</v>
      </c>
      <c r="E520" t="s">
        <v>761</v>
      </c>
      <c r="F520" t="s">
        <v>508</v>
      </c>
      <c r="G520">
        <v>22</v>
      </c>
      <c r="H520">
        <v>45</v>
      </c>
      <c r="I520" t="s">
        <v>30</v>
      </c>
      <c r="J520">
        <v>2019</v>
      </c>
      <c r="K520">
        <v>6</v>
      </c>
      <c r="L520">
        <v>10</v>
      </c>
      <c r="M520">
        <v>18</v>
      </c>
      <c r="N520" s="7">
        <f t="shared" si="56"/>
        <v>67</v>
      </c>
      <c r="O520" s="7" t="str">
        <f t="shared" si="59"/>
        <v>Popular</v>
      </c>
      <c r="P520" s="7" t="str">
        <f t="shared" si="57"/>
        <v>No</v>
      </c>
      <c r="Q520" s="7" t="str">
        <f t="shared" si="58"/>
        <v>Wide Reach</v>
      </c>
      <c r="R520" s="7" t="str">
        <f t="shared" si="60"/>
        <v>Evening</v>
      </c>
      <c r="S520" s="7" t="str">
        <f t="shared" si="61"/>
        <v>North America</v>
      </c>
      <c r="T520" s="30">
        <f t="shared" si="62"/>
        <v>2.0454545454545454</v>
      </c>
      <c r="U520" s="6"/>
      <c r="V520" s="6"/>
    </row>
    <row r="521" spans="1:22" x14ac:dyDescent="0.3">
      <c r="A521" t="s">
        <v>1414</v>
      </c>
      <c r="B521" t="s">
        <v>2115</v>
      </c>
      <c r="C521" t="s">
        <v>915</v>
      </c>
      <c r="D521" s="1">
        <v>45005.9375</v>
      </c>
      <c r="E521" t="s">
        <v>763</v>
      </c>
      <c r="F521" t="s">
        <v>509</v>
      </c>
      <c r="G521">
        <v>35</v>
      </c>
      <c r="H521">
        <v>70</v>
      </c>
      <c r="I521" t="s">
        <v>30</v>
      </c>
      <c r="J521">
        <v>2023</v>
      </c>
      <c r="K521">
        <v>3</v>
      </c>
      <c r="L521">
        <v>20</v>
      </c>
      <c r="M521">
        <v>22</v>
      </c>
      <c r="N521" s="7">
        <f t="shared" si="56"/>
        <v>105</v>
      </c>
      <c r="O521" s="7" t="str">
        <f t="shared" si="59"/>
        <v>Popular</v>
      </c>
      <c r="P521" s="7" t="str">
        <f t="shared" si="57"/>
        <v>Yes</v>
      </c>
      <c r="Q521" s="7" t="str">
        <f t="shared" si="58"/>
        <v>Wide Reach</v>
      </c>
      <c r="R521" s="7" t="str">
        <f t="shared" si="60"/>
        <v>Evening</v>
      </c>
      <c r="S521" s="7" t="str">
        <f t="shared" si="61"/>
        <v>North America</v>
      </c>
      <c r="T521" s="30">
        <f t="shared" si="62"/>
        <v>2</v>
      </c>
      <c r="U521" s="6"/>
      <c r="V521" s="6"/>
    </row>
    <row r="522" spans="1:22" x14ac:dyDescent="0.3">
      <c r="A522" t="s">
        <v>1415</v>
      </c>
      <c r="B522" t="s">
        <v>2116</v>
      </c>
      <c r="C522" t="s">
        <v>796</v>
      </c>
      <c r="D522" s="1">
        <v>42702.791666666664</v>
      </c>
      <c r="E522" t="s">
        <v>762</v>
      </c>
      <c r="F522" t="s">
        <v>510</v>
      </c>
      <c r="G522">
        <v>30</v>
      </c>
      <c r="H522">
        <v>60</v>
      </c>
      <c r="I522" t="s">
        <v>722</v>
      </c>
      <c r="J522">
        <v>2016</v>
      </c>
      <c r="K522">
        <v>11</v>
      </c>
      <c r="L522">
        <v>28</v>
      </c>
      <c r="M522">
        <v>19</v>
      </c>
      <c r="N522" s="7">
        <f t="shared" si="56"/>
        <v>90</v>
      </c>
      <c r="O522" s="7" t="str">
        <f t="shared" si="59"/>
        <v>Popular</v>
      </c>
      <c r="P522" s="7" t="str">
        <f t="shared" si="57"/>
        <v>Yes</v>
      </c>
      <c r="Q522" s="7" t="str">
        <f t="shared" si="58"/>
        <v>Wide Reach</v>
      </c>
      <c r="R522" s="7" t="str">
        <f t="shared" si="60"/>
        <v>Evening</v>
      </c>
      <c r="S522" s="7" t="str">
        <f t="shared" si="61"/>
        <v>Europe</v>
      </c>
      <c r="T522" s="30">
        <f t="shared" si="62"/>
        <v>2</v>
      </c>
      <c r="U522" s="6"/>
      <c r="V522" s="6"/>
    </row>
    <row r="523" spans="1:22" x14ac:dyDescent="0.3">
      <c r="A523" t="s">
        <v>1416</v>
      </c>
      <c r="B523" t="s">
        <v>2117</v>
      </c>
      <c r="C523" t="s">
        <v>801</v>
      </c>
      <c r="D523" s="1">
        <v>43317.833333333336</v>
      </c>
      <c r="E523" t="s">
        <v>762</v>
      </c>
      <c r="F523" t="s">
        <v>511</v>
      </c>
      <c r="G523">
        <v>40</v>
      </c>
      <c r="H523">
        <v>80</v>
      </c>
      <c r="I523" t="s">
        <v>720</v>
      </c>
      <c r="J523">
        <v>2018</v>
      </c>
      <c r="K523">
        <v>8</v>
      </c>
      <c r="L523">
        <v>5</v>
      </c>
      <c r="M523">
        <v>20</v>
      </c>
      <c r="N523" s="7">
        <f t="shared" si="56"/>
        <v>120</v>
      </c>
      <c r="O523" s="7" t="str">
        <f t="shared" si="59"/>
        <v>Popular</v>
      </c>
      <c r="P523" s="7" t="str">
        <f t="shared" si="57"/>
        <v>Yes</v>
      </c>
      <c r="Q523" s="7" t="str">
        <f t="shared" si="58"/>
        <v>Wide Reach</v>
      </c>
      <c r="R523" s="7" t="str">
        <f t="shared" si="60"/>
        <v>Evening</v>
      </c>
      <c r="S523" s="7" t="str">
        <f t="shared" si="61"/>
        <v>North America</v>
      </c>
      <c r="T523" s="30">
        <f t="shared" si="62"/>
        <v>2</v>
      </c>
      <c r="U523" s="6"/>
      <c r="V523" s="6"/>
    </row>
    <row r="524" spans="1:22" x14ac:dyDescent="0.3">
      <c r="A524" t="s">
        <v>1417</v>
      </c>
      <c r="B524" t="s">
        <v>2118</v>
      </c>
      <c r="C524" t="s">
        <v>867</v>
      </c>
      <c r="D524" s="1">
        <v>44301.895833333336</v>
      </c>
      <c r="E524" t="s">
        <v>761</v>
      </c>
      <c r="F524" t="s">
        <v>512</v>
      </c>
      <c r="G524">
        <v>35</v>
      </c>
      <c r="H524">
        <v>70</v>
      </c>
      <c r="I524" t="s">
        <v>30</v>
      </c>
      <c r="J524">
        <v>2021</v>
      </c>
      <c r="K524">
        <v>4</v>
      </c>
      <c r="L524">
        <v>15</v>
      </c>
      <c r="M524">
        <v>21</v>
      </c>
      <c r="N524" s="7">
        <f t="shared" si="56"/>
        <v>105</v>
      </c>
      <c r="O524" s="7" t="str">
        <f t="shared" si="59"/>
        <v>Popular</v>
      </c>
      <c r="P524" s="7" t="str">
        <f t="shared" si="57"/>
        <v>Yes</v>
      </c>
      <c r="Q524" s="7" t="str">
        <f t="shared" si="58"/>
        <v>Wide Reach</v>
      </c>
      <c r="R524" s="7" t="str">
        <f t="shared" si="60"/>
        <v>Evening</v>
      </c>
      <c r="S524" s="7" t="str">
        <f t="shared" si="61"/>
        <v>North America</v>
      </c>
      <c r="T524" s="30">
        <f t="shared" si="62"/>
        <v>2</v>
      </c>
      <c r="U524" s="6"/>
      <c r="V524" s="6"/>
    </row>
    <row r="525" spans="1:22" x14ac:dyDescent="0.3">
      <c r="A525" t="s">
        <v>1418</v>
      </c>
      <c r="B525" t="s">
        <v>2119</v>
      </c>
      <c r="C525" t="s">
        <v>911</v>
      </c>
      <c r="D525" s="1">
        <v>43797.822916666664</v>
      </c>
      <c r="E525" t="s">
        <v>763</v>
      </c>
      <c r="F525" t="s">
        <v>513</v>
      </c>
      <c r="G525">
        <v>30</v>
      </c>
      <c r="H525">
        <v>60</v>
      </c>
      <c r="I525" t="s">
        <v>722</v>
      </c>
      <c r="J525">
        <v>2019</v>
      </c>
      <c r="K525">
        <v>11</v>
      </c>
      <c r="L525">
        <v>28</v>
      </c>
      <c r="M525">
        <v>19</v>
      </c>
      <c r="N525" s="7">
        <f t="shared" si="56"/>
        <v>90</v>
      </c>
      <c r="O525" s="7" t="str">
        <f t="shared" si="59"/>
        <v>Popular</v>
      </c>
      <c r="P525" s="7" t="str">
        <f t="shared" si="57"/>
        <v>Yes</v>
      </c>
      <c r="Q525" s="7" t="str">
        <f t="shared" si="58"/>
        <v>Wide Reach</v>
      </c>
      <c r="R525" s="7" t="str">
        <f t="shared" si="60"/>
        <v>Evening</v>
      </c>
      <c r="S525" s="7" t="str">
        <f t="shared" si="61"/>
        <v>Europe</v>
      </c>
      <c r="T525" s="30">
        <f t="shared" si="62"/>
        <v>2</v>
      </c>
      <c r="U525" s="6"/>
      <c r="V525" s="6"/>
    </row>
    <row r="526" spans="1:22" x14ac:dyDescent="0.3">
      <c r="A526" t="s">
        <v>1419</v>
      </c>
      <c r="B526" t="s">
        <v>2120</v>
      </c>
      <c r="C526" t="s">
        <v>916</v>
      </c>
      <c r="D526" s="1">
        <v>44004.916666666664</v>
      </c>
      <c r="E526" t="s">
        <v>762</v>
      </c>
      <c r="F526" t="s">
        <v>514</v>
      </c>
      <c r="G526">
        <v>22</v>
      </c>
      <c r="H526">
        <v>45</v>
      </c>
      <c r="I526" t="s">
        <v>30</v>
      </c>
      <c r="J526">
        <v>2020</v>
      </c>
      <c r="K526">
        <v>6</v>
      </c>
      <c r="L526">
        <v>22</v>
      </c>
      <c r="M526">
        <v>22</v>
      </c>
      <c r="N526" s="7">
        <f t="shared" si="56"/>
        <v>67</v>
      </c>
      <c r="O526" s="7" t="str">
        <f t="shared" si="59"/>
        <v>Popular</v>
      </c>
      <c r="P526" s="7" t="str">
        <f t="shared" si="57"/>
        <v>No</v>
      </c>
      <c r="Q526" s="7" t="str">
        <f t="shared" si="58"/>
        <v>Wide Reach</v>
      </c>
      <c r="R526" s="7" t="str">
        <f t="shared" si="60"/>
        <v>Evening</v>
      </c>
      <c r="S526" s="7" t="str">
        <f t="shared" si="61"/>
        <v>North America</v>
      </c>
      <c r="T526" s="30">
        <f t="shared" si="62"/>
        <v>2.0454545454545454</v>
      </c>
      <c r="U526" s="6"/>
      <c r="V526" s="6"/>
    </row>
    <row r="527" spans="1:22" x14ac:dyDescent="0.3">
      <c r="A527" t="s">
        <v>1420</v>
      </c>
      <c r="B527" t="s">
        <v>2121</v>
      </c>
      <c r="C527" t="s">
        <v>789</v>
      </c>
      <c r="D527" s="1">
        <v>42988.84375</v>
      </c>
      <c r="E527" t="s">
        <v>761</v>
      </c>
      <c r="F527" t="s">
        <v>515</v>
      </c>
      <c r="G527">
        <v>18</v>
      </c>
      <c r="H527">
        <v>35</v>
      </c>
      <c r="I527" t="s">
        <v>30</v>
      </c>
      <c r="J527">
        <v>2017</v>
      </c>
      <c r="K527">
        <v>9</v>
      </c>
      <c r="L527">
        <v>10</v>
      </c>
      <c r="M527">
        <v>20</v>
      </c>
      <c r="N527" s="7">
        <f t="shared" si="56"/>
        <v>53</v>
      </c>
      <c r="O527" s="7" t="str">
        <f t="shared" si="59"/>
        <v>Normal</v>
      </c>
      <c r="P527" s="7" t="str">
        <f t="shared" si="57"/>
        <v>No</v>
      </c>
      <c r="Q527" s="7" t="str">
        <f t="shared" si="58"/>
        <v>Standard</v>
      </c>
      <c r="R527" s="7" t="str">
        <f t="shared" si="60"/>
        <v>Evening</v>
      </c>
      <c r="S527" s="7" t="str">
        <f t="shared" si="61"/>
        <v>North America</v>
      </c>
      <c r="T527" s="30">
        <f t="shared" si="62"/>
        <v>1.9444444444444444</v>
      </c>
      <c r="U527" s="6"/>
      <c r="V527" s="6"/>
    </row>
    <row r="528" spans="1:22" x14ac:dyDescent="0.3">
      <c r="A528" t="s">
        <v>1421</v>
      </c>
      <c r="B528" t="s">
        <v>2122</v>
      </c>
      <c r="C528" t="s">
        <v>917</v>
      </c>
      <c r="D528" s="1">
        <v>44620.885416666664</v>
      </c>
      <c r="E528" t="s">
        <v>763</v>
      </c>
      <c r="F528" t="s">
        <v>516</v>
      </c>
      <c r="G528">
        <v>28</v>
      </c>
      <c r="H528">
        <v>55</v>
      </c>
      <c r="I528" t="s">
        <v>755</v>
      </c>
      <c r="J528">
        <v>2022</v>
      </c>
      <c r="K528">
        <v>2</v>
      </c>
      <c r="L528">
        <v>28</v>
      </c>
      <c r="M528">
        <v>21</v>
      </c>
      <c r="N528" s="7">
        <f t="shared" si="56"/>
        <v>83</v>
      </c>
      <c r="O528" s="7" t="str">
        <f t="shared" si="59"/>
        <v>Popular</v>
      </c>
      <c r="P528" s="7" t="str">
        <f t="shared" si="57"/>
        <v>Yes</v>
      </c>
      <c r="Q528" s="7" t="str">
        <f t="shared" si="58"/>
        <v>Wide Reach</v>
      </c>
      <c r="R528" s="7" t="str">
        <f t="shared" si="60"/>
        <v>Evening</v>
      </c>
      <c r="S528" s="7" t="str">
        <f t="shared" si="61"/>
        <v>South America</v>
      </c>
      <c r="T528" s="30">
        <f t="shared" si="62"/>
        <v>1.9642857142857142</v>
      </c>
      <c r="U528" s="6"/>
      <c r="V528" s="6"/>
    </row>
    <row r="529" spans="1:22" x14ac:dyDescent="0.3">
      <c r="A529" t="s">
        <v>1422</v>
      </c>
      <c r="B529" t="s">
        <v>2123</v>
      </c>
      <c r="C529" t="s">
        <v>918</v>
      </c>
      <c r="D529" s="1">
        <v>42505.8125</v>
      </c>
      <c r="E529" t="s">
        <v>762</v>
      </c>
      <c r="F529" t="s">
        <v>517</v>
      </c>
      <c r="G529">
        <v>25</v>
      </c>
      <c r="H529">
        <v>50</v>
      </c>
      <c r="I529" t="s">
        <v>756</v>
      </c>
      <c r="J529">
        <v>2016</v>
      </c>
      <c r="K529">
        <v>5</v>
      </c>
      <c r="L529">
        <v>15</v>
      </c>
      <c r="M529">
        <v>19</v>
      </c>
      <c r="N529" s="7">
        <f t="shared" si="56"/>
        <v>75</v>
      </c>
      <c r="O529" s="7" t="str">
        <f t="shared" si="59"/>
        <v>Popular</v>
      </c>
      <c r="P529" s="7" t="str">
        <f t="shared" si="57"/>
        <v>No</v>
      </c>
      <c r="Q529" s="7" t="str">
        <f t="shared" si="58"/>
        <v>Wide Reach</v>
      </c>
      <c r="R529" s="7" t="str">
        <f t="shared" si="60"/>
        <v>Evening</v>
      </c>
      <c r="S529" s="7" t="str">
        <f t="shared" si="61"/>
        <v>Europe</v>
      </c>
      <c r="T529" s="30">
        <f t="shared" si="62"/>
        <v>2</v>
      </c>
      <c r="U529" s="6"/>
      <c r="V529" s="6"/>
    </row>
    <row r="530" spans="1:22" x14ac:dyDescent="0.3">
      <c r="A530" t="s">
        <v>1423</v>
      </c>
      <c r="B530" t="s">
        <v>2124</v>
      </c>
      <c r="C530" t="s">
        <v>919</v>
      </c>
      <c r="D530" s="1">
        <v>43444.9375</v>
      </c>
      <c r="E530" t="s">
        <v>761</v>
      </c>
      <c r="F530" t="s">
        <v>518</v>
      </c>
      <c r="G530">
        <v>22</v>
      </c>
      <c r="H530">
        <v>45</v>
      </c>
      <c r="I530" t="s">
        <v>30</v>
      </c>
      <c r="J530">
        <v>2018</v>
      </c>
      <c r="K530">
        <v>12</v>
      </c>
      <c r="L530">
        <v>10</v>
      </c>
      <c r="M530">
        <v>22</v>
      </c>
      <c r="N530" s="7">
        <f t="shared" si="56"/>
        <v>67</v>
      </c>
      <c r="O530" s="7" t="str">
        <f t="shared" si="59"/>
        <v>Popular</v>
      </c>
      <c r="P530" s="7" t="str">
        <f t="shared" si="57"/>
        <v>No</v>
      </c>
      <c r="Q530" s="7" t="str">
        <f t="shared" si="58"/>
        <v>Wide Reach</v>
      </c>
      <c r="R530" s="7" t="str">
        <f t="shared" si="60"/>
        <v>Evening</v>
      </c>
      <c r="S530" s="7" t="str">
        <f t="shared" si="61"/>
        <v>North America</v>
      </c>
      <c r="T530" s="30">
        <f t="shared" si="62"/>
        <v>2.0454545454545454</v>
      </c>
      <c r="U530" s="6"/>
      <c r="V530" s="6"/>
    </row>
    <row r="531" spans="1:22" x14ac:dyDescent="0.3">
      <c r="A531" t="s">
        <v>1424</v>
      </c>
      <c r="B531" t="s">
        <v>2125</v>
      </c>
      <c r="C531" t="s">
        <v>792</v>
      </c>
      <c r="D531" s="1">
        <v>44948.833333333336</v>
      </c>
      <c r="E531" t="s">
        <v>763</v>
      </c>
      <c r="F531" t="s">
        <v>519</v>
      </c>
      <c r="G531">
        <v>35</v>
      </c>
      <c r="H531">
        <v>70</v>
      </c>
      <c r="I531" t="s">
        <v>30</v>
      </c>
      <c r="J531">
        <v>2023</v>
      </c>
      <c r="K531">
        <v>1</v>
      </c>
      <c r="L531">
        <v>22</v>
      </c>
      <c r="M531">
        <v>20</v>
      </c>
      <c r="N531" s="7">
        <f t="shared" si="56"/>
        <v>105</v>
      </c>
      <c r="O531" s="7" t="str">
        <f t="shared" si="59"/>
        <v>Popular</v>
      </c>
      <c r="P531" s="7" t="str">
        <f t="shared" si="57"/>
        <v>Yes</v>
      </c>
      <c r="Q531" s="7" t="str">
        <f t="shared" si="58"/>
        <v>Wide Reach</v>
      </c>
      <c r="R531" s="7" t="str">
        <f t="shared" si="60"/>
        <v>Evening</v>
      </c>
      <c r="S531" s="7" t="str">
        <f t="shared" si="61"/>
        <v>North America</v>
      </c>
      <c r="T531" s="30">
        <f t="shared" si="62"/>
        <v>2</v>
      </c>
      <c r="U531" s="6"/>
      <c r="V531" s="6"/>
    </row>
    <row r="532" spans="1:22" x14ac:dyDescent="0.3">
      <c r="A532" t="s">
        <v>1425</v>
      </c>
      <c r="B532" t="s">
        <v>2126</v>
      </c>
      <c r="C532" t="s">
        <v>920</v>
      </c>
      <c r="D532" s="1">
        <v>43895.78125</v>
      </c>
      <c r="E532" t="s">
        <v>762</v>
      </c>
      <c r="F532" t="s">
        <v>520</v>
      </c>
      <c r="G532">
        <v>30</v>
      </c>
      <c r="H532">
        <v>60</v>
      </c>
      <c r="I532" t="s">
        <v>757</v>
      </c>
      <c r="J532">
        <v>2020</v>
      </c>
      <c r="K532">
        <v>3</v>
      </c>
      <c r="L532">
        <v>5</v>
      </c>
      <c r="M532">
        <v>18</v>
      </c>
      <c r="N532" s="7">
        <f t="shared" si="56"/>
        <v>90</v>
      </c>
      <c r="O532" s="7" t="str">
        <f t="shared" si="59"/>
        <v>Popular</v>
      </c>
      <c r="P532" s="7" t="str">
        <f t="shared" si="57"/>
        <v>Yes</v>
      </c>
      <c r="Q532" s="7" t="str">
        <f t="shared" si="58"/>
        <v>Wide Reach</v>
      </c>
      <c r="R532" s="7" t="str">
        <f t="shared" si="60"/>
        <v>Evening</v>
      </c>
      <c r="S532" s="7" t="str">
        <f t="shared" si="61"/>
        <v>North America</v>
      </c>
      <c r="T532" s="30">
        <f t="shared" si="62"/>
        <v>2</v>
      </c>
      <c r="U532" s="6"/>
      <c r="V532" s="6"/>
    </row>
    <row r="533" spans="1:22" x14ac:dyDescent="0.3">
      <c r="A533" t="s">
        <v>1426</v>
      </c>
      <c r="B533" t="s">
        <v>2127</v>
      </c>
      <c r="C533" t="s">
        <v>787</v>
      </c>
      <c r="D533" s="1">
        <v>43385.833333333336</v>
      </c>
      <c r="E533" t="s">
        <v>761</v>
      </c>
      <c r="F533" t="s">
        <v>521</v>
      </c>
      <c r="G533">
        <v>40</v>
      </c>
      <c r="H533">
        <v>80</v>
      </c>
      <c r="I533" t="s">
        <v>30</v>
      </c>
      <c r="J533">
        <v>2018</v>
      </c>
      <c r="K533">
        <v>10</v>
      </c>
      <c r="L533">
        <v>12</v>
      </c>
      <c r="M533">
        <v>20</v>
      </c>
      <c r="N533" s="7">
        <f t="shared" si="56"/>
        <v>120</v>
      </c>
      <c r="O533" s="7" t="str">
        <f t="shared" si="59"/>
        <v>Popular</v>
      </c>
      <c r="P533" s="7" t="str">
        <f t="shared" si="57"/>
        <v>Yes</v>
      </c>
      <c r="Q533" s="7" t="str">
        <f t="shared" si="58"/>
        <v>Wide Reach</v>
      </c>
      <c r="R533" s="7" t="str">
        <f t="shared" si="60"/>
        <v>Evening</v>
      </c>
      <c r="S533" s="7" t="str">
        <f t="shared" si="61"/>
        <v>North America</v>
      </c>
      <c r="T533" s="30">
        <f t="shared" si="62"/>
        <v>2</v>
      </c>
      <c r="U533" s="6"/>
      <c r="V533" s="6"/>
    </row>
    <row r="534" spans="1:22" x14ac:dyDescent="0.3">
      <c r="A534" t="s">
        <v>1427</v>
      </c>
      <c r="B534" t="s">
        <v>2128</v>
      </c>
      <c r="C534" t="s">
        <v>820</v>
      </c>
      <c r="D534" s="1">
        <v>43641.927083333336</v>
      </c>
      <c r="E534" t="s">
        <v>762</v>
      </c>
      <c r="F534" t="s">
        <v>522</v>
      </c>
      <c r="G534">
        <v>35</v>
      </c>
      <c r="H534">
        <v>70</v>
      </c>
      <c r="I534" t="s">
        <v>722</v>
      </c>
      <c r="J534">
        <v>2019</v>
      </c>
      <c r="K534">
        <v>6</v>
      </c>
      <c r="L534">
        <v>25</v>
      </c>
      <c r="M534">
        <v>22</v>
      </c>
      <c r="N534" s="7">
        <f t="shared" si="56"/>
        <v>105</v>
      </c>
      <c r="O534" s="7" t="str">
        <f t="shared" si="59"/>
        <v>Popular</v>
      </c>
      <c r="P534" s="7" t="str">
        <f t="shared" si="57"/>
        <v>Yes</v>
      </c>
      <c r="Q534" s="7" t="str">
        <f t="shared" si="58"/>
        <v>Wide Reach</v>
      </c>
      <c r="R534" s="7" t="str">
        <f t="shared" si="60"/>
        <v>Evening</v>
      </c>
      <c r="S534" s="7" t="str">
        <f t="shared" si="61"/>
        <v>Europe</v>
      </c>
      <c r="T534" s="30">
        <f t="shared" si="62"/>
        <v>2</v>
      </c>
      <c r="U534" s="6"/>
      <c r="V534" s="6"/>
    </row>
    <row r="535" spans="1:22" x14ac:dyDescent="0.3">
      <c r="A535" t="s">
        <v>1428</v>
      </c>
      <c r="B535" t="s">
        <v>2129</v>
      </c>
      <c r="C535" t="s">
        <v>12</v>
      </c>
      <c r="D535" s="1">
        <v>44020.8125</v>
      </c>
      <c r="E535" t="s">
        <v>763</v>
      </c>
      <c r="F535" t="s">
        <v>523</v>
      </c>
      <c r="G535">
        <v>30</v>
      </c>
      <c r="H535">
        <v>60</v>
      </c>
      <c r="I535" t="s">
        <v>720</v>
      </c>
      <c r="J535">
        <v>2020</v>
      </c>
      <c r="K535">
        <v>7</v>
      </c>
      <c r="L535">
        <v>8</v>
      </c>
      <c r="M535">
        <v>19</v>
      </c>
      <c r="N535" s="7">
        <f t="shared" si="56"/>
        <v>90</v>
      </c>
      <c r="O535" s="7" t="str">
        <f t="shared" si="59"/>
        <v>Popular</v>
      </c>
      <c r="P535" s="7" t="str">
        <f t="shared" si="57"/>
        <v>Yes</v>
      </c>
      <c r="Q535" s="7" t="str">
        <f t="shared" si="58"/>
        <v>Wide Reach</v>
      </c>
      <c r="R535" s="7" t="str">
        <f t="shared" si="60"/>
        <v>Evening</v>
      </c>
      <c r="S535" s="7" t="str">
        <f t="shared" si="61"/>
        <v>North America</v>
      </c>
      <c r="T535" s="30">
        <f t="shared" si="62"/>
        <v>2</v>
      </c>
      <c r="U535" s="6"/>
      <c r="V535" s="6"/>
    </row>
    <row r="536" spans="1:22" x14ac:dyDescent="0.3">
      <c r="A536" t="s">
        <v>1429</v>
      </c>
      <c r="B536" t="s">
        <v>2130</v>
      </c>
      <c r="C536" t="s">
        <v>789</v>
      </c>
      <c r="D536" s="1">
        <v>42996.90625</v>
      </c>
      <c r="E536" t="s">
        <v>761</v>
      </c>
      <c r="F536" t="s">
        <v>524</v>
      </c>
      <c r="G536">
        <v>22</v>
      </c>
      <c r="H536">
        <v>45</v>
      </c>
      <c r="I536" t="s">
        <v>731</v>
      </c>
      <c r="J536">
        <v>2017</v>
      </c>
      <c r="K536">
        <v>9</v>
      </c>
      <c r="L536">
        <v>18</v>
      </c>
      <c r="M536">
        <v>21</v>
      </c>
      <c r="N536" s="7">
        <f t="shared" si="56"/>
        <v>67</v>
      </c>
      <c r="O536" s="7" t="str">
        <f t="shared" si="59"/>
        <v>Popular</v>
      </c>
      <c r="P536" s="7" t="str">
        <f t="shared" si="57"/>
        <v>No</v>
      </c>
      <c r="Q536" s="7" t="str">
        <f t="shared" si="58"/>
        <v>Wide Reach</v>
      </c>
      <c r="R536" s="7" t="str">
        <f t="shared" si="60"/>
        <v>Evening</v>
      </c>
      <c r="S536" s="7" t="str">
        <f t="shared" si="61"/>
        <v>Oceania</v>
      </c>
      <c r="T536" s="30">
        <f t="shared" si="62"/>
        <v>2.0454545454545454</v>
      </c>
      <c r="U536" s="6"/>
      <c r="V536" s="6"/>
    </row>
    <row r="537" spans="1:22" x14ac:dyDescent="0.3">
      <c r="A537" t="s">
        <v>1430</v>
      </c>
      <c r="B537" t="s">
        <v>2131</v>
      </c>
      <c r="C537" t="s">
        <v>921</v>
      </c>
      <c r="D537" s="1">
        <v>44211.75</v>
      </c>
      <c r="E537" t="s">
        <v>762</v>
      </c>
      <c r="F537" t="s">
        <v>525</v>
      </c>
      <c r="G537">
        <v>28</v>
      </c>
      <c r="H537">
        <v>55</v>
      </c>
      <c r="I537" t="s">
        <v>732</v>
      </c>
      <c r="J537">
        <v>2021</v>
      </c>
      <c r="K537">
        <v>1</v>
      </c>
      <c r="L537">
        <v>15</v>
      </c>
      <c r="M537">
        <v>18</v>
      </c>
      <c r="N537" s="7">
        <f t="shared" si="56"/>
        <v>83</v>
      </c>
      <c r="O537" s="7" t="str">
        <f t="shared" si="59"/>
        <v>Popular</v>
      </c>
      <c r="P537" s="7" t="str">
        <f t="shared" si="57"/>
        <v>Yes</v>
      </c>
      <c r="Q537" s="7" t="str">
        <f t="shared" si="58"/>
        <v>Wide Reach</v>
      </c>
      <c r="R537" s="7" t="str">
        <f t="shared" si="60"/>
        <v>Evening</v>
      </c>
      <c r="S537" s="7" t="str">
        <f t="shared" si="61"/>
        <v>Asia</v>
      </c>
      <c r="T537" s="30">
        <f t="shared" si="62"/>
        <v>1.9642857142857142</v>
      </c>
      <c r="U537" s="6"/>
      <c r="V537" s="6"/>
    </row>
    <row r="538" spans="1:22" x14ac:dyDescent="0.3">
      <c r="A538" t="s">
        <v>1431</v>
      </c>
      <c r="B538" t="s">
        <v>2132</v>
      </c>
      <c r="C538" t="s">
        <v>795</v>
      </c>
      <c r="D538" s="1">
        <v>42428.854166666664</v>
      </c>
      <c r="E538" t="s">
        <v>763</v>
      </c>
      <c r="F538" t="s">
        <v>526</v>
      </c>
      <c r="G538">
        <v>18</v>
      </c>
      <c r="H538">
        <v>35</v>
      </c>
      <c r="I538" t="s">
        <v>30</v>
      </c>
      <c r="J538">
        <v>2016</v>
      </c>
      <c r="K538">
        <v>2</v>
      </c>
      <c r="L538">
        <v>28</v>
      </c>
      <c r="M538">
        <v>20</v>
      </c>
      <c r="N538" s="7">
        <f t="shared" si="56"/>
        <v>53</v>
      </c>
      <c r="O538" s="7" t="str">
        <f t="shared" si="59"/>
        <v>Normal</v>
      </c>
      <c r="P538" s="7" t="str">
        <f t="shared" si="57"/>
        <v>No</v>
      </c>
      <c r="Q538" s="7" t="str">
        <f t="shared" si="58"/>
        <v>Standard</v>
      </c>
      <c r="R538" s="7" t="str">
        <f t="shared" si="60"/>
        <v>Evening</v>
      </c>
      <c r="S538" s="7" t="str">
        <f t="shared" si="61"/>
        <v>North America</v>
      </c>
      <c r="T538" s="30">
        <f t="shared" si="62"/>
        <v>1.9444444444444444</v>
      </c>
      <c r="U538" s="6"/>
      <c r="V538" s="6"/>
    </row>
    <row r="539" spans="1:22" x14ac:dyDescent="0.3">
      <c r="A539" t="s">
        <v>1432</v>
      </c>
      <c r="B539" t="s">
        <v>2133</v>
      </c>
      <c r="C539" t="s">
        <v>846</v>
      </c>
      <c r="D539" s="1">
        <v>44671.729166666664</v>
      </c>
      <c r="E539" t="s">
        <v>761</v>
      </c>
      <c r="F539" t="s">
        <v>527</v>
      </c>
      <c r="G539">
        <v>22</v>
      </c>
      <c r="H539">
        <v>45</v>
      </c>
      <c r="I539" t="s">
        <v>733</v>
      </c>
      <c r="J539">
        <v>2022</v>
      </c>
      <c r="K539">
        <v>4</v>
      </c>
      <c r="L539">
        <v>20</v>
      </c>
      <c r="M539">
        <v>17</v>
      </c>
      <c r="N539" s="7">
        <f t="shared" si="56"/>
        <v>67</v>
      </c>
      <c r="O539" s="7" t="str">
        <f t="shared" si="59"/>
        <v>Popular</v>
      </c>
      <c r="P539" s="7" t="str">
        <f t="shared" si="57"/>
        <v>No</v>
      </c>
      <c r="Q539" s="7" t="str">
        <f t="shared" si="58"/>
        <v>Wide Reach</v>
      </c>
      <c r="R539" s="7" t="str">
        <f t="shared" si="60"/>
        <v>Afternoon</v>
      </c>
      <c r="S539" s="7" t="str">
        <f t="shared" si="61"/>
        <v>Europe</v>
      </c>
      <c r="T539" s="30">
        <f t="shared" si="62"/>
        <v>2.0454545454545454</v>
      </c>
      <c r="U539" s="6"/>
      <c r="V539" s="6"/>
    </row>
    <row r="540" spans="1:22" x14ac:dyDescent="0.3">
      <c r="A540" t="s">
        <v>1433</v>
      </c>
      <c r="B540" t="s">
        <v>2134</v>
      </c>
      <c r="C540" t="s">
        <v>848</v>
      </c>
      <c r="D540" s="1">
        <v>43774.885416666664</v>
      </c>
      <c r="E540" t="s">
        <v>762</v>
      </c>
      <c r="F540" t="s">
        <v>528</v>
      </c>
      <c r="G540">
        <v>28</v>
      </c>
      <c r="H540">
        <v>55</v>
      </c>
      <c r="I540" t="s">
        <v>737</v>
      </c>
      <c r="J540">
        <v>2019</v>
      </c>
      <c r="K540">
        <v>11</v>
      </c>
      <c r="L540">
        <v>5</v>
      </c>
      <c r="M540">
        <v>21</v>
      </c>
      <c r="N540" s="7">
        <f t="shared" si="56"/>
        <v>83</v>
      </c>
      <c r="O540" s="7" t="str">
        <f t="shared" si="59"/>
        <v>Popular</v>
      </c>
      <c r="P540" s="7" t="str">
        <f t="shared" si="57"/>
        <v>Yes</v>
      </c>
      <c r="Q540" s="7" t="str">
        <f t="shared" si="58"/>
        <v>Wide Reach</v>
      </c>
      <c r="R540" s="7" t="str">
        <f t="shared" si="60"/>
        <v>Evening</v>
      </c>
      <c r="S540" s="7" t="str">
        <f t="shared" si="61"/>
        <v>Europe</v>
      </c>
      <c r="T540" s="30">
        <f t="shared" si="62"/>
        <v>1.9642857142857142</v>
      </c>
      <c r="U540" s="6"/>
      <c r="V540" s="6"/>
    </row>
    <row r="541" spans="1:22" x14ac:dyDescent="0.3">
      <c r="A541" t="s">
        <v>1434</v>
      </c>
      <c r="B541" t="s">
        <v>2135</v>
      </c>
      <c r="C541" t="s">
        <v>922</v>
      </c>
      <c r="D541" s="1">
        <v>42197.916666666664</v>
      </c>
      <c r="E541" t="s">
        <v>763</v>
      </c>
      <c r="F541" t="s">
        <v>529</v>
      </c>
      <c r="G541">
        <v>35</v>
      </c>
      <c r="H541">
        <v>70</v>
      </c>
      <c r="I541" t="s">
        <v>735</v>
      </c>
      <c r="J541">
        <v>2015</v>
      </c>
      <c r="K541">
        <v>7</v>
      </c>
      <c r="L541">
        <v>12</v>
      </c>
      <c r="M541">
        <v>22</v>
      </c>
      <c r="N541" s="7">
        <f t="shared" si="56"/>
        <v>105</v>
      </c>
      <c r="O541" s="7" t="str">
        <f t="shared" si="59"/>
        <v>Popular</v>
      </c>
      <c r="P541" s="7" t="str">
        <f t="shared" si="57"/>
        <v>Yes</v>
      </c>
      <c r="Q541" s="7" t="str">
        <f t="shared" si="58"/>
        <v>Wide Reach</v>
      </c>
      <c r="R541" s="7" t="str">
        <f t="shared" si="60"/>
        <v>Evening</v>
      </c>
      <c r="S541" s="7" t="str">
        <f t="shared" si="61"/>
        <v>Asia</v>
      </c>
      <c r="T541" s="30">
        <f t="shared" si="62"/>
        <v>2</v>
      </c>
      <c r="U541" s="6"/>
      <c r="V541" s="6"/>
    </row>
    <row r="542" spans="1:22" x14ac:dyDescent="0.3">
      <c r="A542" t="s">
        <v>1435</v>
      </c>
      <c r="B542" t="s">
        <v>2136</v>
      </c>
      <c r="C542" t="s">
        <v>850</v>
      </c>
      <c r="D542" s="1">
        <v>44084.822916666664</v>
      </c>
      <c r="E542" t="s">
        <v>761</v>
      </c>
      <c r="F542" t="s">
        <v>530</v>
      </c>
      <c r="G542">
        <v>22</v>
      </c>
      <c r="H542">
        <v>45</v>
      </c>
      <c r="I542" t="s">
        <v>734</v>
      </c>
      <c r="J542">
        <v>2020</v>
      </c>
      <c r="K542">
        <v>9</v>
      </c>
      <c r="L542">
        <v>10</v>
      </c>
      <c r="M542">
        <v>19</v>
      </c>
      <c r="N542" s="7">
        <f t="shared" si="56"/>
        <v>67</v>
      </c>
      <c r="O542" s="7" t="str">
        <f t="shared" si="59"/>
        <v>Popular</v>
      </c>
      <c r="P542" s="7" t="str">
        <f t="shared" si="57"/>
        <v>No</v>
      </c>
      <c r="Q542" s="7" t="str">
        <f t="shared" si="58"/>
        <v>Wide Reach</v>
      </c>
      <c r="R542" s="7" t="str">
        <f t="shared" si="60"/>
        <v>Evening</v>
      </c>
      <c r="S542" s="7" t="str">
        <f t="shared" si="61"/>
        <v>South America</v>
      </c>
      <c r="T542" s="30">
        <f t="shared" si="62"/>
        <v>2.0454545454545454</v>
      </c>
      <c r="U542" s="6"/>
      <c r="V542" s="6"/>
    </row>
    <row r="543" spans="1:22" x14ac:dyDescent="0.3">
      <c r="A543" t="s">
        <v>1436</v>
      </c>
      <c r="B543" t="s">
        <v>2137</v>
      </c>
      <c r="C543" t="s">
        <v>772</v>
      </c>
      <c r="D543" s="1">
        <v>43296.895833333336</v>
      </c>
      <c r="E543" t="s">
        <v>762</v>
      </c>
      <c r="F543" t="s">
        <v>531</v>
      </c>
      <c r="G543">
        <v>40</v>
      </c>
      <c r="H543">
        <v>80</v>
      </c>
      <c r="I543" t="s">
        <v>734</v>
      </c>
      <c r="J543">
        <v>2018</v>
      </c>
      <c r="K543">
        <v>7</v>
      </c>
      <c r="L543">
        <v>15</v>
      </c>
      <c r="M543">
        <v>21</v>
      </c>
      <c r="N543" s="7">
        <f t="shared" si="56"/>
        <v>120</v>
      </c>
      <c r="O543" s="7" t="str">
        <f t="shared" si="59"/>
        <v>Popular</v>
      </c>
      <c r="P543" s="7" t="str">
        <f t="shared" si="57"/>
        <v>Yes</v>
      </c>
      <c r="Q543" s="7" t="str">
        <f t="shared" si="58"/>
        <v>Wide Reach</v>
      </c>
      <c r="R543" s="7" t="str">
        <f t="shared" si="60"/>
        <v>Evening</v>
      </c>
      <c r="S543" s="7" t="str">
        <f t="shared" si="61"/>
        <v>South America</v>
      </c>
      <c r="T543" s="30">
        <f t="shared" si="62"/>
        <v>2</v>
      </c>
      <c r="U543" s="6"/>
      <c r="V543" s="6"/>
    </row>
    <row r="544" spans="1:22" x14ac:dyDescent="0.3">
      <c r="A544" t="s">
        <v>1437</v>
      </c>
      <c r="B544" t="s">
        <v>2138</v>
      </c>
      <c r="C544" t="s">
        <v>846</v>
      </c>
      <c r="D544" s="1">
        <v>44051.822916666664</v>
      </c>
      <c r="E544" t="s">
        <v>761</v>
      </c>
      <c r="F544" t="s">
        <v>532</v>
      </c>
      <c r="G544">
        <v>35</v>
      </c>
      <c r="H544">
        <v>70</v>
      </c>
      <c r="I544" t="s">
        <v>30</v>
      </c>
      <c r="J544">
        <v>2020</v>
      </c>
      <c r="K544">
        <v>8</v>
      </c>
      <c r="L544">
        <v>8</v>
      </c>
      <c r="M544">
        <v>19</v>
      </c>
      <c r="N544" s="7">
        <f t="shared" si="56"/>
        <v>105</v>
      </c>
      <c r="O544" s="7" t="str">
        <f t="shared" si="59"/>
        <v>Popular</v>
      </c>
      <c r="P544" s="7" t="str">
        <f t="shared" si="57"/>
        <v>Yes</v>
      </c>
      <c r="Q544" s="7" t="str">
        <f t="shared" si="58"/>
        <v>Wide Reach</v>
      </c>
      <c r="R544" s="7" t="str">
        <f t="shared" si="60"/>
        <v>Evening</v>
      </c>
      <c r="S544" s="7" t="str">
        <f t="shared" si="61"/>
        <v>North America</v>
      </c>
      <c r="T544" s="30">
        <f t="shared" si="62"/>
        <v>2</v>
      </c>
      <c r="U544" s="6"/>
      <c r="V544" s="6"/>
    </row>
    <row r="545" spans="1:22" x14ac:dyDescent="0.3">
      <c r="A545" t="s">
        <v>1438</v>
      </c>
      <c r="B545" t="s">
        <v>2139</v>
      </c>
      <c r="C545" t="s">
        <v>787</v>
      </c>
      <c r="D545" s="1">
        <v>43641.927083333336</v>
      </c>
      <c r="E545" t="s">
        <v>763</v>
      </c>
      <c r="F545" t="s">
        <v>533</v>
      </c>
      <c r="G545">
        <v>30</v>
      </c>
      <c r="H545">
        <v>60</v>
      </c>
      <c r="I545" t="s">
        <v>732</v>
      </c>
      <c r="J545">
        <v>2019</v>
      </c>
      <c r="K545">
        <v>6</v>
      </c>
      <c r="L545">
        <v>25</v>
      </c>
      <c r="M545">
        <v>22</v>
      </c>
      <c r="N545" s="7">
        <f t="shared" si="56"/>
        <v>90</v>
      </c>
      <c r="O545" s="7" t="str">
        <f t="shared" si="59"/>
        <v>Popular</v>
      </c>
      <c r="P545" s="7" t="str">
        <f t="shared" si="57"/>
        <v>Yes</v>
      </c>
      <c r="Q545" s="7" t="str">
        <f t="shared" si="58"/>
        <v>Wide Reach</v>
      </c>
      <c r="R545" s="7" t="str">
        <f t="shared" si="60"/>
        <v>Evening</v>
      </c>
      <c r="S545" s="7" t="str">
        <f t="shared" si="61"/>
        <v>Asia</v>
      </c>
      <c r="T545" s="30">
        <f t="shared" si="62"/>
        <v>2</v>
      </c>
      <c r="U545" s="6"/>
      <c r="V545" s="6"/>
    </row>
    <row r="546" spans="1:22" x14ac:dyDescent="0.3">
      <c r="A546" t="s">
        <v>1439</v>
      </c>
      <c r="B546" t="s">
        <v>2140</v>
      </c>
      <c r="C546" t="s">
        <v>776</v>
      </c>
      <c r="D546" s="1">
        <v>44507.729166666664</v>
      </c>
      <c r="E546" t="s">
        <v>762</v>
      </c>
      <c r="F546" t="s">
        <v>534</v>
      </c>
      <c r="G546">
        <v>22</v>
      </c>
      <c r="H546">
        <v>45</v>
      </c>
      <c r="I546" t="s">
        <v>758</v>
      </c>
      <c r="J546">
        <v>2021</v>
      </c>
      <c r="K546">
        <v>11</v>
      </c>
      <c r="L546">
        <v>7</v>
      </c>
      <c r="M546">
        <v>17</v>
      </c>
      <c r="N546" s="7">
        <f t="shared" si="56"/>
        <v>67</v>
      </c>
      <c r="O546" s="7" t="str">
        <f t="shared" si="59"/>
        <v>Popular</v>
      </c>
      <c r="P546" s="7" t="str">
        <f t="shared" si="57"/>
        <v>No</v>
      </c>
      <c r="Q546" s="7" t="str">
        <f t="shared" si="58"/>
        <v>Wide Reach</v>
      </c>
      <c r="R546" s="7" t="str">
        <f t="shared" si="60"/>
        <v>Afternoon</v>
      </c>
      <c r="S546" s="7" t="str">
        <f t="shared" si="61"/>
        <v>Africa</v>
      </c>
      <c r="T546" s="30">
        <f t="shared" si="62"/>
        <v>2.0454545454545454</v>
      </c>
      <c r="U546" s="6"/>
      <c r="V546" s="6"/>
    </row>
    <row r="547" spans="1:22" x14ac:dyDescent="0.3">
      <c r="A547" t="s">
        <v>1440</v>
      </c>
      <c r="B547" t="s">
        <v>2141</v>
      </c>
      <c r="C547" t="s">
        <v>908</v>
      </c>
      <c r="D547" s="1">
        <v>42988.84375</v>
      </c>
      <c r="E547" t="s">
        <v>761</v>
      </c>
      <c r="F547" t="s">
        <v>535</v>
      </c>
      <c r="G547">
        <v>28</v>
      </c>
      <c r="H547">
        <v>55</v>
      </c>
      <c r="I547" t="s">
        <v>722</v>
      </c>
      <c r="J547">
        <v>2017</v>
      </c>
      <c r="K547">
        <v>9</v>
      </c>
      <c r="L547">
        <v>10</v>
      </c>
      <c r="M547">
        <v>20</v>
      </c>
      <c r="N547" s="7">
        <f t="shared" si="56"/>
        <v>83</v>
      </c>
      <c r="O547" s="7" t="str">
        <f t="shared" si="59"/>
        <v>Popular</v>
      </c>
      <c r="P547" s="7" t="str">
        <f t="shared" si="57"/>
        <v>Yes</v>
      </c>
      <c r="Q547" s="7" t="str">
        <f t="shared" si="58"/>
        <v>Wide Reach</v>
      </c>
      <c r="R547" s="7" t="str">
        <f t="shared" si="60"/>
        <v>Evening</v>
      </c>
      <c r="S547" s="7" t="str">
        <f t="shared" si="61"/>
        <v>Europe</v>
      </c>
      <c r="T547" s="30">
        <f t="shared" si="62"/>
        <v>1.9642857142857142</v>
      </c>
      <c r="U547" s="6"/>
      <c r="V547" s="6"/>
    </row>
    <row r="548" spans="1:22" x14ac:dyDescent="0.3">
      <c r="A548" t="s">
        <v>1441</v>
      </c>
      <c r="B548" t="s">
        <v>2142</v>
      </c>
      <c r="C548" t="s">
        <v>923</v>
      </c>
      <c r="D548" s="1">
        <v>44732.875</v>
      </c>
      <c r="E548" t="s">
        <v>763</v>
      </c>
      <c r="F548" t="s">
        <v>536</v>
      </c>
      <c r="G548">
        <v>18</v>
      </c>
      <c r="H548">
        <v>35</v>
      </c>
      <c r="I548" t="s">
        <v>30</v>
      </c>
      <c r="J548">
        <v>2022</v>
      </c>
      <c r="K548">
        <v>6</v>
      </c>
      <c r="L548">
        <v>20</v>
      </c>
      <c r="M548">
        <v>21</v>
      </c>
      <c r="N548" s="7">
        <f t="shared" si="56"/>
        <v>53</v>
      </c>
      <c r="O548" s="7" t="str">
        <f t="shared" si="59"/>
        <v>Normal</v>
      </c>
      <c r="P548" s="7" t="str">
        <f t="shared" si="57"/>
        <v>No</v>
      </c>
      <c r="Q548" s="7" t="str">
        <f t="shared" si="58"/>
        <v>Standard</v>
      </c>
      <c r="R548" s="7" t="str">
        <f t="shared" si="60"/>
        <v>Evening</v>
      </c>
      <c r="S548" s="7" t="str">
        <f t="shared" si="61"/>
        <v>North America</v>
      </c>
      <c r="T548" s="30">
        <f t="shared" si="62"/>
        <v>1.9444444444444444</v>
      </c>
      <c r="U548" s="6"/>
      <c r="V548" s="6"/>
    </row>
    <row r="549" spans="1:22" x14ac:dyDescent="0.3">
      <c r="A549" t="s">
        <v>1442</v>
      </c>
      <c r="B549" t="s">
        <v>2143</v>
      </c>
      <c r="C549" t="s">
        <v>778</v>
      </c>
      <c r="D549" s="1">
        <v>42470.770833333336</v>
      </c>
      <c r="E549" t="s">
        <v>762</v>
      </c>
      <c r="F549" t="s">
        <v>537</v>
      </c>
      <c r="G549">
        <v>22</v>
      </c>
      <c r="H549">
        <v>45</v>
      </c>
      <c r="I549" t="s">
        <v>759</v>
      </c>
      <c r="J549">
        <v>2016</v>
      </c>
      <c r="K549">
        <v>4</v>
      </c>
      <c r="L549">
        <v>10</v>
      </c>
      <c r="M549">
        <v>18</v>
      </c>
      <c r="N549" s="7">
        <f t="shared" si="56"/>
        <v>67</v>
      </c>
      <c r="O549" s="7" t="str">
        <f t="shared" si="59"/>
        <v>Popular</v>
      </c>
      <c r="P549" s="7" t="str">
        <f t="shared" si="57"/>
        <v>No</v>
      </c>
      <c r="Q549" s="7" t="str">
        <f t="shared" si="58"/>
        <v>Wide Reach</v>
      </c>
      <c r="R549" s="7" t="str">
        <f t="shared" si="60"/>
        <v>Evening</v>
      </c>
      <c r="S549" s="7" t="str">
        <f t="shared" si="61"/>
        <v>Europe</v>
      </c>
      <c r="T549" s="30">
        <f t="shared" si="62"/>
        <v>2.0454545454545454</v>
      </c>
      <c r="U549" s="6"/>
      <c r="V549" s="6"/>
    </row>
    <row r="550" spans="1:22" x14ac:dyDescent="0.3">
      <c r="A550" t="s">
        <v>1443</v>
      </c>
      <c r="B550" t="s">
        <v>2144</v>
      </c>
      <c r="C550" t="s">
        <v>843</v>
      </c>
      <c r="D550" s="1">
        <v>43793.822916666664</v>
      </c>
      <c r="E550" t="s">
        <v>761</v>
      </c>
      <c r="F550" t="s">
        <v>538</v>
      </c>
      <c r="G550">
        <v>28</v>
      </c>
      <c r="H550">
        <v>55</v>
      </c>
      <c r="I550" t="s">
        <v>737</v>
      </c>
      <c r="J550">
        <v>2019</v>
      </c>
      <c r="K550">
        <v>11</v>
      </c>
      <c r="L550">
        <v>24</v>
      </c>
      <c r="M550">
        <v>19</v>
      </c>
      <c r="N550" s="7">
        <f t="shared" si="56"/>
        <v>83</v>
      </c>
      <c r="O550" s="7" t="str">
        <f t="shared" si="59"/>
        <v>Popular</v>
      </c>
      <c r="P550" s="7" t="str">
        <f t="shared" si="57"/>
        <v>Yes</v>
      </c>
      <c r="Q550" s="7" t="str">
        <f t="shared" si="58"/>
        <v>Wide Reach</v>
      </c>
      <c r="R550" s="7" t="str">
        <f t="shared" si="60"/>
        <v>Evening</v>
      </c>
      <c r="S550" s="7" t="str">
        <f t="shared" si="61"/>
        <v>Europe</v>
      </c>
      <c r="T550" s="30">
        <f t="shared" si="62"/>
        <v>1.9642857142857142</v>
      </c>
      <c r="U550" s="6"/>
      <c r="V550" s="6"/>
    </row>
    <row r="551" spans="1:22" x14ac:dyDescent="0.3">
      <c r="A551" t="s">
        <v>1444</v>
      </c>
      <c r="B551" t="s">
        <v>2145</v>
      </c>
      <c r="C551" t="s">
        <v>822</v>
      </c>
      <c r="D551" s="1">
        <v>42275.9375</v>
      </c>
      <c r="E551" t="s">
        <v>763</v>
      </c>
      <c r="F551" t="s">
        <v>539</v>
      </c>
      <c r="G551">
        <v>35</v>
      </c>
      <c r="H551">
        <v>70</v>
      </c>
      <c r="I551" t="s">
        <v>739</v>
      </c>
      <c r="J551">
        <v>2015</v>
      </c>
      <c r="K551">
        <v>9</v>
      </c>
      <c r="L551">
        <v>28</v>
      </c>
      <c r="M551">
        <v>22</v>
      </c>
      <c r="N551" s="7">
        <f t="shared" si="56"/>
        <v>105</v>
      </c>
      <c r="O551" s="7" t="str">
        <f t="shared" si="59"/>
        <v>Popular</v>
      </c>
      <c r="P551" s="7" t="str">
        <f t="shared" si="57"/>
        <v>Yes</v>
      </c>
      <c r="Q551" s="7" t="str">
        <f t="shared" si="58"/>
        <v>Wide Reach</v>
      </c>
      <c r="R551" s="7" t="str">
        <f t="shared" si="60"/>
        <v>Evening</v>
      </c>
      <c r="S551" s="7" t="str">
        <f t="shared" si="61"/>
        <v>Europe</v>
      </c>
      <c r="T551" s="30">
        <f t="shared" si="62"/>
        <v>2</v>
      </c>
      <c r="U551" s="6"/>
      <c r="V551" s="6"/>
    </row>
    <row r="552" spans="1:22" x14ac:dyDescent="0.3">
      <c r="A552" t="s">
        <v>1445</v>
      </c>
      <c r="B552" t="s">
        <v>2146</v>
      </c>
      <c r="C552" t="s">
        <v>924</v>
      </c>
      <c r="D552" s="1">
        <v>44177.833333333336</v>
      </c>
      <c r="E552" t="s">
        <v>762</v>
      </c>
      <c r="F552" t="s">
        <v>540</v>
      </c>
      <c r="G552">
        <v>22</v>
      </c>
      <c r="H552">
        <v>45</v>
      </c>
      <c r="I552" t="s">
        <v>720</v>
      </c>
      <c r="J552">
        <v>2020</v>
      </c>
      <c r="K552">
        <v>12</v>
      </c>
      <c r="L552">
        <v>12</v>
      </c>
      <c r="M552">
        <v>20</v>
      </c>
      <c r="N552" s="7">
        <f t="shared" si="56"/>
        <v>67</v>
      </c>
      <c r="O552" s="7" t="str">
        <f t="shared" si="59"/>
        <v>Popular</v>
      </c>
      <c r="P552" s="7" t="str">
        <f t="shared" si="57"/>
        <v>No</v>
      </c>
      <c r="Q552" s="7" t="str">
        <f t="shared" si="58"/>
        <v>Wide Reach</v>
      </c>
      <c r="R552" s="7" t="str">
        <f t="shared" si="60"/>
        <v>Evening</v>
      </c>
      <c r="S552" s="7" t="str">
        <f t="shared" si="61"/>
        <v>North America</v>
      </c>
      <c r="T552" s="30">
        <f t="shared" si="62"/>
        <v>2.0454545454545454</v>
      </c>
      <c r="U552" s="6"/>
      <c r="V552" s="6"/>
    </row>
    <row r="553" spans="1:22" x14ac:dyDescent="0.3">
      <c r="A553" t="s">
        <v>1446</v>
      </c>
      <c r="B553" t="s">
        <v>2147</v>
      </c>
      <c r="C553" t="s">
        <v>890</v>
      </c>
      <c r="D553" s="1">
        <v>43771.78125</v>
      </c>
      <c r="E553" t="s">
        <v>761</v>
      </c>
      <c r="F553" t="s">
        <v>541</v>
      </c>
      <c r="G553">
        <v>40</v>
      </c>
      <c r="H553">
        <v>80</v>
      </c>
      <c r="I553" t="s">
        <v>734</v>
      </c>
      <c r="J553">
        <v>2019</v>
      </c>
      <c r="K553">
        <v>11</v>
      </c>
      <c r="L553">
        <v>2</v>
      </c>
      <c r="M553">
        <v>18</v>
      </c>
      <c r="N553" s="7">
        <f t="shared" si="56"/>
        <v>120</v>
      </c>
      <c r="O553" s="7" t="str">
        <f t="shared" si="59"/>
        <v>Popular</v>
      </c>
      <c r="P553" s="7" t="str">
        <f t="shared" si="57"/>
        <v>Yes</v>
      </c>
      <c r="Q553" s="7" t="str">
        <f t="shared" si="58"/>
        <v>Wide Reach</v>
      </c>
      <c r="R553" s="7" t="str">
        <f t="shared" si="60"/>
        <v>Evening</v>
      </c>
      <c r="S553" s="7" t="str">
        <f t="shared" si="61"/>
        <v>South America</v>
      </c>
      <c r="T553" s="30">
        <f t="shared" si="62"/>
        <v>2</v>
      </c>
      <c r="U553" s="6"/>
      <c r="V553" s="6"/>
    </row>
    <row r="554" spans="1:22" x14ac:dyDescent="0.3">
      <c r="A554" t="s">
        <v>1447</v>
      </c>
      <c r="B554" t="s">
        <v>2148</v>
      </c>
      <c r="C554" t="s">
        <v>809</v>
      </c>
      <c r="D554" s="1">
        <v>43291.885416666664</v>
      </c>
      <c r="E554" t="s">
        <v>762</v>
      </c>
      <c r="F554" t="s">
        <v>542</v>
      </c>
      <c r="G554">
        <v>35</v>
      </c>
      <c r="H554">
        <v>70</v>
      </c>
      <c r="I554" t="s">
        <v>30</v>
      </c>
      <c r="J554">
        <v>2018</v>
      </c>
      <c r="K554">
        <v>7</v>
      </c>
      <c r="L554">
        <v>10</v>
      </c>
      <c r="M554">
        <v>21</v>
      </c>
      <c r="N554" s="7">
        <f t="shared" si="56"/>
        <v>105</v>
      </c>
      <c r="O554" s="7" t="str">
        <f t="shared" si="59"/>
        <v>Popular</v>
      </c>
      <c r="P554" s="7" t="str">
        <f t="shared" si="57"/>
        <v>Yes</v>
      </c>
      <c r="Q554" s="7" t="str">
        <f t="shared" si="58"/>
        <v>Wide Reach</v>
      </c>
      <c r="R554" s="7" t="str">
        <f t="shared" si="60"/>
        <v>Evening</v>
      </c>
      <c r="S554" s="7" t="str">
        <f t="shared" si="61"/>
        <v>North America</v>
      </c>
      <c r="T554" s="30">
        <f t="shared" si="62"/>
        <v>2</v>
      </c>
      <c r="U554" s="6"/>
      <c r="V554" s="6"/>
    </row>
    <row r="555" spans="1:22" x14ac:dyDescent="0.3">
      <c r="A555" t="s">
        <v>1448</v>
      </c>
      <c r="B555" t="s">
        <v>2149</v>
      </c>
      <c r="C555" t="s">
        <v>852</v>
      </c>
      <c r="D555" s="1">
        <v>44092.8125</v>
      </c>
      <c r="E555" t="s">
        <v>763</v>
      </c>
      <c r="F555" t="s">
        <v>543</v>
      </c>
      <c r="G555">
        <v>30</v>
      </c>
      <c r="H555">
        <v>60</v>
      </c>
      <c r="I555" t="s">
        <v>722</v>
      </c>
      <c r="J555">
        <v>2020</v>
      </c>
      <c r="K555">
        <v>9</v>
      </c>
      <c r="L555">
        <v>18</v>
      </c>
      <c r="M555">
        <v>19</v>
      </c>
      <c r="N555" s="7">
        <f t="shared" si="56"/>
        <v>90</v>
      </c>
      <c r="O555" s="7" t="str">
        <f t="shared" si="59"/>
        <v>Popular</v>
      </c>
      <c r="P555" s="7" t="str">
        <f t="shared" si="57"/>
        <v>Yes</v>
      </c>
      <c r="Q555" s="7" t="str">
        <f t="shared" si="58"/>
        <v>Wide Reach</v>
      </c>
      <c r="R555" s="7" t="str">
        <f t="shared" si="60"/>
        <v>Evening</v>
      </c>
      <c r="S555" s="7" t="str">
        <f t="shared" si="61"/>
        <v>Europe</v>
      </c>
      <c r="T555" s="30">
        <f t="shared" si="62"/>
        <v>2</v>
      </c>
      <c r="U555" s="6"/>
      <c r="V555" s="6"/>
    </row>
    <row r="556" spans="1:22" x14ac:dyDescent="0.3">
      <c r="A556" t="s">
        <v>1449</v>
      </c>
      <c r="B556" t="s">
        <v>2150</v>
      </c>
      <c r="C556" t="s">
        <v>925</v>
      </c>
      <c r="D556" s="1">
        <v>42870.916666666664</v>
      </c>
      <c r="E556" t="s">
        <v>761</v>
      </c>
      <c r="F556" t="s">
        <v>544</v>
      </c>
      <c r="G556">
        <v>22</v>
      </c>
      <c r="H556">
        <v>45</v>
      </c>
      <c r="I556" t="s">
        <v>733</v>
      </c>
      <c r="J556">
        <v>2017</v>
      </c>
      <c r="K556">
        <v>5</v>
      </c>
      <c r="L556">
        <v>15</v>
      </c>
      <c r="M556">
        <v>22</v>
      </c>
      <c r="N556" s="7">
        <f t="shared" si="56"/>
        <v>67</v>
      </c>
      <c r="O556" s="7" t="str">
        <f t="shared" si="59"/>
        <v>Popular</v>
      </c>
      <c r="P556" s="7" t="str">
        <f t="shared" si="57"/>
        <v>No</v>
      </c>
      <c r="Q556" s="7" t="str">
        <f t="shared" si="58"/>
        <v>Wide Reach</v>
      </c>
      <c r="R556" s="7" t="str">
        <f t="shared" si="60"/>
        <v>Evening</v>
      </c>
      <c r="S556" s="7" t="str">
        <f t="shared" si="61"/>
        <v>Europe</v>
      </c>
      <c r="T556" s="30">
        <f t="shared" si="62"/>
        <v>2.0454545454545454</v>
      </c>
      <c r="U556" s="6"/>
      <c r="V556" s="6"/>
    </row>
    <row r="557" spans="1:22" x14ac:dyDescent="0.3">
      <c r="A557" t="s">
        <v>1450</v>
      </c>
      <c r="B557" t="s">
        <v>2151</v>
      </c>
      <c r="C557" t="s">
        <v>926</v>
      </c>
      <c r="D557" s="1">
        <v>44291.84375</v>
      </c>
      <c r="E557" t="s">
        <v>762</v>
      </c>
      <c r="F557" t="s">
        <v>545</v>
      </c>
      <c r="G557">
        <v>28</v>
      </c>
      <c r="H557">
        <v>55</v>
      </c>
      <c r="I557" t="s">
        <v>735</v>
      </c>
      <c r="J557">
        <v>2021</v>
      </c>
      <c r="K557">
        <v>4</v>
      </c>
      <c r="L557">
        <v>5</v>
      </c>
      <c r="M557">
        <v>20</v>
      </c>
      <c r="N557" s="7">
        <f t="shared" si="56"/>
        <v>83</v>
      </c>
      <c r="O557" s="7" t="str">
        <f t="shared" si="59"/>
        <v>Popular</v>
      </c>
      <c r="P557" s="7" t="str">
        <f t="shared" si="57"/>
        <v>Yes</v>
      </c>
      <c r="Q557" s="7" t="str">
        <f t="shared" si="58"/>
        <v>Wide Reach</v>
      </c>
      <c r="R557" s="7" t="str">
        <f t="shared" si="60"/>
        <v>Evening</v>
      </c>
      <c r="S557" s="7" t="str">
        <f t="shared" si="61"/>
        <v>Asia</v>
      </c>
      <c r="T557" s="30">
        <f t="shared" si="62"/>
        <v>1.9642857142857142</v>
      </c>
      <c r="U557" s="6"/>
      <c r="V557" s="6"/>
    </row>
    <row r="558" spans="1:22" x14ac:dyDescent="0.3">
      <c r="A558" t="s">
        <v>1451</v>
      </c>
      <c r="B558" t="s">
        <v>2152</v>
      </c>
      <c r="C558" t="s">
        <v>927</v>
      </c>
      <c r="D558" s="1">
        <v>42602.770833333336</v>
      </c>
      <c r="E558" t="s">
        <v>763</v>
      </c>
      <c r="F558" t="s">
        <v>546</v>
      </c>
      <c r="G558">
        <v>18</v>
      </c>
      <c r="H558">
        <v>35</v>
      </c>
      <c r="I558" t="s">
        <v>30</v>
      </c>
      <c r="J558">
        <v>2016</v>
      </c>
      <c r="K558">
        <v>8</v>
      </c>
      <c r="L558">
        <v>20</v>
      </c>
      <c r="M558">
        <v>18</v>
      </c>
      <c r="N558" s="7">
        <f t="shared" si="56"/>
        <v>53</v>
      </c>
      <c r="O558" s="7" t="str">
        <f t="shared" si="59"/>
        <v>Normal</v>
      </c>
      <c r="P558" s="7" t="str">
        <f t="shared" si="57"/>
        <v>No</v>
      </c>
      <c r="Q558" s="7" t="str">
        <f t="shared" si="58"/>
        <v>Standard</v>
      </c>
      <c r="R558" s="7" t="str">
        <f t="shared" si="60"/>
        <v>Evening</v>
      </c>
      <c r="S558" s="7" t="str">
        <f t="shared" si="61"/>
        <v>North America</v>
      </c>
      <c r="T558" s="30">
        <f t="shared" si="62"/>
        <v>1.9444444444444444</v>
      </c>
      <c r="U558" s="6"/>
      <c r="V558" s="6"/>
    </row>
    <row r="559" spans="1:22" x14ac:dyDescent="0.3">
      <c r="A559" t="s">
        <v>1452</v>
      </c>
      <c r="B559" t="s">
        <v>2153</v>
      </c>
      <c r="C559" t="s">
        <v>928</v>
      </c>
      <c r="D559" s="1">
        <v>43508.822916666664</v>
      </c>
      <c r="E559" t="s">
        <v>761</v>
      </c>
      <c r="F559" t="s">
        <v>547</v>
      </c>
      <c r="G559">
        <v>22</v>
      </c>
      <c r="H559">
        <v>45</v>
      </c>
      <c r="I559" t="s">
        <v>720</v>
      </c>
      <c r="J559">
        <v>2019</v>
      </c>
      <c r="K559">
        <v>2</v>
      </c>
      <c r="L559">
        <v>12</v>
      </c>
      <c r="M559">
        <v>19</v>
      </c>
      <c r="N559" s="7">
        <f t="shared" si="56"/>
        <v>67</v>
      </c>
      <c r="O559" s="7" t="str">
        <f t="shared" si="59"/>
        <v>Popular</v>
      </c>
      <c r="P559" s="7" t="str">
        <f t="shared" si="57"/>
        <v>No</v>
      </c>
      <c r="Q559" s="7" t="str">
        <f t="shared" si="58"/>
        <v>Wide Reach</v>
      </c>
      <c r="R559" s="7" t="str">
        <f t="shared" si="60"/>
        <v>Evening</v>
      </c>
      <c r="S559" s="7" t="str">
        <f t="shared" si="61"/>
        <v>North America</v>
      </c>
      <c r="T559" s="30">
        <f t="shared" si="62"/>
        <v>2.0454545454545454</v>
      </c>
      <c r="U559" s="6"/>
      <c r="V559" s="6"/>
    </row>
    <row r="560" spans="1:22" x14ac:dyDescent="0.3">
      <c r="A560" t="s">
        <v>1453</v>
      </c>
      <c r="B560" t="s">
        <v>2154</v>
      </c>
      <c r="C560" t="s">
        <v>929</v>
      </c>
      <c r="D560" s="1">
        <v>42183.833333333336</v>
      </c>
      <c r="E560" t="s">
        <v>762</v>
      </c>
      <c r="F560" t="s">
        <v>548</v>
      </c>
      <c r="G560">
        <v>28</v>
      </c>
      <c r="H560">
        <v>55</v>
      </c>
      <c r="I560" t="s">
        <v>731</v>
      </c>
      <c r="J560">
        <v>2015</v>
      </c>
      <c r="K560">
        <v>6</v>
      </c>
      <c r="L560">
        <v>28</v>
      </c>
      <c r="M560">
        <v>20</v>
      </c>
      <c r="N560" s="7">
        <f t="shared" si="56"/>
        <v>83</v>
      </c>
      <c r="O560" s="7" t="str">
        <f t="shared" si="59"/>
        <v>Popular</v>
      </c>
      <c r="P560" s="7" t="str">
        <f t="shared" si="57"/>
        <v>Yes</v>
      </c>
      <c r="Q560" s="7" t="str">
        <f t="shared" si="58"/>
        <v>Wide Reach</v>
      </c>
      <c r="R560" s="7" t="str">
        <f t="shared" si="60"/>
        <v>Evening</v>
      </c>
      <c r="S560" s="7" t="str">
        <f t="shared" si="61"/>
        <v>Oceania</v>
      </c>
      <c r="T560" s="30">
        <f t="shared" si="62"/>
        <v>1.9642857142857142</v>
      </c>
      <c r="U560" s="6"/>
      <c r="V560" s="6"/>
    </row>
    <row r="561" spans="1:22" x14ac:dyDescent="0.3">
      <c r="A561" t="s">
        <v>1454</v>
      </c>
      <c r="B561" t="s">
        <v>2155</v>
      </c>
      <c r="C561" t="s">
        <v>930</v>
      </c>
      <c r="D561" s="1">
        <v>44569.895833333336</v>
      </c>
      <c r="E561" t="s">
        <v>763</v>
      </c>
      <c r="F561" t="s">
        <v>549</v>
      </c>
      <c r="G561">
        <v>35</v>
      </c>
      <c r="H561">
        <v>70</v>
      </c>
      <c r="I561" t="s">
        <v>737</v>
      </c>
      <c r="J561">
        <v>2022</v>
      </c>
      <c r="K561">
        <v>1</v>
      </c>
      <c r="L561">
        <v>8</v>
      </c>
      <c r="M561">
        <v>21</v>
      </c>
      <c r="N561" s="7">
        <f t="shared" si="56"/>
        <v>105</v>
      </c>
      <c r="O561" s="7" t="str">
        <f t="shared" si="59"/>
        <v>Popular</v>
      </c>
      <c r="P561" s="7" t="str">
        <f t="shared" si="57"/>
        <v>Yes</v>
      </c>
      <c r="Q561" s="7" t="str">
        <f t="shared" si="58"/>
        <v>Wide Reach</v>
      </c>
      <c r="R561" s="7" t="str">
        <f t="shared" si="60"/>
        <v>Evening</v>
      </c>
      <c r="S561" s="7" t="str">
        <f t="shared" si="61"/>
        <v>Europe</v>
      </c>
      <c r="T561" s="30">
        <f t="shared" si="62"/>
        <v>2</v>
      </c>
      <c r="U561" s="6"/>
      <c r="V561" s="6"/>
    </row>
    <row r="562" spans="1:22" x14ac:dyDescent="0.3">
      <c r="A562" t="s">
        <v>1455</v>
      </c>
      <c r="B562" t="s">
        <v>2156</v>
      </c>
      <c r="C562" t="s">
        <v>804</v>
      </c>
      <c r="D562" s="1">
        <v>43449.84375</v>
      </c>
      <c r="E562" t="s">
        <v>761</v>
      </c>
      <c r="F562" t="s">
        <v>550</v>
      </c>
      <c r="G562">
        <v>22</v>
      </c>
      <c r="H562">
        <v>45</v>
      </c>
      <c r="I562" t="s">
        <v>742</v>
      </c>
      <c r="J562">
        <v>2018</v>
      </c>
      <c r="K562">
        <v>12</v>
      </c>
      <c r="L562">
        <v>15</v>
      </c>
      <c r="M562">
        <v>20</v>
      </c>
      <c r="N562" s="7">
        <f t="shared" si="56"/>
        <v>67</v>
      </c>
      <c r="O562" s="7" t="str">
        <f t="shared" si="59"/>
        <v>Popular</v>
      </c>
      <c r="P562" s="7" t="str">
        <f t="shared" si="57"/>
        <v>No</v>
      </c>
      <c r="Q562" s="7" t="str">
        <f t="shared" si="58"/>
        <v>Wide Reach</v>
      </c>
      <c r="R562" s="7" t="str">
        <f t="shared" si="60"/>
        <v>Evening</v>
      </c>
      <c r="S562" s="7" t="str">
        <f t="shared" si="61"/>
        <v>Europe</v>
      </c>
      <c r="T562" s="30">
        <f t="shared" si="62"/>
        <v>2.0454545454545454</v>
      </c>
      <c r="U562" s="6"/>
      <c r="V562" s="6"/>
    </row>
    <row r="563" spans="1:22" x14ac:dyDescent="0.3">
      <c r="A563" t="s">
        <v>1456</v>
      </c>
      <c r="B563" t="s">
        <v>2157</v>
      </c>
      <c r="C563" t="s">
        <v>909</v>
      </c>
      <c r="D563" s="1">
        <v>44387.791666666664</v>
      </c>
      <c r="E563" t="s">
        <v>762</v>
      </c>
      <c r="F563" t="s">
        <v>551</v>
      </c>
      <c r="G563">
        <v>40</v>
      </c>
      <c r="H563">
        <v>80</v>
      </c>
      <c r="I563" t="s">
        <v>720</v>
      </c>
      <c r="J563">
        <v>2021</v>
      </c>
      <c r="K563">
        <v>7</v>
      </c>
      <c r="L563">
        <v>10</v>
      </c>
      <c r="M563">
        <v>19</v>
      </c>
      <c r="N563" s="7">
        <f t="shared" si="56"/>
        <v>120</v>
      </c>
      <c r="O563" s="7" t="str">
        <f t="shared" si="59"/>
        <v>Popular</v>
      </c>
      <c r="P563" s="7" t="str">
        <f t="shared" si="57"/>
        <v>Yes</v>
      </c>
      <c r="Q563" s="7" t="str">
        <f t="shared" si="58"/>
        <v>Wide Reach</v>
      </c>
      <c r="R563" s="7" t="str">
        <f t="shared" si="60"/>
        <v>Evening</v>
      </c>
      <c r="S563" s="7" t="str">
        <f t="shared" si="61"/>
        <v>North America</v>
      </c>
      <c r="T563" s="30">
        <f t="shared" si="62"/>
        <v>2</v>
      </c>
      <c r="U563" s="6"/>
      <c r="V563" s="6"/>
    </row>
    <row r="564" spans="1:22" x14ac:dyDescent="0.3">
      <c r="A564" t="s">
        <v>1457</v>
      </c>
      <c r="B564" t="s">
        <v>2158</v>
      </c>
      <c r="C564" t="s">
        <v>872</v>
      </c>
      <c r="D564" s="1">
        <v>43736.854166666664</v>
      </c>
      <c r="E564" t="s">
        <v>761</v>
      </c>
      <c r="F564" t="s">
        <v>552</v>
      </c>
      <c r="G564">
        <v>35</v>
      </c>
      <c r="H564">
        <v>70</v>
      </c>
      <c r="I564" t="s">
        <v>30</v>
      </c>
      <c r="J564">
        <v>2019</v>
      </c>
      <c r="K564">
        <v>9</v>
      </c>
      <c r="L564">
        <v>28</v>
      </c>
      <c r="M564">
        <v>20</v>
      </c>
      <c r="N564" s="7">
        <f t="shared" si="56"/>
        <v>105</v>
      </c>
      <c r="O564" s="7" t="str">
        <f t="shared" si="59"/>
        <v>Popular</v>
      </c>
      <c r="P564" s="7" t="str">
        <f t="shared" si="57"/>
        <v>Yes</v>
      </c>
      <c r="Q564" s="7" t="str">
        <f t="shared" si="58"/>
        <v>Wide Reach</v>
      </c>
      <c r="R564" s="7" t="str">
        <f t="shared" si="60"/>
        <v>Evening</v>
      </c>
      <c r="S564" s="7" t="str">
        <f t="shared" si="61"/>
        <v>North America</v>
      </c>
      <c r="T564" s="30">
        <f t="shared" si="62"/>
        <v>2</v>
      </c>
      <c r="U564" s="6"/>
      <c r="V564" s="6"/>
    </row>
    <row r="565" spans="1:22" x14ac:dyDescent="0.3">
      <c r="A565" t="s">
        <v>1458</v>
      </c>
      <c r="B565" t="s">
        <v>2159</v>
      </c>
      <c r="C565" t="s">
        <v>931</v>
      </c>
      <c r="D565" s="1">
        <v>44635.78125</v>
      </c>
      <c r="E565" t="s">
        <v>763</v>
      </c>
      <c r="F565" t="s">
        <v>553</v>
      </c>
      <c r="G565">
        <v>30</v>
      </c>
      <c r="H565">
        <v>60</v>
      </c>
      <c r="I565" t="s">
        <v>733</v>
      </c>
      <c r="J565">
        <v>2022</v>
      </c>
      <c r="K565">
        <v>3</v>
      </c>
      <c r="L565">
        <v>15</v>
      </c>
      <c r="M565">
        <v>18</v>
      </c>
      <c r="N565" s="7">
        <f t="shared" si="56"/>
        <v>90</v>
      </c>
      <c r="O565" s="7" t="str">
        <f t="shared" si="59"/>
        <v>Popular</v>
      </c>
      <c r="P565" s="7" t="str">
        <f t="shared" si="57"/>
        <v>Yes</v>
      </c>
      <c r="Q565" s="7" t="str">
        <f t="shared" si="58"/>
        <v>Wide Reach</v>
      </c>
      <c r="R565" s="7" t="str">
        <f t="shared" si="60"/>
        <v>Evening</v>
      </c>
      <c r="S565" s="7" t="str">
        <f t="shared" si="61"/>
        <v>Europe</v>
      </c>
      <c r="T565" s="30">
        <f t="shared" si="62"/>
        <v>2</v>
      </c>
      <c r="U565" s="6"/>
      <c r="V565" s="6"/>
    </row>
    <row r="566" spans="1:22" x14ac:dyDescent="0.3">
      <c r="A566" t="s">
        <v>1459</v>
      </c>
      <c r="B566" t="s">
        <v>2160</v>
      </c>
      <c r="C566" t="s">
        <v>867</v>
      </c>
      <c r="D566" s="1">
        <v>43044.885416666664</v>
      </c>
      <c r="E566" t="s">
        <v>762</v>
      </c>
      <c r="F566" t="s">
        <v>554</v>
      </c>
      <c r="G566">
        <v>22</v>
      </c>
      <c r="H566">
        <v>45</v>
      </c>
      <c r="I566" t="s">
        <v>734</v>
      </c>
      <c r="J566">
        <v>2017</v>
      </c>
      <c r="K566">
        <v>11</v>
      </c>
      <c r="L566">
        <v>5</v>
      </c>
      <c r="M566">
        <v>21</v>
      </c>
      <c r="N566" s="7">
        <f t="shared" si="56"/>
        <v>67</v>
      </c>
      <c r="O566" s="7" t="str">
        <f t="shared" si="59"/>
        <v>Popular</v>
      </c>
      <c r="P566" s="7" t="str">
        <f t="shared" si="57"/>
        <v>No</v>
      </c>
      <c r="Q566" s="7" t="str">
        <f t="shared" si="58"/>
        <v>Wide Reach</v>
      </c>
      <c r="R566" s="7" t="str">
        <f t="shared" si="60"/>
        <v>Evening</v>
      </c>
      <c r="S566" s="7" t="str">
        <f t="shared" si="61"/>
        <v>South America</v>
      </c>
      <c r="T566" s="30">
        <f t="shared" si="62"/>
        <v>2.0454545454545454</v>
      </c>
      <c r="U566" s="6"/>
      <c r="V566" s="6"/>
    </row>
    <row r="567" spans="1:22" x14ac:dyDescent="0.3">
      <c r="A567" t="s">
        <v>1460</v>
      </c>
      <c r="B567" t="s">
        <v>2161</v>
      </c>
      <c r="C567" t="s">
        <v>932</v>
      </c>
      <c r="D567" s="1">
        <v>43971.6875</v>
      </c>
      <c r="E567" t="s">
        <v>761</v>
      </c>
      <c r="F567" t="s">
        <v>555</v>
      </c>
      <c r="G567">
        <v>28</v>
      </c>
      <c r="H567">
        <v>55</v>
      </c>
      <c r="I567" t="s">
        <v>737</v>
      </c>
      <c r="J567">
        <v>2020</v>
      </c>
      <c r="K567">
        <v>5</v>
      </c>
      <c r="L567">
        <v>20</v>
      </c>
      <c r="M567">
        <v>16</v>
      </c>
      <c r="N567" s="7">
        <f t="shared" si="56"/>
        <v>83</v>
      </c>
      <c r="O567" s="7" t="str">
        <f t="shared" si="59"/>
        <v>Popular</v>
      </c>
      <c r="P567" s="7" t="str">
        <f t="shared" si="57"/>
        <v>Yes</v>
      </c>
      <c r="Q567" s="7" t="str">
        <f t="shared" si="58"/>
        <v>Wide Reach</v>
      </c>
      <c r="R567" s="7" t="str">
        <f t="shared" si="60"/>
        <v>Afternoon</v>
      </c>
      <c r="S567" s="7" t="str">
        <f t="shared" si="61"/>
        <v>Europe</v>
      </c>
      <c r="T567" s="30">
        <f t="shared" si="62"/>
        <v>1.9642857142857142</v>
      </c>
      <c r="U567" s="6"/>
      <c r="V567" s="6"/>
    </row>
    <row r="568" spans="1:22" x14ac:dyDescent="0.3">
      <c r="A568" t="s">
        <v>1461</v>
      </c>
      <c r="B568" t="s">
        <v>2162</v>
      </c>
      <c r="C568" t="s">
        <v>866</v>
      </c>
      <c r="D568" s="1">
        <v>42604.822916666664</v>
      </c>
      <c r="E568" t="s">
        <v>763</v>
      </c>
      <c r="F568" t="s">
        <v>556</v>
      </c>
      <c r="G568">
        <v>18</v>
      </c>
      <c r="H568">
        <v>35</v>
      </c>
      <c r="I568" t="s">
        <v>722</v>
      </c>
      <c r="J568">
        <v>2016</v>
      </c>
      <c r="K568">
        <v>8</v>
      </c>
      <c r="L568">
        <v>22</v>
      </c>
      <c r="M568">
        <v>19</v>
      </c>
      <c r="N568" s="7">
        <f t="shared" si="56"/>
        <v>53</v>
      </c>
      <c r="O568" s="7" t="str">
        <f t="shared" si="59"/>
        <v>Normal</v>
      </c>
      <c r="P568" s="7" t="str">
        <f t="shared" si="57"/>
        <v>No</v>
      </c>
      <c r="Q568" s="7" t="str">
        <f t="shared" si="58"/>
        <v>Standard</v>
      </c>
      <c r="R568" s="7" t="str">
        <f t="shared" si="60"/>
        <v>Evening</v>
      </c>
      <c r="S568" s="7" t="str">
        <f t="shared" si="61"/>
        <v>Europe</v>
      </c>
      <c r="T568" s="30">
        <f t="shared" si="62"/>
        <v>1.9444444444444444</v>
      </c>
      <c r="U568" s="6"/>
      <c r="V568" s="6"/>
    </row>
    <row r="569" spans="1:22" x14ac:dyDescent="0.3">
      <c r="A569" t="s">
        <v>1462</v>
      </c>
      <c r="B569" t="s">
        <v>2163</v>
      </c>
      <c r="C569" t="s">
        <v>933</v>
      </c>
      <c r="D569" s="1">
        <v>45026.71875</v>
      </c>
      <c r="E569" t="s">
        <v>762</v>
      </c>
      <c r="F569" t="s">
        <v>557</v>
      </c>
      <c r="G569">
        <v>22</v>
      </c>
      <c r="H569">
        <v>45</v>
      </c>
      <c r="I569" t="s">
        <v>732</v>
      </c>
      <c r="J569">
        <v>2023</v>
      </c>
      <c r="K569">
        <v>4</v>
      </c>
      <c r="L569">
        <v>10</v>
      </c>
      <c r="M569">
        <v>17</v>
      </c>
      <c r="N569" s="7">
        <f t="shared" si="56"/>
        <v>67</v>
      </c>
      <c r="O569" s="7" t="str">
        <f t="shared" si="59"/>
        <v>Popular</v>
      </c>
      <c r="P569" s="7" t="str">
        <f t="shared" si="57"/>
        <v>No</v>
      </c>
      <c r="Q569" s="7" t="str">
        <f t="shared" si="58"/>
        <v>Wide Reach</v>
      </c>
      <c r="R569" s="7" t="str">
        <f t="shared" si="60"/>
        <v>Afternoon</v>
      </c>
      <c r="S569" s="7" t="str">
        <f t="shared" si="61"/>
        <v>Asia</v>
      </c>
      <c r="T569" s="30">
        <f t="shared" si="62"/>
        <v>2.0454545454545454</v>
      </c>
      <c r="U569" s="6"/>
      <c r="V569" s="6"/>
    </row>
    <row r="570" spans="1:22" x14ac:dyDescent="0.3">
      <c r="A570" t="s">
        <v>1463</v>
      </c>
      <c r="B570" t="s">
        <v>2164</v>
      </c>
      <c r="C570" t="s">
        <v>934</v>
      </c>
      <c r="D570" s="1">
        <v>42356.75</v>
      </c>
      <c r="E570" t="s">
        <v>761</v>
      </c>
      <c r="F570" t="s">
        <v>558</v>
      </c>
      <c r="G570">
        <v>28</v>
      </c>
      <c r="H570">
        <v>55</v>
      </c>
      <c r="I570" t="s">
        <v>739</v>
      </c>
      <c r="J570">
        <v>2015</v>
      </c>
      <c r="K570">
        <v>12</v>
      </c>
      <c r="L570">
        <v>18</v>
      </c>
      <c r="M570">
        <v>18</v>
      </c>
      <c r="N570" s="7">
        <f t="shared" si="56"/>
        <v>83</v>
      </c>
      <c r="O570" s="7" t="str">
        <f t="shared" si="59"/>
        <v>Popular</v>
      </c>
      <c r="P570" s="7" t="str">
        <f t="shared" si="57"/>
        <v>Yes</v>
      </c>
      <c r="Q570" s="7" t="str">
        <f t="shared" si="58"/>
        <v>Wide Reach</v>
      </c>
      <c r="R570" s="7" t="str">
        <f t="shared" si="60"/>
        <v>Evening</v>
      </c>
      <c r="S570" s="7" t="str">
        <f t="shared" si="61"/>
        <v>Europe</v>
      </c>
      <c r="T570" s="30">
        <f t="shared" si="62"/>
        <v>1.9642857142857142</v>
      </c>
      <c r="U570" s="6"/>
      <c r="V570" s="6"/>
    </row>
    <row r="571" spans="1:22" x14ac:dyDescent="0.3">
      <c r="A571" t="s">
        <v>1464</v>
      </c>
      <c r="B571" t="s">
        <v>2165</v>
      </c>
      <c r="C571" t="s">
        <v>935</v>
      </c>
      <c r="D571" s="1">
        <v>44477.854166666664</v>
      </c>
      <c r="E571" t="s">
        <v>763</v>
      </c>
      <c r="F571" t="s">
        <v>559</v>
      </c>
      <c r="G571">
        <v>35</v>
      </c>
      <c r="H571">
        <v>70</v>
      </c>
      <c r="I571" t="s">
        <v>735</v>
      </c>
      <c r="J571">
        <v>2021</v>
      </c>
      <c r="K571">
        <v>10</v>
      </c>
      <c r="L571">
        <v>8</v>
      </c>
      <c r="M571">
        <v>20</v>
      </c>
      <c r="N571" s="7">
        <f t="shared" si="56"/>
        <v>105</v>
      </c>
      <c r="O571" s="7" t="str">
        <f t="shared" si="59"/>
        <v>Popular</v>
      </c>
      <c r="P571" s="7" t="str">
        <f t="shared" si="57"/>
        <v>Yes</v>
      </c>
      <c r="Q571" s="7" t="str">
        <f t="shared" si="58"/>
        <v>Wide Reach</v>
      </c>
      <c r="R571" s="7" t="str">
        <f t="shared" si="60"/>
        <v>Evening</v>
      </c>
      <c r="S571" s="7" t="str">
        <f t="shared" si="61"/>
        <v>Asia</v>
      </c>
      <c r="T571" s="30">
        <f t="shared" si="62"/>
        <v>2</v>
      </c>
      <c r="U571" s="6"/>
      <c r="V571" s="6"/>
    </row>
    <row r="572" spans="1:22" x14ac:dyDescent="0.3">
      <c r="A572" t="s">
        <v>1465</v>
      </c>
      <c r="B572" t="s">
        <v>2166</v>
      </c>
      <c r="C572" t="s">
        <v>936</v>
      </c>
      <c r="D572" s="1">
        <v>43546.90625</v>
      </c>
      <c r="E572" t="s">
        <v>762</v>
      </c>
      <c r="F572" t="s">
        <v>560</v>
      </c>
      <c r="G572">
        <v>22</v>
      </c>
      <c r="H572">
        <v>45</v>
      </c>
      <c r="I572" t="s">
        <v>731</v>
      </c>
      <c r="J572">
        <v>2019</v>
      </c>
      <c r="K572">
        <v>3</v>
      </c>
      <c r="L572">
        <v>22</v>
      </c>
      <c r="M572">
        <v>21</v>
      </c>
      <c r="N572" s="7">
        <f t="shared" si="56"/>
        <v>67</v>
      </c>
      <c r="O572" s="7" t="str">
        <f t="shared" si="59"/>
        <v>Popular</v>
      </c>
      <c r="P572" s="7" t="str">
        <f t="shared" si="57"/>
        <v>No</v>
      </c>
      <c r="Q572" s="7" t="str">
        <f t="shared" si="58"/>
        <v>Wide Reach</v>
      </c>
      <c r="R572" s="7" t="str">
        <f t="shared" si="60"/>
        <v>Evening</v>
      </c>
      <c r="S572" s="7" t="str">
        <f t="shared" si="61"/>
        <v>Oceania</v>
      </c>
      <c r="T572" s="30">
        <f t="shared" si="62"/>
        <v>2.0454545454545454</v>
      </c>
      <c r="U572" s="6"/>
      <c r="V572" s="6"/>
    </row>
    <row r="573" spans="1:22" x14ac:dyDescent="0.3">
      <c r="A573" t="s">
        <v>1466</v>
      </c>
      <c r="B573" t="s">
        <v>2167</v>
      </c>
      <c r="C573" t="s">
        <v>937</v>
      </c>
      <c r="D573" s="1">
        <v>43266.916666666664</v>
      </c>
      <c r="E573" t="s">
        <v>761</v>
      </c>
      <c r="F573" t="s">
        <v>561</v>
      </c>
      <c r="G573">
        <v>40</v>
      </c>
      <c r="H573">
        <v>80</v>
      </c>
      <c r="I573" t="s">
        <v>30</v>
      </c>
      <c r="J573">
        <v>2018</v>
      </c>
      <c r="K573">
        <v>6</v>
      </c>
      <c r="L573">
        <v>15</v>
      </c>
      <c r="M573">
        <v>22</v>
      </c>
      <c r="N573" s="7">
        <f t="shared" si="56"/>
        <v>120</v>
      </c>
      <c r="O573" s="7" t="str">
        <f t="shared" si="59"/>
        <v>Popular</v>
      </c>
      <c r="P573" s="7" t="str">
        <f t="shared" si="57"/>
        <v>Yes</v>
      </c>
      <c r="Q573" s="7" t="str">
        <f t="shared" si="58"/>
        <v>Wide Reach</v>
      </c>
      <c r="R573" s="7" t="str">
        <f t="shared" si="60"/>
        <v>Evening</v>
      </c>
      <c r="S573" s="7" t="str">
        <f t="shared" si="61"/>
        <v>North America</v>
      </c>
      <c r="T573" s="30">
        <f t="shared" si="62"/>
        <v>2</v>
      </c>
      <c r="U573" s="6"/>
      <c r="V573" s="6"/>
    </row>
    <row r="574" spans="1:22" x14ac:dyDescent="0.3">
      <c r="A574" t="s">
        <v>1467</v>
      </c>
      <c r="B574" t="s">
        <v>2168</v>
      </c>
      <c r="C574" t="s">
        <v>938</v>
      </c>
      <c r="D574" s="1">
        <v>43705.8125</v>
      </c>
      <c r="E574" t="s">
        <v>762</v>
      </c>
      <c r="F574" t="s">
        <v>562</v>
      </c>
      <c r="G574">
        <v>35</v>
      </c>
      <c r="H574">
        <v>70</v>
      </c>
      <c r="I574" t="s">
        <v>760</v>
      </c>
      <c r="J574">
        <v>2019</v>
      </c>
      <c r="K574">
        <v>8</v>
      </c>
      <c r="L574">
        <v>28</v>
      </c>
      <c r="M574">
        <v>19</v>
      </c>
      <c r="N574" s="7">
        <f t="shared" si="56"/>
        <v>105</v>
      </c>
      <c r="O574" s="7" t="str">
        <f t="shared" si="59"/>
        <v>Popular</v>
      </c>
      <c r="P574" s="7" t="str">
        <f t="shared" si="57"/>
        <v>Yes</v>
      </c>
      <c r="Q574" s="7" t="str">
        <f t="shared" si="58"/>
        <v>Wide Reach</v>
      </c>
      <c r="R574" s="7" t="str">
        <f t="shared" si="60"/>
        <v>Evening</v>
      </c>
      <c r="S574" s="7" t="str">
        <f t="shared" si="61"/>
        <v>Asia</v>
      </c>
      <c r="T574" s="30">
        <f t="shared" si="62"/>
        <v>2</v>
      </c>
      <c r="U574" s="6"/>
      <c r="V574" s="6"/>
    </row>
    <row r="575" spans="1:22" x14ac:dyDescent="0.3">
      <c r="A575" t="s">
        <v>1468</v>
      </c>
      <c r="B575" t="s">
        <v>2169</v>
      </c>
      <c r="C575" t="s">
        <v>939</v>
      </c>
      <c r="D575" s="1">
        <v>44896.739583333336</v>
      </c>
      <c r="E575" t="s">
        <v>763</v>
      </c>
      <c r="F575" t="s">
        <v>563</v>
      </c>
      <c r="G575">
        <v>30</v>
      </c>
      <c r="H575">
        <v>60</v>
      </c>
      <c r="I575" t="s">
        <v>720</v>
      </c>
      <c r="J575">
        <v>2022</v>
      </c>
      <c r="K575">
        <v>12</v>
      </c>
      <c r="L575">
        <v>1</v>
      </c>
      <c r="M575">
        <v>17</v>
      </c>
      <c r="N575" s="7">
        <f t="shared" si="56"/>
        <v>90</v>
      </c>
      <c r="O575" s="7" t="str">
        <f t="shared" si="59"/>
        <v>Popular</v>
      </c>
      <c r="P575" s="7" t="str">
        <f t="shared" si="57"/>
        <v>Yes</v>
      </c>
      <c r="Q575" s="7" t="str">
        <f t="shared" si="58"/>
        <v>Wide Reach</v>
      </c>
      <c r="R575" s="7" t="str">
        <f t="shared" si="60"/>
        <v>Afternoon</v>
      </c>
      <c r="S575" s="7" t="str">
        <f t="shared" si="61"/>
        <v>North America</v>
      </c>
      <c r="T575" s="30">
        <f t="shared" si="62"/>
        <v>2</v>
      </c>
      <c r="U575" s="6"/>
      <c r="V575" s="6"/>
    </row>
    <row r="576" spans="1:22" x14ac:dyDescent="0.3">
      <c r="A576" t="s">
        <v>1469</v>
      </c>
      <c r="B576" t="s">
        <v>2170</v>
      </c>
      <c r="C576" t="s">
        <v>940</v>
      </c>
      <c r="D576" s="1">
        <v>42835.885416666664</v>
      </c>
      <c r="E576" t="s">
        <v>761</v>
      </c>
      <c r="F576" t="s">
        <v>564</v>
      </c>
      <c r="G576">
        <v>22</v>
      </c>
      <c r="H576">
        <v>45</v>
      </c>
      <c r="I576" t="s">
        <v>722</v>
      </c>
      <c r="J576">
        <v>2017</v>
      </c>
      <c r="K576">
        <v>4</v>
      </c>
      <c r="L576">
        <v>10</v>
      </c>
      <c r="M576">
        <v>21</v>
      </c>
      <c r="N576" s="7">
        <f t="shared" si="56"/>
        <v>67</v>
      </c>
      <c r="O576" s="7" t="str">
        <f t="shared" si="59"/>
        <v>Popular</v>
      </c>
      <c r="P576" s="7" t="str">
        <f t="shared" si="57"/>
        <v>No</v>
      </c>
      <c r="Q576" s="7" t="str">
        <f t="shared" si="58"/>
        <v>Wide Reach</v>
      </c>
      <c r="R576" s="7" t="str">
        <f t="shared" si="60"/>
        <v>Evening</v>
      </c>
      <c r="S576" s="7" t="str">
        <f t="shared" si="61"/>
        <v>Europe</v>
      </c>
      <c r="T576" s="30">
        <f t="shared" si="62"/>
        <v>2.0454545454545454</v>
      </c>
      <c r="U576" s="6"/>
      <c r="V576" s="6"/>
    </row>
    <row r="577" spans="1:22" x14ac:dyDescent="0.3">
      <c r="A577" t="s">
        <v>1470</v>
      </c>
      <c r="B577" t="s">
        <v>2171</v>
      </c>
      <c r="C577" t="s">
        <v>941</v>
      </c>
      <c r="D577" s="1">
        <v>43966.770833333336</v>
      </c>
      <c r="E577" t="s">
        <v>762</v>
      </c>
      <c r="F577" t="s">
        <v>565</v>
      </c>
      <c r="G577">
        <v>28</v>
      </c>
      <c r="H577">
        <v>55</v>
      </c>
      <c r="I577" t="s">
        <v>731</v>
      </c>
      <c r="J577">
        <v>2020</v>
      </c>
      <c r="K577">
        <v>5</v>
      </c>
      <c r="L577">
        <v>15</v>
      </c>
      <c r="M577">
        <v>18</v>
      </c>
      <c r="N577" s="7">
        <f t="shared" si="56"/>
        <v>83</v>
      </c>
      <c r="O577" s="7" t="str">
        <f t="shared" si="59"/>
        <v>Popular</v>
      </c>
      <c r="P577" s="7" t="str">
        <f t="shared" si="57"/>
        <v>Yes</v>
      </c>
      <c r="Q577" s="7" t="str">
        <f t="shared" si="58"/>
        <v>Wide Reach</v>
      </c>
      <c r="R577" s="7" t="str">
        <f t="shared" si="60"/>
        <v>Evening</v>
      </c>
      <c r="S577" s="7" t="str">
        <f t="shared" si="61"/>
        <v>Oceania</v>
      </c>
      <c r="T577" s="30">
        <f t="shared" si="62"/>
        <v>1.9642857142857142</v>
      </c>
      <c r="U577" s="6"/>
      <c r="V577" s="6"/>
    </row>
    <row r="578" spans="1:22" x14ac:dyDescent="0.3">
      <c r="A578" t="s">
        <v>1471</v>
      </c>
      <c r="B578" t="s">
        <v>2172</v>
      </c>
      <c r="C578" t="s">
        <v>942</v>
      </c>
      <c r="D578" s="1">
        <v>42635.833333333336</v>
      </c>
      <c r="E578" t="s">
        <v>763</v>
      </c>
      <c r="F578" t="s">
        <v>566</v>
      </c>
      <c r="G578">
        <v>18</v>
      </c>
      <c r="H578">
        <v>35</v>
      </c>
      <c r="I578" t="s">
        <v>30</v>
      </c>
      <c r="J578">
        <v>2016</v>
      </c>
      <c r="K578">
        <v>9</v>
      </c>
      <c r="L578">
        <v>22</v>
      </c>
      <c r="M578">
        <v>20</v>
      </c>
      <c r="N578" s="7">
        <f t="shared" si="56"/>
        <v>53</v>
      </c>
      <c r="O578" s="7" t="str">
        <f t="shared" si="59"/>
        <v>Normal</v>
      </c>
      <c r="P578" s="7" t="str">
        <f t="shared" si="57"/>
        <v>No</v>
      </c>
      <c r="Q578" s="7" t="str">
        <f t="shared" si="58"/>
        <v>Standard</v>
      </c>
      <c r="R578" s="7" t="str">
        <f t="shared" si="60"/>
        <v>Evening</v>
      </c>
      <c r="S578" s="7" t="str">
        <f t="shared" si="61"/>
        <v>North America</v>
      </c>
      <c r="T578" s="30">
        <f t="shared" si="62"/>
        <v>1.9444444444444444</v>
      </c>
      <c r="U578" s="6"/>
      <c r="V578" s="6"/>
    </row>
    <row r="579" spans="1:22" x14ac:dyDescent="0.3">
      <c r="A579" t="s">
        <v>1472</v>
      </c>
      <c r="B579" t="s">
        <v>2173</v>
      </c>
      <c r="C579" t="s">
        <v>943</v>
      </c>
      <c r="D579" s="1">
        <v>44969.822916666664</v>
      </c>
      <c r="E579" t="s">
        <v>761</v>
      </c>
      <c r="F579" t="s">
        <v>567</v>
      </c>
      <c r="G579">
        <v>22</v>
      </c>
      <c r="H579">
        <v>45</v>
      </c>
      <c r="I579" t="s">
        <v>733</v>
      </c>
      <c r="J579">
        <v>2023</v>
      </c>
      <c r="K579">
        <v>2</v>
      </c>
      <c r="L579">
        <v>12</v>
      </c>
      <c r="M579">
        <v>19</v>
      </c>
      <c r="N579" s="7">
        <f t="shared" ref="N579:N642" si="63">SUM(G579,H579)</f>
        <v>67</v>
      </c>
      <c r="O579" s="7" t="str">
        <f t="shared" si="59"/>
        <v>Popular</v>
      </c>
      <c r="P579" s="7" t="str">
        <f t="shared" ref="P579:P642" si="64">IF(AND(G579&gt;25, H579&gt;50), "Yes", "No")</f>
        <v>No</v>
      </c>
      <c r="Q579" s="7" t="str">
        <f t="shared" ref="Q579:Q642" si="65">IF(OR(H579&gt;40,G579&gt;20),"Wide Reach","Standard")</f>
        <v>Wide Reach</v>
      </c>
      <c r="R579" s="7" t="str">
        <f t="shared" si="60"/>
        <v>Evening</v>
      </c>
      <c r="S579" s="7" t="str">
        <f t="shared" si="61"/>
        <v>Europe</v>
      </c>
      <c r="T579" s="30">
        <f t="shared" si="62"/>
        <v>2.0454545454545454</v>
      </c>
      <c r="U579" s="6"/>
      <c r="V579" s="6"/>
    </row>
    <row r="580" spans="1:22" x14ac:dyDescent="0.3">
      <c r="A580" t="s">
        <v>1473</v>
      </c>
      <c r="B580" t="s">
        <v>2174</v>
      </c>
      <c r="C580" t="s">
        <v>944</v>
      </c>
      <c r="D580" s="1">
        <v>42318.875</v>
      </c>
      <c r="E580" t="s">
        <v>762</v>
      </c>
      <c r="F580" t="s">
        <v>568</v>
      </c>
      <c r="G580">
        <v>28</v>
      </c>
      <c r="H580">
        <v>55</v>
      </c>
      <c r="I580" t="s">
        <v>739</v>
      </c>
      <c r="J580">
        <v>2015</v>
      </c>
      <c r="K580">
        <v>11</v>
      </c>
      <c r="L580">
        <v>10</v>
      </c>
      <c r="M580">
        <v>21</v>
      </c>
      <c r="N580" s="7">
        <f t="shared" si="63"/>
        <v>83</v>
      </c>
      <c r="O580" s="7" t="str">
        <f t="shared" ref="O580:O643" si="66">IF(N580&gt;60, "Popular", "Normal")</f>
        <v>Popular</v>
      </c>
      <c r="P580" s="7" t="str">
        <f t="shared" si="64"/>
        <v>Yes</v>
      </c>
      <c r="Q580" s="7" t="str">
        <f t="shared" si="65"/>
        <v>Wide Reach</v>
      </c>
      <c r="R580" s="7" t="str">
        <f t="shared" ref="R580:R643" si="67">IF(M580&gt;17,"Evening",IF(M580&gt;11,"Afternoon",IF(M580&gt;5,"Morning","Night")))</f>
        <v>Evening</v>
      </c>
      <c r="S580" s="7" t="str">
        <f t="shared" ref="S580:S643" si="68">_xlfn.SWITCH(I580,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Europe</v>
      </c>
      <c r="T580" s="30">
        <f t="shared" ref="T580:T643" si="69">IFERROR(H580/G580,"Error")</f>
        <v>1.9642857142857142</v>
      </c>
      <c r="U580" s="6"/>
      <c r="V580" s="6"/>
    </row>
    <row r="581" spans="1:22" x14ac:dyDescent="0.3">
      <c r="A581" t="s">
        <v>1474</v>
      </c>
      <c r="B581" t="s">
        <v>2175</v>
      </c>
      <c r="C581" t="s">
        <v>945</v>
      </c>
      <c r="D581" s="1">
        <v>44397.760416666664</v>
      </c>
      <c r="E581" t="s">
        <v>763</v>
      </c>
      <c r="F581" t="s">
        <v>569</v>
      </c>
      <c r="G581">
        <v>22</v>
      </c>
      <c r="H581">
        <v>45</v>
      </c>
      <c r="I581" t="s">
        <v>734</v>
      </c>
      <c r="J581">
        <v>2021</v>
      </c>
      <c r="K581">
        <v>7</v>
      </c>
      <c r="L581">
        <v>20</v>
      </c>
      <c r="M581">
        <v>18</v>
      </c>
      <c r="N581" s="7">
        <f t="shared" si="63"/>
        <v>67</v>
      </c>
      <c r="O581" s="7" t="str">
        <f t="shared" si="66"/>
        <v>Popular</v>
      </c>
      <c r="P581" s="7" t="str">
        <f t="shared" si="64"/>
        <v>No</v>
      </c>
      <c r="Q581" s="7" t="str">
        <f t="shared" si="65"/>
        <v>Wide Reach</v>
      </c>
      <c r="R581" s="7" t="str">
        <f t="shared" si="67"/>
        <v>Evening</v>
      </c>
      <c r="S581" s="7" t="str">
        <f t="shared" si="68"/>
        <v>South America</v>
      </c>
      <c r="T581" s="30">
        <f t="shared" si="69"/>
        <v>2.0454545454545454</v>
      </c>
      <c r="U581" s="6"/>
      <c r="V581" s="6"/>
    </row>
    <row r="582" spans="1:22" x14ac:dyDescent="0.3">
      <c r="A582" t="s">
        <v>1475</v>
      </c>
      <c r="B582" t="s">
        <v>2176</v>
      </c>
      <c r="C582" t="s">
        <v>946</v>
      </c>
      <c r="D582" s="1">
        <v>43573.854166666664</v>
      </c>
      <c r="E582" t="s">
        <v>761</v>
      </c>
      <c r="F582" t="s">
        <v>570</v>
      </c>
      <c r="G582">
        <v>35</v>
      </c>
      <c r="H582">
        <v>70</v>
      </c>
      <c r="I582" t="s">
        <v>736</v>
      </c>
      <c r="J582">
        <v>2019</v>
      </c>
      <c r="K582">
        <v>4</v>
      </c>
      <c r="L582">
        <v>18</v>
      </c>
      <c r="M582">
        <v>20</v>
      </c>
      <c r="N582" s="7">
        <f t="shared" si="63"/>
        <v>105</v>
      </c>
      <c r="O582" s="7" t="str">
        <f t="shared" si="66"/>
        <v>Popular</v>
      </c>
      <c r="P582" s="7" t="str">
        <f t="shared" si="64"/>
        <v>Yes</v>
      </c>
      <c r="Q582" s="7" t="str">
        <f t="shared" si="65"/>
        <v>Wide Reach</v>
      </c>
      <c r="R582" s="7" t="str">
        <f t="shared" si="67"/>
        <v>Evening</v>
      </c>
      <c r="S582" s="7" t="str">
        <f t="shared" si="68"/>
        <v>Europe</v>
      </c>
      <c r="T582" s="30">
        <f t="shared" si="69"/>
        <v>2</v>
      </c>
      <c r="U582" s="6"/>
      <c r="V582" s="6"/>
    </row>
    <row r="583" spans="1:22" x14ac:dyDescent="0.3">
      <c r="A583" t="s">
        <v>1476</v>
      </c>
      <c r="B583" t="s">
        <v>2177</v>
      </c>
      <c r="C583" t="s">
        <v>787</v>
      </c>
      <c r="D583" s="1">
        <v>45066.822916666664</v>
      </c>
      <c r="E583" t="s">
        <v>761</v>
      </c>
      <c r="F583" t="s">
        <v>571</v>
      </c>
      <c r="G583">
        <v>15</v>
      </c>
      <c r="H583">
        <v>30</v>
      </c>
      <c r="I583" t="s">
        <v>30</v>
      </c>
      <c r="J583">
        <v>2023</v>
      </c>
      <c r="K583">
        <v>5</v>
      </c>
      <c r="L583">
        <v>20</v>
      </c>
      <c r="M583">
        <v>19</v>
      </c>
      <c r="N583" s="7">
        <f t="shared" si="63"/>
        <v>45</v>
      </c>
      <c r="O583" s="7" t="str">
        <f t="shared" si="66"/>
        <v>Normal</v>
      </c>
      <c r="P583" s="7" t="str">
        <f t="shared" si="64"/>
        <v>No</v>
      </c>
      <c r="Q583" s="7" t="str">
        <f t="shared" si="65"/>
        <v>Standard</v>
      </c>
      <c r="R583" s="7" t="str">
        <f t="shared" si="67"/>
        <v>Evening</v>
      </c>
      <c r="S583" s="7" t="str">
        <f t="shared" si="68"/>
        <v>North America</v>
      </c>
      <c r="T583" s="30">
        <f t="shared" si="69"/>
        <v>2</v>
      </c>
      <c r="U583" s="6"/>
      <c r="V583" s="6"/>
    </row>
    <row r="584" spans="1:22" x14ac:dyDescent="0.3">
      <c r="A584" t="s">
        <v>961</v>
      </c>
      <c r="B584" t="s">
        <v>2178</v>
      </c>
      <c r="C584" t="s">
        <v>810</v>
      </c>
      <c r="D584" s="1">
        <v>45067.875</v>
      </c>
      <c r="E584" t="s">
        <v>762</v>
      </c>
      <c r="F584" t="s">
        <v>572</v>
      </c>
      <c r="G584">
        <v>18</v>
      </c>
      <c r="H584">
        <v>35</v>
      </c>
      <c r="I584" t="s">
        <v>720</v>
      </c>
      <c r="J584">
        <v>2023</v>
      </c>
      <c r="K584">
        <v>5</v>
      </c>
      <c r="L584">
        <v>21</v>
      </c>
      <c r="M584">
        <v>21</v>
      </c>
      <c r="N584" s="7">
        <f t="shared" si="63"/>
        <v>53</v>
      </c>
      <c r="O584" s="7" t="str">
        <f t="shared" si="66"/>
        <v>Normal</v>
      </c>
      <c r="P584" s="7" t="str">
        <f t="shared" si="64"/>
        <v>No</v>
      </c>
      <c r="Q584" s="7" t="str">
        <f t="shared" si="65"/>
        <v>Standard</v>
      </c>
      <c r="R584" s="7" t="str">
        <f t="shared" si="67"/>
        <v>Evening</v>
      </c>
      <c r="S584" s="7" t="str">
        <f t="shared" si="68"/>
        <v>North America</v>
      </c>
      <c r="T584" s="30">
        <f t="shared" si="69"/>
        <v>1.9444444444444444</v>
      </c>
      <c r="U584" s="6"/>
      <c r="V584" s="6"/>
    </row>
    <row r="585" spans="1:22" x14ac:dyDescent="0.3">
      <c r="A585" t="s">
        <v>1477</v>
      </c>
      <c r="B585" t="s">
        <v>2179</v>
      </c>
      <c r="C585" t="s">
        <v>772</v>
      </c>
      <c r="D585" s="1">
        <v>45068.604166666664</v>
      </c>
      <c r="E585" t="s">
        <v>763</v>
      </c>
      <c r="F585" t="s">
        <v>573</v>
      </c>
      <c r="G585">
        <v>22</v>
      </c>
      <c r="H585">
        <v>45</v>
      </c>
      <c r="I585" t="s">
        <v>722</v>
      </c>
      <c r="J585">
        <v>2023</v>
      </c>
      <c r="K585">
        <v>5</v>
      </c>
      <c r="L585">
        <v>22</v>
      </c>
      <c r="M585">
        <v>14</v>
      </c>
      <c r="N585" s="7">
        <f t="shared" si="63"/>
        <v>67</v>
      </c>
      <c r="O585" s="7" t="str">
        <f t="shared" si="66"/>
        <v>Popular</v>
      </c>
      <c r="P585" s="7" t="str">
        <f t="shared" si="64"/>
        <v>No</v>
      </c>
      <c r="Q585" s="7" t="str">
        <f t="shared" si="65"/>
        <v>Wide Reach</v>
      </c>
      <c r="R585" s="7" t="str">
        <f t="shared" si="67"/>
        <v>Afternoon</v>
      </c>
      <c r="S585" s="7" t="str">
        <f t="shared" si="68"/>
        <v>Europe</v>
      </c>
      <c r="T585" s="30">
        <f t="shared" si="69"/>
        <v>2.0454545454545454</v>
      </c>
      <c r="U585" s="6"/>
      <c r="V585" s="6"/>
    </row>
    <row r="586" spans="1:22" x14ac:dyDescent="0.3">
      <c r="A586" t="s">
        <v>1478</v>
      </c>
      <c r="B586" t="s">
        <v>2180</v>
      </c>
      <c r="C586" t="s">
        <v>809</v>
      </c>
      <c r="D586" s="1">
        <v>45069.697916666664</v>
      </c>
      <c r="E586" t="s">
        <v>761</v>
      </c>
      <c r="F586" t="s">
        <v>574</v>
      </c>
      <c r="G586">
        <v>20</v>
      </c>
      <c r="H586">
        <v>40</v>
      </c>
      <c r="I586" t="s">
        <v>30</v>
      </c>
      <c r="J586">
        <v>2023</v>
      </c>
      <c r="K586">
        <v>5</v>
      </c>
      <c r="L586">
        <v>23</v>
      </c>
      <c r="M586">
        <v>16</v>
      </c>
      <c r="N586" s="7">
        <f t="shared" si="63"/>
        <v>60</v>
      </c>
      <c r="O586" s="7" t="str">
        <f t="shared" si="66"/>
        <v>Normal</v>
      </c>
      <c r="P586" s="7" t="str">
        <f t="shared" si="64"/>
        <v>No</v>
      </c>
      <c r="Q586" s="7" t="str">
        <f t="shared" si="65"/>
        <v>Standard</v>
      </c>
      <c r="R586" s="7" t="str">
        <f t="shared" si="67"/>
        <v>Afternoon</v>
      </c>
      <c r="S586" s="7" t="str">
        <f t="shared" si="68"/>
        <v>North America</v>
      </c>
      <c r="T586" s="30">
        <f t="shared" si="69"/>
        <v>2</v>
      </c>
      <c r="U586" s="6"/>
      <c r="V586" s="6"/>
    </row>
    <row r="587" spans="1:22" x14ac:dyDescent="0.3">
      <c r="A587" t="s">
        <v>1479</v>
      </c>
      <c r="B587" t="s">
        <v>2181</v>
      </c>
      <c r="C587" t="s">
        <v>780</v>
      </c>
      <c r="D587" s="1">
        <v>45070.552083333336</v>
      </c>
      <c r="E587" t="s">
        <v>762</v>
      </c>
      <c r="F587" t="s">
        <v>575</v>
      </c>
      <c r="G587">
        <v>25</v>
      </c>
      <c r="H587">
        <v>50</v>
      </c>
      <c r="I587" t="s">
        <v>720</v>
      </c>
      <c r="J587">
        <v>2023</v>
      </c>
      <c r="K587">
        <v>5</v>
      </c>
      <c r="L587">
        <v>24</v>
      </c>
      <c r="M587">
        <v>13</v>
      </c>
      <c r="N587" s="7">
        <f t="shared" si="63"/>
        <v>75</v>
      </c>
      <c r="O587" s="7" t="str">
        <f t="shared" si="66"/>
        <v>Popular</v>
      </c>
      <c r="P587" s="7" t="str">
        <f t="shared" si="64"/>
        <v>No</v>
      </c>
      <c r="Q587" s="7" t="str">
        <f t="shared" si="65"/>
        <v>Wide Reach</v>
      </c>
      <c r="R587" s="7" t="str">
        <f t="shared" si="67"/>
        <v>Afternoon</v>
      </c>
      <c r="S587" s="7" t="str">
        <f t="shared" si="68"/>
        <v>North America</v>
      </c>
      <c r="T587" s="30">
        <f t="shared" si="69"/>
        <v>2</v>
      </c>
      <c r="U587" s="6"/>
      <c r="V587" s="6"/>
    </row>
    <row r="588" spans="1:22" x14ac:dyDescent="0.3">
      <c r="A588" t="s">
        <v>1480</v>
      </c>
      <c r="B588" t="s">
        <v>2182</v>
      </c>
      <c r="C588" t="s">
        <v>817</v>
      </c>
      <c r="D588" s="1">
        <v>45071.791666666664</v>
      </c>
      <c r="E588" t="s">
        <v>763</v>
      </c>
      <c r="F588" t="s">
        <v>576</v>
      </c>
      <c r="G588">
        <v>20</v>
      </c>
      <c r="H588">
        <v>40</v>
      </c>
      <c r="I588" t="s">
        <v>30</v>
      </c>
      <c r="J588">
        <v>2023</v>
      </c>
      <c r="K588">
        <v>5</v>
      </c>
      <c r="L588">
        <v>25</v>
      </c>
      <c r="M588">
        <v>19</v>
      </c>
      <c r="N588" s="7">
        <f t="shared" si="63"/>
        <v>60</v>
      </c>
      <c r="O588" s="7" t="str">
        <f t="shared" si="66"/>
        <v>Normal</v>
      </c>
      <c r="P588" s="7" t="str">
        <f t="shared" si="64"/>
        <v>No</v>
      </c>
      <c r="Q588" s="7" t="str">
        <f t="shared" si="65"/>
        <v>Standard</v>
      </c>
      <c r="R588" s="7" t="str">
        <f t="shared" si="67"/>
        <v>Evening</v>
      </c>
      <c r="S588" s="7" t="str">
        <f t="shared" si="68"/>
        <v>North America</v>
      </c>
      <c r="T588" s="30">
        <f t="shared" si="69"/>
        <v>2</v>
      </c>
      <c r="U588" s="6"/>
      <c r="V588" s="6"/>
    </row>
    <row r="589" spans="1:22" x14ac:dyDescent="0.3">
      <c r="A589" t="s">
        <v>1481</v>
      </c>
      <c r="B589" t="s">
        <v>2183</v>
      </c>
      <c r="C589" t="s">
        <v>850</v>
      </c>
      <c r="D589" s="1">
        <v>45072.597222222219</v>
      </c>
      <c r="E589" t="s">
        <v>761</v>
      </c>
      <c r="F589" t="s">
        <v>577</v>
      </c>
      <c r="G589">
        <v>28</v>
      </c>
      <c r="H589">
        <v>55</v>
      </c>
      <c r="I589" t="s">
        <v>722</v>
      </c>
      <c r="J589">
        <v>2023</v>
      </c>
      <c r="K589">
        <v>5</v>
      </c>
      <c r="L589">
        <v>26</v>
      </c>
      <c r="M589">
        <v>14</v>
      </c>
      <c r="N589" s="7">
        <f t="shared" si="63"/>
        <v>83</v>
      </c>
      <c r="O589" s="7" t="str">
        <f t="shared" si="66"/>
        <v>Popular</v>
      </c>
      <c r="P589" s="7" t="str">
        <f t="shared" si="64"/>
        <v>Yes</v>
      </c>
      <c r="Q589" s="7" t="str">
        <f t="shared" si="65"/>
        <v>Wide Reach</v>
      </c>
      <c r="R589" s="7" t="str">
        <f t="shared" si="67"/>
        <v>Afternoon</v>
      </c>
      <c r="S589" s="7" t="str">
        <f t="shared" si="68"/>
        <v>Europe</v>
      </c>
      <c r="T589" s="30">
        <f t="shared" si="69"/>
        <v>1.9642857142857142</v>
      </c>
      <c r="U589" s="6"/>
      <c r="V589" s="6"/>
    </row>
    <row r="590" spans="1:22" x14ac:dyDescent="0.3">
      <c r="A590" t="s">
        <v>1482</v>
      </c>
      <c r="B590" t="s">
        <v>2184</v>
      </c>
      <c r="C590" t="s">
        <v>770</v>
      </c>
      <c r="D590" s="1">
        <v>45073.885416666664</v>
      </c>
      <c r="E590" t="s">
        <v>762</v>
      </c>
      <c r="F590" t="s">
        <v>578</v>
      </c>
      <c r="G590">
        <v>22</v>
      </c>
      <c r="H590">
        <v>45</v>
      </c>
      <c r="I590" t="s">
        <v>720</v>
      </c>
      <c r="J590">
        <v>2023</v>
      </c>
      <c r="K590">
        <v>5</v>
      </c>
      <c r="L590">
        <v>27</v>
      </c>
      <c r="M590">
        <v>21</v>
      </c>
      <c r="N590" s="7">
        <f t="shared" si="63"/>
        <v>67</v>
      </c>
      <c r="O590" s="7" t="str">
        <f t="shared" si="66"/>
        <v>Popular</v>
      </c>
      <c r="P590" s="7" t="str">
        <f t="shared" si="64"/>
        <v>No</v>
      </c>
      <c r="Q590" s="7" t="str">
        <f t="shared" si="65"/>
        <v>Wide Reach</v>
      </c>
      <c r="R590" s="7" t="str">
        <f t="shared" si="67"/>
        <v>Evening</v>
      </c>
      <c r="S590" s="7" t="str">
        <f t="shared" si="68"/>
        <v>North America</v>
      </c>
      <c r="T590" s="30">
        <f t="shared" si="69"/>
        <v>2.0454545454545454</v>
      </c>
      <c r="U590" s="6"/>
      <c r="V590" s="6"/>
    </row>
    <row r="591" spans="1:22" x14ac:dyDescent="0.3">
      <c r="A591" t="s">
        <v>1483</v>
      </c>
      <c r="B591" t="s">
        <v>2185</v>
      </c>
      <c r="C591" t="s">
        <v>780</v>
      </c>
      <c r="D591" s="1">
        <v>45074.5</v>
      </c>
      <c r="E591" t="s">
        <v>763</v>
      </c>
      <c r="F591" t="s">
        <v>579</v>
      </c>
      <c r="G591">
        <v>18</v>
      </c>
      <c r="H591">
        <v>35</v>
      </c>
      <c r="I591" t="s">
        <v>30</v>
      </c>
      <c r="J591">
        <v>2023</v>
      </c>
      <c r="K591">
        <v>5</v>
      </c>
      <c r="L591">
        <v>28</v>
      </c>
      <c r="M591">
        <v>12</v>
      </c>
      <c r="N591" s="7">
        <f t="shared" si="63"/>
        <v>53</v>
      </c>
      <c r="O591" s="7" t="str">
        <f t="shared" si="66"/>
        <v>Normal</v>
      </c>
      <c r="P591" s="7" t="str">
        <f t="shared" si="64"/>
        <v>No</v>
      </c>
      <c r="Q591" s="7" t="str">
        <f t="shared" si="65"/>
        <v>Standard</v>
      </c>
      <c r="R591" s="7" t="str">
        <f t="shared" si="67"/>
        <v>Afternoon</v>
      </c>
      <c r="S591" s="7" t="str">
        <f t="shared" si="68"/>
        <v>North America</v>
      </c>
      <c r="T591" s="30">
        <f t="shared" si="69"/>
        <v>1.9444444444444444</v>
      </c>
      <c r="U591" s="6"/>
      <c r="V591" s="6"/>
    </row>
    <row r="592" spans="1:22" x14ac:dyDescent="0.3">
      <c r="A592" t="s">
        <v>1484</v>
      </c>
      <c r="B592" t="s">
        <v>2186</v>
      </c>
      <c r="C592" t="s">
        <v>772</v>
      </c>
      <c r="D592" s="1">
        <v>45075.979166666664</v>
      </c>
      <c r="E592" t="s">
        <v>761</v>
      </c>
      <c r="F592" t="s">
        <v>580</v>
      </c>
      <c r="G592">
        <v>30</v>
      </c>
      <c r="H592">
        <v>60</v>
      </c>
      <c r="I592" t="s">
        <v>722</v>
      </c>
      <c r="J592">
        <v>2023</v>
      </c>
      <c r="K592">
        <v>5</v>
      </c>
      <c r="L592">
        <v>29</v>
      </c>
      <c r="M592">
        <v>23</v>
      </c>
      <c r="N592" s="7">
        <f t="shared" si="63"/>
        <v>90</v>
      </c>
      <c r="O592" s="7" t="str">
        <f t="shared" si="66"/>
        <v>Popular</v>
      </c>
      <c r="P592" s="7" t="str">
        <f t="shared" si="64"/>
        <v>Yes</v>
      </c>
      <c r="Q592" s="7" t="str">
        <f t="shared" si="65"/>
        <v>Wide Reach</v>
      </c>
      <c r="R592" s="7" t="str">
        <f t="shared" si="67"/>
        <v>Evening</v>
      </c>
      <c r="S592" s="7" t="str">
        <f t="shared" si="68"/>
        <v>Europe</v>
      </c>
      <c r="T592" s="30">
        <f t="shared" si="69"/>
        <v>2</v>
      </c>
      <c r="U592" s="6"/>
      <c r="V592" s="6"/>
    </row>
    <row r="593" spans="1:22" x14ac:dyDescent="0.3">
      <c r="A593" t="s">
        <v>993</v>
      </c>
      <c r="B593" t="s">
        <v>2187</v>
      </c>
      <c r="C593" t="s">
        <v>787</v>
      </c>
      <c r="D593" s="1">
        <v>45076.864583333336</v>
      </c>
      <c r="E593" t="s">
        <v>762</v>
      </c>
      <c r="F593" t="s">
        <v>581</v>
      </c>
      <c r="G593">
        <v>22</v>
      </c>
      <c r="H593">
        <v>45</v>
      </c>
      <c r="I593" t="s">
        <v>30</v>
      </c>
      <c r="J593">
        <v>2023</v>
      </c>
      <c r="K593">
        <v>5</v>
      </c>
      <c r="L593">
        <v>30</v>
      </c>
      <c r="M593">
        <v>20</v>
      </c>
      <c r="N593" s="7">
        <f t="shared" si="63"/>
        <v>67</v>
      </c>
      <c r="O593" s="7" t="str">
        <f t="shared" si="66"/>
        <v>Popular</v>
      </c>
      <c r="P593" s="7" t="str">
        <f t="shared" si="64"/>
        <v>No</v>
      </c>
      <c r="Q593" s="7" t="str">
        <f t="shared" si="65"/>
        <v>Wide Reach</v>
      </c>
      <c r="R593" s="7" t="str">
        <f t="shared" si="67"/>
        <v>Evening</v>
      </c>
      <c r="S593" s="7" t="str">
        <f t="shared" si="68"/>
        <v>North America</v>
      </c>
      <c r="T593" s="30">
        <f t="shared" si="69"/>
        <v>2.0454545454545454</v>
      </c>
      <c r="U593" s="6"/>
      <c r="V593" s="6"/>
    </row>
    <row r="594" spans="1:22" x14ac:dyDescent="0.3">
      <c r="A594" t="s">
        <v>1485</v>
      </c>
      <c r="B594" t="s">
        <v>2188</v>
      </c>
      <c r="C594" t="s">
        <v>772</v>
      </c>
      <c r="D594" s="1">
        <v>45077.645833333336</v>
      </c>
      <c r="E594" t="s">
        <v>763</v>
      </c>
      <c r="F594" t="s">
        <v>582</v>
      </c>
      <c r="G594">
        <v>35</v>
      </c>
      <c r="H594">
        <v>70</v>
      </c>
      <c r="I594" t="s">
        <v>720</v>
      </c>
      <c r="J594">
        <v>2023</v>
      </c>
      <c r="K594">
        <v>5</v>
      </c>
      <c r="L594">
        <v>31</v>
      </c>
      <c r="M594">
        <v>15</v>
      </c>
      <c r="N594" s="7">
        <f t="shared" si="63"/>
        <v>105</v>
      </c>
      <c r="O594" s="7" t="str">
        <f t="shared" si="66"/>
        <v>Popular</v>
      </c>
      <c r="P594" s="7" t="str">
        <f t="shared" si="64"/>
        <v>Yes</v>
      </c>
      <c r="Q594" s="7" t="str">
        <f t="shared" si="65"/>
        <v>Wide Reach</v>
      </c>
      <c r="R594" s="7" t="str">
        <f t="shared" si="67"/>
        <v>Afternoon</v>
      </c>
      <c r="S594" s="7" t="str">
        <f t="shared" si="68"/>
        <v>North America</v>
      </c>
      <c r="T594" s="30">
        <f t="shared" si="69"/>
        <v>2</v>
      </c>
      <c r="U594" s="6"/>
      <c r="V594" s="6"/>
    </row>
    <row r="595" spans="1:22" x14ac:dyDescent="0.3">
      <c r="A595" t="s">
        <v>1486</v>
      </c>
      <c r="B595" t="s">
        <v>2189</v>
      </c>
      <c r="C595" t="s">
        <v>787</v>
      </c>
      <c r="D595" s="1">
        <v>45078.75</v>
      </c>
      <c r="E595" t="s">
        <v>761</v>
      </c>
      <c r="F595" t="s">
        <v>583</v>
      </c>
      <c r="G595">
        <v>20</v>
      </c>
      <c r="H595">
        <v>40</v>
      </c>
      <c r="I595" t="s">
        <v>30</v>
      </c>
      <c r="J595">
        <v>2023</v>
      </c>
      <c r="K595">
        <v>6</v>
      </c>
      <c r="L595">
        <v>1</v>
      </c>
      <c r="M595">
        <v>18</v>
      </c>
      <c r="N595" s="7">
        <f t="shared" si="63"/>
        <v>60</v>
      </c>
      <c r="O595" s="7" t="str">
        <f t="shared" si="66"/>
        <v>Normal</v>
      </c>
      <c r="P595" s="7" t="str">
        <f t="shared" si="64"/>
        <v>No</v>
      </c>
      <c r="Q595" s="7" t="str">
        <f t="shared" si="65"/>
        <v>Standard</v>
      </c>
      <c r="R595" s="7" t="str">
        <f t="shared" si="67"/>
        <v>Evening</v>
      </c>
      <c r="S595" s="7" t="str">
        <f t="shared" si="68"/>
        <v>North America</v>
      </c>
      <c r="T595" s="30">
        <f t="shared" si="69"/>
        <v>2</v>
      </c>
      <c r="U595" s="6"/>
      <c r="V595" s="6"/>
    </row>
    <row r="596" spans="1:22" x14ac:dyDescent="0.3">
      <c r="A596" t="s">
        <v>1487</v>
      </c>
      <c r="B596" t="s">
        <v>2190</v>
      </c>
      <c r="C596" t="s">
        <v>809</v>
      </c>
      <c r="D596" s="1">
        <v>45079.604166666664</v>
      </c>
      <c r="E596" t="s">
        <v>762</v>
      </c>
      <c r="F596" t="s">
        <v>584</v>
      </c>
      <c r="G596">
        <v>28</v>
      </c>
      <c r="H596">
        <v>55</v>
      </c>
      <c r="I596" t="s">
        <v>722</v>
      </c>
      <c r="J596">
        <v>2023</v>
      </c>
      <c r="K596">
        <v>6</v>
      </c>
      <c r="L596">
        <v>2</v>
      </c>
      <c r="M596">
        <v>14</v>
      </c>
      <c r="N596" s="7">
        <f t="shared" si="63"/>
        <v>83</v>
      </c>
      <c r="O596" s="7" t="str">
        <f t="shared" si="66"/>
        <v>Popular</v>
      </c>
      <c r="P596" s="7" t="str">
        <f t="shared" si="64"/>
        <v>Yes</v>
      </c>
      <c r="Q596" s="7" t="str">
        <f t="shared" si="65"/>
        <v>Wide Reach</v>
      </c>
      <c r="R596" s="7" t="str">
        <f t="shared" si="67"/>
        <v>Afternoon</v>
      </c>
      <c r="S596" s="7" t="str">
        <f t="shared" si="68"/>
        <v>Europe</v>
      </c>
      <c r="T596" s="30">
        <f t="shared" si="69"/>
        <v>1.9642857142857142</v>
      </c>
      <c r="U596" s="6"/>
      <c r="V596" s="6"/>
    </row>
    <row r="597" spans="1:22" x14ac:dyDescent="0.3">
      <c r="A597" t="s">
        <v>1488</v>
      </c>
      <c r="B597" t="s">
        <v>2191</v>
      </c>
      <c r="C597" t="s">
        <v>772</v>
      </c>
      <c r="D597" s="1">
        <v>45080.885416666664</v>
      </c>
      <c r="E597" t="s">
        <v>763</v>
      </c>
      <c r="F597" t="s">
        <v>585</v>
      </c>
      <c r="G597">
        <v>22</v>
      </c>
      <c r="H597">
        <v>45</v>
      </c>
      <c r="I597" t="s">
        <v>720</v>
      </c>
      <c r="J597">
        <v>2023</v>
      </c>
      <c r="K597">
        <v>6</v>
      </c>
      <c r="L597">
        <v>3</v>
      </c>
      <c r="M597">
        <v>21</v>
      </c>
      <c r="N597" s="7">
        <f t="shared" si="63"/>
        <v>67</v>
      </c>
      <c r="O597" s="7" t="str">
        <f t="shared" si="66"/>
        <v>Popular</v>
      </c>
      <c r="P597" s="7" t="str">
        <f t="shared" si="64"/>
        <v>No</v>
      </c>
      <c r="Q597" s="7" t="str">
        <f t="shared" si="65"/>
        <v>Wide Reach</v>
      </c>
      <c r="R597" s="7" t="str">
        <f t="shared" si="67"/>
        <v>Evening</v>
      </c>
      <c r="S597" s="7" t="str">
        <f t="shared" si="68"/>
        <v>North America</v>
      </c>
      <c r="T597" s="30">
        <f t="shared" si="69"/>
        <v>2.0454545454545454</v>
      </c>
      <c r="U597" s="6"/>
      <c r="V597" s="6"/>
    </row>
    <row r="598" spans="1:22" x14ac:dyDescent="0.3">
      <c r="A598" t="s">
        <v>1090</v>
      </c>
      <c r="B598" t="s">
        <v>2192</v>
      </c>
      <c r="C598" t="s">
        <v>789</v>
      </c>
      <c r="D598" s="1">
        <v>45081.8125</v>
      </c>
      <c r="E598" t="s">
        <v>761</v>
      </c>
      <c r="F598" t="s">
        <v>586</v>
      </c>
      <c r="G598">
        <v>25</v>
      </c>
      <c r="H598">
        <v>50</v>
      </c>
      <c r="I598" t="s">
        <v>30</v>
      </c>
      <c r="J598">
        <v>2023</v>
      </c>
      <c r="K598">
        <v>6</v>
      </c>
      <c r="L598">
        <v>4</v>
      </c>
      <c r="M598">
        <v>19</v>
      </c>
      <c r="N598" s="7">
        <f t="shared" si="63"/>
        <v>75</v>
      </c>
      <c r="O598" s="7" t="str">
        <f t="shared" si="66"/>
        <v>Popular</v>
      </c>
      <c r="P598" s="7" t="str">
        <f t="shared" si="64"/>
        <v>No</v>
      </c>
      <c r="Q598" s="7" t="str">
        <f t="shared" si="65"/>
        <v>Wide Reach</v>
      </c>
      <c r="R598" s="7" t="str">
        <f t="shared" si="67"/>
        <v>Evening</v>
      </c>
      <c r="S598" s="7" t="str">
        <f t="shared" si="68"/>
        <v>North America</v>
      </c>
      <c r="T598" s="30">
        <f t="shared" si="69"/>
        <v>2</v>
      </c>
      <c r="U598" s="6"/>
      <c r="V598" s="6"/>
    </row>
    <row r="599" spans="1:22" x14ac:dyDescent="0.3">
      <c r="A599" t="s">
        <v>1489</v>
      </c>
      <c r="B599" t="s">
        <v>2193</v>
      </c>
      <c r="C599" t="s">
        <v>787</v>
      </c>
      <c r="D599" s="1">
        <v>45082.416666666664</v>
      </c>
      <c r="E599" t="s">
        <v>762</v>
      </c>
      <c r="F599" t="s">
        <v>587</v>
      </c>
      <c r="G599">
        <v>18</v>
      </c>
      <c r="H599">
        <v>35</v>
      </c>
      <c r="I599" t="s">
        <v>722</v>
      </c>
      <c r="J599">
        <v>2023</v>
      </c>
      <c r="K599">
        <v>6</v>
      </c>
      <c r="L599">
        <v>5</v>
      </c>
      <c r="M599">
        <v>10</v>
      </c>
      <c r="N599" s="7">
        <f t="shared" si="63"/>
        <v>53</v>
      </c>
      <c r="O599" s="7" t="str">
        <f t="shared" si="66"/>
        <v>Normal</v>
      </c>
      <c r="P599" s="7" t="str">
        <f t="shared" si="64"/>
        <v>No</v>
      </c>
      <c r="Q599" s="7" t="str">
        <f t="shared" si="65"/>
        <v>Standard</v>
      </c>
      <c r="R599" s="7" t="str">
        <f t="shared" si="67"/>
        <v>Morning</v>
      </c>
      <c r="S599" s="7" t="str">
        <f t="shared" si="68"/>
        <v>Europe</v>
      </c>
      <c r="T599" s="30">
        <f t="shared" si="69"/>
        <v>1.9444444444444444</v>
      </c>
      <c r="U599" s="6"/>
      <c r="V599" s="6"/>
    </row>
    <row r="600" spans="1:22" x14ac:dyDescent="0.3">
      <c r="A600" t="s">
        <v>1292</v>
      </c>
      <c r="B600" t="s">
        <v>2194</v>
      </c>
      <c r="C600" t="s">
        <v>772</v>
      </c>
      <c r="D600" s="1">
        <v>45083.9375</v>
      </c>
      <c r="E600" t="s">
        <v>763</v>
      </c>
      <c r="F600" t="s">
        <v>588</v>
      </c>
      <c r="G600">
        <v>28</v>
      </c>
      <c r="H600">
        <v>55</v>
      </c>
      <c r="I600" t="s">
        <v>720</v>
      </c>
      <c r="J600">
        <v>2023</v>
      </c>
      <c r="K600">
        <v>6</v>
      </c>
      <c r="L600">
        <v>6</v>
      </c>
      <c r="M600">
        <v>22</v>
      </c>
      <c r="N600" s="7">
        <f t="shared" si="63"/>
        <v>83</v>
      </c>
      <c r="O600" s="7" t="str">
        <f t="shared" si="66"/>
        <v>Popular</v>
      </c>
      <c r="P600" s="7" t="str">
        <f t="shared" si="64"/>
        <v>Yes</v>
      </c>
      <c r="Q600" s="7" t="str">
        <f t="shared" si="65"/>
        <v>Wide Reach</v>
      </c>
      <c r="R600" s="7" t="str">
        <f t="shared" si="67"/>
        <v>Evening</v>
      </c>
      <c r="S600" s="7" t="str">
        <f t="shared" si="68"/>
        <v>North America</v>
      </c>
      <c r="T600" s="30">
        <f t="shared" si="69"/>
        <v>1.9642857142857142</v>
      </c>
      <c r="U600" s="6"/>
      <c r="V600" s="6"/>
    </row>
    <row r="601" spans="1:22" x14ac:dyDescent="0.3">
      <c r="A601" t="s">
        <v>1490</v>
      </c>
      <c r="B601" t="s">
        <v>2195</v>
      </c>
      <c r="C601" t="s">
        <v>772</v>
      </c>
      <c r="D601" s="1">
        <v>45084.53125</v>
      </c>
      <c r="E601" t="s">
        <v>761</v>
      </c>
      <c r="F601" t="s">
        <v>589</v>
      </c>
      <c r="G601">
        <v>22</v>
      </c>
      <c r="H601">
        <v>45</v>
      </c>
      <c r="I601" t="s">
        <v>30</v>
      </c>
      <c r="J601">
        <v>2023</v>
      </c>
      <c r="K601">
        <v>6</v>
      </c>
      <c r="L601">
        <v>7</v>
      </c>
      <c r="M601">
        <v>12</v>
      </c>
      <c r="N601" s="7">
        <f t="shared" si="63"/>
        <v>67</v>
      </c>
      <c r="O601" s="7" t="str">
        <f t="shared" si="66"/>
        <v>Popular</v>
      </c>
      <c r="P601" s="7" t="str">
        <f t="shared" si="64"/>
        <v>No</v>
      </c>
      <c r="Q601" s="7" t="str">
        <f t="shared" si="65"/>
        <v>Wide Reach</v>
      </c>
      <c r="R601" s="7" t="str">
        <f t="shared" si="67"/>
        <v>Afternoon</v>
      </c>
      <c r="S601" s="7" t="str">
        <f t="shared" si="68"/>
        <v>North America</v>
      </c>
      <c r="T601" s="30">
        <f t="shared" si="69"/>
        <v>2.0454545454545454</v>
      </c>
      <c r="U601" s="6"/>
      <c r="V601" s="6"/>
    </row>
    <row r="602" spans="1:22" x14ac:dyDescent="0.3">
      <c r="A602" t="s">
        <v>1491</v>
      </c>
      <c r="B602" t="s">
        <v>2196</v>
      </c>
      <c r="C602" t="s">
        <v>787</v>
      </c>
      <c r="D602" s="1">
        <v>45085.666666666664</v>
      </c>
      <c r="E602" t="s">
        <v>762</v>
      </c>
      <c r="F602" t="s">
        <v>590</v>
      </c>
      <c r="G602">
        <v>35</v>
      </c>
      <c r="H602">
        <v>70</v>
      </c>
      <c r="I602" t="s">
        <v>722</v>
      </c>
      <c r="J602">
        <v>2023</v>
      </c>
      <c r="K602">
        <v>6</v>
      </c>
      <c r="L602">
        <v>8</v>
      </c>
      <c r="M602">
        <v>16</v>
      </c>
      <c r="N602" s="7">
        <f t="shared" si="63"/>
        <v>105</v>
      </c>
      <c r="O602" s="7" t="str">
        <f t="shared" si="66"/>
        <v>Popular</v>
      </c>
      <c r="P602" s="7" t="str">
        <f t="shared" si="64"/>
        <v>Yes</v>
      </c>
      <c r="Q602" s="7" t="str">
        <f t="shared" si="65"/>
        <v>Wide Reach</v>
      </c>
      <c r="R602" s="7" t="str">
        <f t="shared" si="67"/>
        <v>Afternoon</v>
      </c>
      <c r="S602" s="7" t="str">
        <f t="shared" si="68"/>
        <v>Europe</v>
      </c>
      <c r="T602" s="30">
        <f t="shared" si="69"/>
        <v>2</v>
      </c>
      <c r="U602" s="6"/>
      <c r="V602" s="6"/>
    </row>
    <row r="603" spans="1:22" x14ac:dyDescent="0.3">
      <c r="A603" t="s">
        <v>998</v>
      </c>
      <c r="B603" t="s">
        <v>2197</v>
      </c>
      <c r="C603" t="s">
        <v>816</v>
      </c>
      <c r="D603" s="1">
        <v>45086.583333333336</v>
      </c>
      <c r="E603" t="s">
        <v>763</v>
      </c>
      <c r="F603" t="s">
        <v>591</v>
      </c>
      <c r="G603">
        <v>20</v>
      </c>
      <c r="H603">
        <v>40</v>
      </c>
      <c r="I603" t="s">
        <v>30</v>
      </c>
      <c r="J603">
        <v>2023</v>
      </c>
      <c r="K603">
        <v>6</v>
      </c>
      <c r="L603">
        <v>9</v>
      </c>
      <c r="M603">
        <v>14</v>
      </c>
      <c r="N603" s="7">
        <f t="shared" si="63"/>
        <v>60</v>
      </c>
      <c r="O603" s="7" t="str">
        <f t="shared" si="66"/>
        <v>Normal</v>
      </c>
      <c r="P603" s="7" t="str">
        <f t="shared" si="64"/>
        <v>No</v>
      </c>
      <c r="Q603" s="7" t="str">
        <f t="shared" si="65"/>
        <v>Standard</v>
      </c>
      <c r="R603" s="7" t="str">
        <f t="shared" si="67"/>
        <v>Afternoon</v>
      </c>
      <c r="S603" s="7" t="str">
        <f t="shared" si="68"/>
        <v>North America</v>
      </c>
      <c r="T603" s="30">
        <f t="shared" si="69"/>
        <v>2</v>
      </c>
      <c r="U603" s="6"/>
      <c r="V603" s="6"/>
    </row>
    <row r="604" spans="1:22" x14ac:dyDescent="0.3">
      <c r="A604" t="s">
        <v>1492</v>
      </c>
      <c r="B604" t="s">
        <v>2198</v>
      </c>
      <c r="C604" t="s">
        <v>816</v>
      </c>
      <c r="D604" s="1">
        <v>45087.729166666664</v>
      </c>
      <c r="E604" t="s">
        <v>761</v>
      </c>
      <c r="F604" t="s">
        <v>592</v>
      </c>
      <c r="G604">
        <v>30</v>
      </c>
      <c r="H604">
        <v>60</v>
      </c>
      <c r="I604" t="s">
        <v>720</v>
      </c>
      <c r="J604">
        <v>2023</v>
      </c>
      <c r="K604">
        <v>6</v>
      </c>
      <c r="L604">
        <v>10</v>
      </c>
      <c r="M604">
        <v>17</v>
      </c>
      <c r="N604" s="7">
        <f t="shared" si="63"/>
        <v>90</v>
      </c>
      <c r="O604" s="7" t="str">
        <f t="shared" si="66"/>
        <v>Popular</v>
      </c>
      <c r="P604" s="7" t="str">
        <f t="shared" si="64"/>
        <v>Yes</v>
      </c>
      <c r="Q604" s="7" t="str">
        <f t="shared" si="65"/>
        <v>Wide Reach</v>
      </c>
      <c r="R604" s="7" t="str">
        <f t="shared" si="67"/>
        <v>Afternoon</v>
      </c>
      <c r="S604" s="7" t="str">
        <f t="shared" si="68"/>
        <v>North America</v>
      </c>
      <c r="T604" s="30">
        <f t="shared" si="69"/>
        <v>2</v>
      </c>
      <c r="U604" s="6"/>
      <c r="V604" s="6"/>
    </row>
    <row r="605" spans="1:22" x14ac:dyDescent="0.3">
      <c r="A605" t="s">
        <v>1493</v>
      </c>
      <c r="B605" t="s">
        <v>2199</v>
      </c>
      <c r="C605" t="s">
        <v>793</v>
      </c>
      <c r="D605" s="1">
        <v>45088.645833333336</v>
      </c>
      <c r="E605" t="s">
        <v>762</v>
      </c>
      <c r="F605" t="s">
        <v>593</v>
      </c>
      <c r="G605">
        <v>35</v>
      </c>
      <c r="H605">
        <v>70</v>
      </c>
      <c r="I605" t="s">
        <v>30</v>
      </c>
      <c r="J605">
        <v>2023</v>
      </c>
      <c r="K605">
        <v>6</v>
      </c>
      <c r="L605">
        <v>11</v>
      </c>
      <c r="M605">
        <v>15</v>
      </c>
      <c r="N605" s="7">
        <f t="shared" si="63"/>
        <v>105</v>
      </c>
      <c r="O605" s="7" t="str">
        <f t="shared" si="66"/>
        <v>Popular</v>
      </c>
      <c r="P605" s="7" t="str">
        <f t="shared" si="64"/>
        <v>Yes</v>
      </c>
      <c r="Q605" s="7" t="str">
        <f t="shared" si="65"/>
        <v>Wide Reach</v>
      </c>
      <c r="R605" s="7" t="str">
        <f t="shared" si="67"/>
        <v>Afternoon</v>
      </c>
      <c r="S605" s="7" t="str">
        <f t="shared" si="68"/>
        <v>North America</v>
      </c>
      <c r="T605" s="30">
        <f t="shared" si="69"/>
        <v>2</v>
      </c>
      <c r="U605" s="6"/>
      <c r="V605" s="6"/>
    </row>
    <row r="606" spans="1:22" x14ac:dyDescent="0.3">
      <c r="A606" t="s">
        <v>1494</v>
      </c>
      <c r="B606" t="s">
        <v>2200</v>
      </c>
      <c r="C606" t="s">
        <v>795</v>
      </c>
      <c r="D606" s="1">
        <v>45089.75</v>
      </c>
      <c r="E606" t="s">
        <v>761</v>
      </c>
      <c r="F606" t="s">
        <v>594</v>
      </c>
      <c r="G606">
        <v>28</v>
      </c>
      <c r="H606">
        <v>55</v>
      </c>
      <c r="I606" t="s">
        <v>722</v>
      </c>
      <c r="J606">
        <v>2023</v>
      </c>
      <c r="K606">
        <v>6</v>
      </c>
      <c r="L606">
        <v>12</v>
      </c>
      <c r="M606">
        <v>18</v>
      </c>
      <c r="N606" s="7">
        <f t="shared" si="63"/>
        <v>83</v>
      </c>
      <c r="O606" s="7" t="str">
        <f t="shared" si="66"/>
        <v>Popular</v>
      </c>
      <c r="P606" s="7" t="str">
        <f t="shared" si="64"/>
        <v>Yes</v>
      </c>
      <c r="Q606" s="7" t="str">
        <f t="shared" si="65"/>
        <v>Wide Reach</v>
      </c>
      <c r="R606" s="7" t="str">
        <f t="shared" si="67"/>
        <v>Evening</v>
      </c>
      <c r="S606" s="7" t="str">
        <f t="shared" si="68"/>
        <v>Europe</v>
      </c>
      <c r="T606" s="30">
        <f t="shared" si="69"/>
        <v>1.9642857142857142</v>
      </c>
      <c r="U606" s="6"/>
      <c r="V606" s="6"/>
    </row>
    <row r="607" spans="1:22" x14ac:dyDescent="0.3">
      <c r="A607" t="s">
        <v>1495</v>
      </c>
      <c r="B607" t="s">
        <v>2201</v>
      </c>
      <c r="C607" t="s">
        <v>816</v>
      </c>
      <c r="D607" s="1">
        <v>45090.614583333336</v>
      </c>
      <c r="E607" t="s">
        <v>763</v>
      </c>
      <c r="F607" t="s">
        <v>595</v>
      </c>
      <c r="G607">
        <v>22</v>
      </c>
      <c r="H607">
        <v>45</v>
      </c>
      <c r="I607" t="s">
        <v>720</v>
      </c>
      <c r="J607">
        <v>2023</v>
      </c>
      <c r="K607">
        <v>6</v>
      </c>
      <c r="L607">
        <v>13</v>
      </c>
      <c r="M607">
        <v>14</v>
      </c>
      <c r="N607" s="7">
        <f t="shared" si="63"/>
        <v>67</v>
      </c>
      <c r="O607" s="7" t="str">
        <f t="shared" si="66"/>
        <v>Popular</v>
      </c>
      <c r="P607" s="7" t="str">
        <f t="shared" si="64"/>
        <v>No</v>
      </c>
      <c r="Q607" s="7" t="str">
        <f t="shared" si="65"/>
        <v>Wide Reach</v>
      </c>
      <c r="R607" s="7" t="str">
        <f t="shared" si="67"/>
        <v>Afternoon</v>
      </c>
      <c r="S607" s="7" t="str">
        <f t="shared" si="68"/>
        <v>North America</v>
      </c>
      <c r="T607" s="30">
        <f t="shared" si="69"/>
        <v>2.0454545454545454</v>
      </c>
      <c r="U607" s="6"/>
      <c r="V607" s="6"/>
    </row>
    <row r="608" spans="1:22" x14ac:dyDescent="0.3">
      <c r="A608" t="s">
        <v>1496</v>
      </c>
      <c r="B608" t="s">
        <v>2202</v>
      </c>
      <c r="C608" t="s">
        <v>793</v>
      </c>
      <c r="D608" s="1">
        <v>45091.8125</v>
      </c>
      <c r="E608" t="s">
        <v>762</v>
      </c>
      <c r="F608" t="s">
        <v>596</v>
      </c>
      <c r="G608">
        <v>25</v>
      </c>
      <c r="H608">
        <v>50</v>
      </c>
      <c r="I608" t="s">
        <v>30</v>
      </c>
      <c r="J608">
        <v>2023</v>
      </c>
      <c r="K608">
        <v>6</v>
      </c>
      <c r="L608">
        <v>14</v>
      </c>
      <c r="M608">
        <v>19</v>
      </c>
      <c r="N608" s="7">
        <f t="shared" si="63"/>
        <v>75</v>
      </c>
      <c r="O608" s="7" t="str">
        <f t="shared" si="66"/>
        <v>Popular</v>
      </c>
      <c r="P608" s="7" t="str">
        <f t="shared" si="64"/>
        <v>No</v>
      </c>
      <c r="Q608" s="7" t="str">
        <f t="shared" si="65"/>
        <v>Wide Reach</v>
      </c>
      <c r="R608" s="7" t="str">
        <f t="shared" si="67"/>
        <v>Evening</v>
      </c>
      <c r="S608" s="7" t="str">
        <f t="shared" si="68"/>
        <v>North America</v>
      </c>
      <c r="T608" s="30">
        <f t="shared" si="69"/>
        <v>2</v>
      </c>
      <c r="U608" s="6"/>
      <c r="V608" s="6"/>
    </row>
    <row r="609" spans="1:22" x14ac:dyDescent="0.3">
      <c r="A609" t="s">
        <v>1497</v>
      </c>
      <c r="B609" t="s">
        <v>2203</v>
      </c>
      <c r="C609" t="s">
        <v>816</v>
      </c>
      <c r="D609" s="1">
        <v>45092.510416666664</v>
      </c>
      <c r="E609" t="s">
        <v>761</v>
      </c>
      <c r="F609" t="s">
        <v>597</v>
      </c>
      <c r="G609">
        <v>30</v>
      </c>
      <c r="H609">
        <v>60</v>
      </c>
      <c r="I609" t="s">
        <v>722</v>
      </c>
      <c r="J609">
        <v>2023</v>
      </c>
      <c r="K609">
        <v>6</v>
      </c>
      <c r="L609">
        <v>15</v>
      </c>
      <c r="M609">
        <v>12</v>
      </c>
      <c r="N609" s="7">
        <f t="shared" si="63"/>
        <v>90</v>
      </c>
      <c r="O609" s="7" t="str">
        <f t="shared" si="66"/>
        <v>Popular</v>
      </c>
      <c r="P609" s="7" t="str">
        <f t="shared" si="64"/>
        <v>Yes</v>
      </c>
      <c r="Q609" s="7" t="str">
        <f t="shared" si="65"/>
        <v>Wide Reach</v>
      </c>
      <c r="R609" s="7" t="str">
        <f t="shared" si="67"/>
        <v>Afternoon</v>
      </c>
      <c r="S609" s="7" t="str">
        <f t="shared" si="68"/>
        <v>Europe</v>
      </c>
      <c r="T609" s="30">
        <f t="shared" si="69"/>
        <v>2</v>
      </c>
      <c r="U609" s="6"/>
      <c r="V609" s="6"/>
    </row>
    <row r="610" spans="1:22" x14ac:dyDescent="0.3">
      <c r="A610" t="s">
        <v>1498</v>
      </c>
      <c r="B610" t="s">
        <v>2204</v>
      </c>
      <c r="C610" t="s">
        <v>772</v>
      </c>
      <c r="D610" s="1">
        <v>45093.90625</v>
      </c>
      <c r="E610" t="s">
        <v>763</v>
      </c>
      <c r="F610" t="s">
        <v>598</v>
      </c>
      <c r="G610">
        <v>18</v>
      </c>
      <c r="H610">
        <v>35</v>
      </c>
      <c r="I610" t="s">
        <v>720</v>
      </c>
      <c r="J610">
        <v>2023</v>
      </c>
      <c r="K610">
        <v>6</v>
      </c>
      <c r="L610">
        <v>16</v>
      </c>
      <c r="M610">
        <v>21</v>
      </c>
      <c r="N610" s="7">
        <f t="shared" si="63"/>
        <v>53</v>
      </c>
      <c r="O610" s="7" t="str">
        <f t="shared" si="66"/>
        <v>Normal</v>
      </c>
      <c r="P610" s="7" t="str">
        <f t="shared" si="64"/>
        <v>No</v>
      </c>
      <c r="Q610" s="7" t="str">
        <f t="shared" si="65"/>
        <v>Standard</v>
      </c>
      <c r="R610" s="7" t="str">
        <f t="shared" si="67"/>
        <v>Evening</v>
      </c>
      <c r="S610" s="7" t="str">
        <f t="shared" si="68"/>
        <v>North America</v>
      </c>
      <c r="T610" s="30">
        <f t="shared" si="69"/>
        <v>1.9444444444444444</v>
      </c>
      <c r="U610" s="6"/>
      <c r="V610" s="6"/>
    </row>
    <row r="611" spans="1:22" x14ac:dyDescent="0.3">
      <c r="A611" t="s">
        <v>1499</v>
      </c>
      <c r="B611" t="s">
        <v>2205</v>
      </c>
      <c r="C611" t="s">
        <v>772</v>
      </c>
      <c r="D611" s="1">
        <v>45094.625</v>
      </c>
      <c r="E611" t="s">
        <v>762</v>
      </c>
      <c r="F611" t="s">
        <v>599</v>
      </c>
      <c r="G611">
        <v>35</v>
      </c>
      <c r="H611">
        <v>70</v>
      </c>
      <c r="I611" t="s">
        <v>30</v>
      </c>
      <c r="J611">
        <v>2023</v>
      </c>
      <c r="K611">
        <v>6</v>
      </c>
      <c r="L611">
        <v>17</v>
      </c>
      <c r="M611">
        <v>15</v>
      </c>
      <c r="N611" s="7">
        <f t="shared" si="63"/>
        <v>105</v>
      </c>
      <c r="O611" s="7" t="str">
        <f t="shared" si="66"/>
        <v>Popular</v>
      </c>
      <c r="P611" s="7" t="str">
        <f t="shared" si="64"/>
        <v>Yes</v>
      </c>
      <c r="Q611" s="7" t="str">
        <f t="shared" si="65"/>
        <v>Wide Reach</v>
      </c>
      <c r="R611" s="7" t="str">
        <f t="shared" si="67"/>
        <v>Afternoon</v>
      </c>
      <c r="S611" s="7" t="str">
        <f t="shared" si="68"/>
        <v>North America</v>
      </c>
      <c r="T611" s="30">
        <f t="shared" si="69"/>
        <v>2</v>
      </c>
      <c r="U611" s="6"/>
      <c r="V611" s="6"/>
    </row>
    <row r="612" spans="1:22" x14ac:dyDescent="0.3">
      <c r="A612" t="s">
        <v>1500</v>
      </c>
      <c r="B612" t="s">
        <v>2206</v>
      </c>
      <c r="C612" t="s">
        <v>793</v>
      </c>
      <c r="D612" s="1">
        <v>45095.479166666664</v>
      </c>
      <c r="E612" t="s">
        <v>761</v>
      </c>
      <c r="F612" t="s">
        <v>600</v>
      </c>
      <c r="G612">
        <v>28</v>
      </c>
      <c r="H612">
        <v>55</v>
      </c>
      <c r="I612" t="s">
        <v>722</v>
      </c>
      <c r="J612">
        <v>2023</v>
      </c>
      <c r="K612">
        <v>6</v>
      </c>
      <c r="L612">
        <v>18</v>
      </c>
      <c r="M612">
        <v>11</v>
      </c>
      <c r="N612" s="7">
        <f t="shared" si="63"/>
        <v>83</v>
      </c>
      <c r="O612" s="7" t="str">
        <f t="shared" si="66"/>
        <v>Popular</v>
      </c>
      <c r="P612" s="7" t="str">
        <f t="shared" si="64"/>
        <v>Yes</v>
      </c>
      <c r="Q612" s="7" t="str">
        <f t="shared" si="65"/>
        <v>Wide Reach</v>
      </c>
      <c r="R612" s="7" t="str">
        <f t="shared" si="67"/>
        <v>Morning</v>
      </c>
      <c r="S612" s="7" t="str">
        <f t="shared" si="68"/>
        <v>Europe</v>
      </c>
      <c r="T612" s="30">
        <f t="shared" si="69"/>
        <v>1.9642857142857142</v>
      </c>
      <c r="U612" s="6"/>
      <c r="V612" s="6"/>
    </row>
    <row r="613" spans="1:22" x14ac:dyDescent="0.3">
      <c r="A613" t="s">
        <v>1501</v>
      </c>
      <c r="B613" t="s">
        <v>2207</v>
      </c>
      <c r="C613" t="s">
        <v>772</v>
      </c>
      <c r="D613" s="1">
        <v>45096.6875</v>
      </c>
      <c r="E613" t="s">
        <v>763</v>
      </c>
      <c r="F613" t="s">
        <v>601</v>
      </c>
      <c r="G613">
        <v>22</v>
      </c>
      <c r="H613">
        <v>45</v>
      </c>
      <c r="I613" t="s">
        <v>720</v>
      </c>
      <c r="J613">
        <v>2023</v>
      </c>
      <c r="K613">
        <v>6</v>
      </c>
      <c r="L613">
        <v>19</v>
      </c>
      <c r="M613">
        <v>16</v>
      </c>
      <c r="N613" s="7">
        <f t="shared" si="63"/>
        <v>67</v>
      </c>
      <c r="O613" s="7" t="str">
        <f t="shared" si="66"/>
        <v>Popular</v>
      </c>
      <c r="P613" s="7" t="str">
        <f t="shared" si="64"/>
        <v>No</v>
      </c>
      <c r="Q613" s="7" t="str">
        <f t="shared" si="65"/>
        <v>Wide Reach</v>
      </c>
      <c r="R613" s="7" t="str">
        <f t="shared" si="67"/>
        <v>Afternoon</v>
      </c>
      <c r="S613" s="7" t="str">
        <f t="shared" si="68"/>
        <v>North America</v>
      </c>
      <c r="T613" s="30">
        <f t="shared" si="69"/>
        <v>2.0454545454545454</v>
      </c>
      <c r="U613" s="6"/>
      <c r="V613" s="6"/>
    </row>
    <row r="614" spans="1:22" x14ac:dyDescent="0.3">
      <c r="A614" t="s">
        <v>1502</v>
      </c>
      <c r="B614" t="s">
        <v>2208</v>
      </c>
      <c r="C614" t="s">
        <v>772</v>
      </c>
      <c r="D614" s="1">
        <v>45097.597222222219</v>
      </c>
      <c r="E614" t="s">
        <v>762</v>
      </c>
      <c r="F614" t="s">
        <v>602</v>
      </c>
      <c r="G614">
        <v>20</v>
      </c>
      <c r="H614">
        <v>40</v>
      </c>
      <c r="I614" t="s">
        <v>30</v>
      </c>
      <c r="J614">
        <v>2023</v>
      </c>
      <c r="K614">
        <v>6</v>
      </c>
      <c r="L614">
        <v>20</v>
      </c>
      <c r="M614">
        <v>14</v>
      </c>
      <c r="N614" s="7">
        <f t="shared" si="63"/>
        <v>60</v>
      </c>
      <c r="O614" s="7" t="str">
        <f t="shared" si="66"/>
        <v>Normal</v>
      </c>
      <c r="P614" s="7" t="str">
        <f t="shared" si="64"/>
        <v>No</v>
      </c>
      <c r="Q614" s="7" t="str">
        <f t="shared" si="65"/>
        <v>Standard</v>
      </c>
      <c r="R614" s="7" t="str">
        <f t="shared" si="67"/>
        <v>Afternoon</v>
      </c>
      <c r="S614" s="7" t="str">
        <f t="shared" si="68"/>
        <v>North America</v>
      </c>
      <c r="T614" s="30">
        <f t="shared" si="69"/>
        <v>2</v>
      </c>
      <c r="U614" s="6"/>
      <c r="V614" s="6"/>
    </row>
    <row r="615" spans="1:22" x14ac:dyDescent="0.3">
      <c r="A615" t="s">
        <v>1503</v>
      </c>
      <c r="B615" t="s">
        <v>2209</v>
      </c>
      <c r="C615" t="s">
        <v>793</v>
      </c>
      <c r="D615" s="1">
        <v>45098.791666666664</v>
      </c>
      <c r="E615" t="s">
        <v>761</v>
      </c>
      <c r="F615" t="s">
        <v>603</v>
      </c>
      <c r="G615">
        <v>18</v>
      </c>
      <c r="H615">
        <v>35</v>
      </c>
      <c r="I615" t="s">
        <v>722</v>
      </c>
      <c r="J615">
        <v>2023</v>
      </c>
      <c r="K615">
        <v>6</v>
      </c>
      <c r="L615">
        <v>21</v>
      </c>
      <c r="M615">
        <v>19</v>
      </c>
      <c r="N615" s="7">
        <f t="shared" si="63"/>
        <v>53</v>
      </c>
      <c r="O615" s="7" t="str">
        <f t="shared" si="66"/>
        <v>Normal</v>
      </c>
      <c r="P615" s="7" t="str">
        <f t="shared" si="64"/>
        <v>No</v>
      </c>
      <c r="Q615" s="7" t="str">
        <f t="shared" si="65"/>
        <v>Standard</v>
      </c>
      <c r="R615" s="7" t="str">
        <f t="shared" si="67"/>
        <v>Evening</v>
      </c>
      <c r="S615" s="7" t="str">
        <f t="shared" si="68"/>
        <v>Europe</v>
      </c>
      <c r="T615" s="30">
        <f t="shared" si="69"/>
        <v>1.9444444444444444</v>
      </c>
      <c r="U615" s="6"/>
      <c r="V615" s="6"/>
    </row>
    <row r="616" spans="1:22" x14ac:dyDescent="0.3">
      <c r="A616" t="s">
        <v>1274</v>
      </c>
      <c r="B616" t="s">
        <v>2210</v>
      </c>
      <c r="C616" t="s">
        <v>793</v>
      </c>
      <c r="D616" s="1">
        <v>45099.572916666664</v>
      </c>
      <c r="E616" t="s">
        <v>763</v>
      </c>
      <c r="F616" t="s">
        <v>604</v>
      </c>
      <c r="G616">
        <v>25</v>
      </c>
      <c r="H616">
        <v>50</v>
      </c>
      <c r="I616" t="s">
        <v>30</v>
      </c>
      <c r="J616">
        <v>2023</v>
      </c>
      <c r="K616">
        <v>6</v>
      </c>
      <c r="L616">
        <v>22</v>
      </c>
      <c r="M616">
        <v>13</v>
      </c>
      <c r="N616" s="7">
        <f t="shared" si="63"/>
        <v>75</v>
      </c>
      <c r="O616" s="7" t="str">
        <f t="shared" si="66"/>
        <v>Popular</v>
      </c>
      <c r="P616" s="7" t="str">
        <f t="shared" si="64"/>
        <v>No</v>
      </c>
      <c r="Q616" s="7" t="str">
        <f t="shared" si="65"/>
        <v>Wide Reach</v>
      </c>
      <c r="R616" s="7" t="str">
        <f t="shared" si="67"/>
        <v>Afternoon</v>
      </c>
      <c r="S616" s="7" t="str">
        <f t="shared" si="68"/>
        <v>North America</v>
      </c>
      <c r="T616" s="30">
        <f t="shared" si="69"/>
        <v>2</v>
      </c>
      <c r="U616" s="6"/>
      <c r="V616" s="6"/>
    </row>
    <row r="617" spans="1:22" x14ac:dyDescent="0.3">
      <c r="A617" t="s">
        <v>1504</v>
      </c>
      <c r="B617" t="s">
        <v>2211</v>
      </c>
      <c r="C617" t="s">
        <v>793</v>
      </c>
      <c r="D617" s="1">
        <v>45100.78125</v>
      </c>
      <c r="E617" t="s">
        <v>762</v>
      </c>
      <c r="F617" t="s">
        <v>605</v>
      </c>
      <c r="G617">
        <v>28</v>
      </c>
      <c r="H617">
        <v>55</v>
      </c>
      <c r="I617" t="s">
        <v>722</v>
      </c>
      <c r="J617">
        <v>2023</v>
      </c>
      <c r="K617">
        <v>6</v>
      </c>
      <c r="L617">
        <v>23</v>
      </c>
      <c r="M617">
        <v>18</v>
      </c>
      <c r="N617" s="7">
        <f t="shared" si="63"/>
        <v>83</v>
      </c>
      <c r="O617" s="7" t="str">
        <f t="shared" si="66"/>
        <v>Popular</v>
      </c>
      <c r="P617" s="7" t="str">
        <f t="shared" si="64"/>
        <v>Yes</v>
      </c>
      <c r="Q617" s="7" t="str">
        <f t="shared" si="65"/>
        <v>Wide Reach</v>
      </c>
      <c r="R617" s="7" t="str">
        <f t="shared" si="67"/>
        <v>Evening</v>
      </c>
      <c r="S617" s="7" t="str">
        <f t="shared" si="68"/>
        <v>Europe</v>
      </c>
      <c r="T617" s="30">
        <f t="shared" si="69"/>
        <v>1.9642857142857142</v>
      </c>
      <c r="U617" s="6"/>
      <c r="V617" s="6"/>
    </row>
    <row r="618" spans="1:22" x14ac:dyDescent="0.3">
      <c r="A618" t="s">
        <v>1505</v>
      </c>
      <c r="B618" t="s">
        <v>2212</v>
      </c>
      <c r="C618" t="s">
        <v>772</v>
      </c>
      <c r="D618" s="1">
        <v>45101.677083333336</v>
      </c>
      <c r="E618" t="s">
        <v>761</v>
      </c>
      <c r="F618" t="s">
        <v>606</v>
      </c>
      <c r="G618">
        <v>22</v>
      </c>
      <c r="H618">
        <v>45</v>
      </c>
      <c r="I618" t="s">
        <v>720</v>
      </c>
      <c r="J618">
        <v>2023</v>
      </c>
      <c r="K618">
        <v>6</v>
      </c>
      <c r="L618">
        <v>24</v>
      </c>
      <c r="M618">
        <v>16</v>
      </c>
      <c r="N618" s="7">
        <f t="shared" si="63"/>
        <v>67</v>
      </c>
      <c r="O618" s="7" t="str">
        <f t="shared" si="66"/>
        <v>Popular</v>
      </c>
      <c r="P618" s="7" t="str">
        <f t="shared" si="64"/>
        <v>No</v>
      </c>
      <c r="Q618" s="7" t="str">
        <f t="shared" si="65"/>
        <v>Wide Reach</v>
      </c>
      <c r="R618" s="7" t="str">
        <f t="shared" si="67"/>
        <v>Afternoon</v>
      </c>
      <c r="S618" s="7" t="str">
        <f t="shared" si="68"/>
        <v>North America</v>
      </c>
      <c r="T618" s="30">
        <f t="shared" si="69"/>
        <v>2.0454545454545454</v>
      </c>
      <c r="U618" s="6"/>
      <c r="V618" s="6"/>
    </row>
    <row r="619" spans="1:22" x14ac:dyDescent="0.3">
      <c r="A619" t="s">
        <v>1506</v>
      </c>
      <c r="B619" t="s">
        <v>2213</v>
      </c>
      <c r="C619" t="s">
        <v>795</v>
      </c>
      <c r="D619" s="1">
        <v>45102.854166666664</v>
      </c>
      <c r="E619" t="s">
        <v>763</v>
      </c>
      <c r="F619" t="s">
        <v>607</v>
      </c>
      <c r="G619">
        <v>35</v>
      </c>
      <c r="H619">
        <v>70</v>
      </c>
      <c r="I619" t="s">
        <v>30</v>
      </c>
      <c r="J619">
        <v>2023</v>
      </c>
      <c r="K619">
        <v>6</v>
      </c>
      <c r="L619">
        <v>25</v>
      </c>
      <c r="M619">
        <v>20</v>
      </c>
      <c r="N619" s="7">
        <f t="shared" si="63"/>
        <v>105</v>
      </c>
      <c r="O619" s="7" t="str">
        <f t="shared" si="66"/>
        <v>Popular</v>
      </c>
      <c r="P619" s="7" t="str">
        <f t="shared" si="64"/>
        <v>Yes</v>
      </c>
      <c r="Q619" s="7" t="str">
        <f t="shared" si="65"/>
        <v>Wide Reach</v>
      </c>
      <c r="R619" s="7" t="str">
        <f t="shared" si="67"/>
        <v>Evening</v>
      </c>
      <c r="S619" s="7" t="str">
        <f t="shared" si="68"/>
        <v>North America</v>
      </c>
      <c r="T619" s="30">
        <f t="shared" si="69"/>
        <v>2</v>
      </c>
      <c r="U619" s="6"/>
      <c r="V619" s="6"/>
    </row>
    <row r="620" spans="1:22" x14ac:dyDescent="0.3">
      <c r="A620" t="s">
        <v>1507</v>
      </c>
      <c r="B620" t="s">
        <v>2214</v>
      </c>
      <c r="C620" t="s">
        <v>816</v>
      </c>
      <c r="D620" s="1">
        <v>45103.583333333336</v>
      </c>
      <c r="E620" t="s">
        <v>762</v>
      </c>
      <c r="F620" t="s">
        <v>608</v>
      </c>
      <c r="G620">
        <v>30</v>
      </c>
      <c r="H620">
        <v>60</v>
      </c>
      <c r="I620" t="s">
        <v>722</v>
      </c>
      <c r="J620">
        <v>2023</v>
      </c>
      <c r="K620">
        <v>6</v>
      </c>
      <c r="L620">
        <v>26</v>
      </c>
      <c r="M620">
        <v>14</v>
      </c>
      <c r="N620" s="7">
        <f t="shared" si="63"/>
        <v>90</v>
      </c>
      <c r="O620" s="7" t="str">
        <f t="shared" si="66"/>
        <v>Popular</v>
      </c>
      <c r="P620" s="7" t="str">
        <f t="shared" si="64"/>
        <v>Yes</v>
      </c>
      <c r="Q620" s="7" t="str">
        <f t="shared" si="65"/>
        <v>Wide Reach</v>
      </c>
      <c r="R620" s="7" t="str">
        <f t="shared" si="67"/>
        <v>Afternoon</v>
      </c>
      <c r="S620" s="7" t="str">
        <f t="shared" si="68"/>
        <v>Europe</v>
      </c>
      <c r="T620" s="30">
        <f t="shared" si="69"/>
        <v>2</v>
      </c>
      <c r="U620" s="6"/>
      <c r="V620" s="6"/>
    </row>
    <row r="621" spans="1:22" x14ac:dyDescent="0.3">
      <c r="A621" t="s">
        <v>1508</v>
      </c>
      <c r="B621" t="s">
        <v>2215</v>
      </c>
      <c r="C621" t="s">
        <v>793</v>
      </c>
      <c r="D621" s="1">
        <v>45104.739583333336</v>
      </c>
      <c r="E621" t="s">
        <v>761</v>
      </c>
      <c r="F621" t="s">
        <v>609</v>
      </c>
      <c r="G621">
        <v>20</v>
      </c>
      <c r="H621">
        <v>40</v>
      </c>
      <c r="I621" t="s">
        <v>30</v>
      </c>
      <c r="J621">
        <v>2023</v>
      </c>
      <c r="K621">
        <v>6</v>
      </c>
      <c r="L621">
        <v>27</v>
      </c>
      <c r="M621">
        <v>17</v>
      </c>
      <c r="N621" s="7">
        <f t="shared" si="63"/>
        <v>60</v>
      </c>
      <c r="O621" s="7" t="str">
        <f t="shared" si="66"/>
        <v>Normal</v>
      </c>
      <c r="P621" s="7" t="str">
        <f t="shared" si="64"/>
        <v>No</v>
      </c>
      <c r="Q621" s="7" t="str">
        <f t="shared" si="65"/>
        <v>Standard</v>
      </c>
      <c r="R621" s="7" t="str">
        <f t="shared" si="67"/>
        <v>Afternoon</v>
      </c>
      <c r="S621" s="7" t="str">
        <f t="shared" si="68"/>
        <v>North America</v>
      </c>
      <c r="T621" s="30">
        <f t="shared" si="69"/>
        <v>2</v>
      </c>
      <c r="U621" s="6"/>
      <c r="V621" s="6"/>
    </row>
    <row r="622" spans="1:22" x14ac:dyDescent="0.3">
      <c r="A622" t="s">
        <v>1509</v>
      </c>
      <c r="B622" t="s">
        <v>2216</v>
      </c>
      <c r="C622" t="s">
        <v>772</v>
      </c>
      <c r="D622" s="1">
        <v>45105.927083333336</v>
      </c>
      <c r="E622" t="s">
        <v>763</v>
      </c>
      <c r="F622" t="s">
        <v>610</v>
      </c>
      <c r="G622">
        <v>18</v>
      </c>
      <c r="H622">
        <v>35</v>
      </c>
      <c r="I622" t="s">
        <v>722</v>
      </c>
      <c r="J622">
        <v>2023</v>
      </c>
      <c r="K622">
        <v>6</v>
      </c>
      <c r="L622">
        <v>28</v>
      </c>
      <c r="M622">
        <v>22</v>
      </c>
      <c r="N622" s="7">
        <f t="shared" si="63"/>
        <v>53</v>
      </c>
      <c r="O622" s="7" t="str">
        <f t="shared" si="66"/>
        <v>Normal</v>
      </c>
      <c r="P622" s="7" t="str">
        <f t="shared" si="64"/>
        <v>No</v>
      </c>
      <c r="Q622" s="7" t="str">
        <f t="shared" si="65"/>
        <v>Standard</v>
      </c>
      <c r="R622" s="7" t="str">
        <f t="shared" si="67"/>
        <v>Evening</v>
      </c>
      <c r="S622" s="7" t="str">
        <f t="shared" si="68"/>
        <v>Europe</v>
      </c>
      <c r="T622" s="30">
        <f t="shared" si="69"/>
        <v>1.9444444444444444</v>
      </c>
      <c r="U622" s="6"/>
      <c r="V622" s="6"/>
    </row>
    <row r="623" spans="1:22" x14ac:dyDescent="0.3">
      <c r="A623" t="s">
        <v>1510</v>
      </c>
      <c r="B623" t="s">
        <v>2217</v>
      </c>
      <c r="C623" t="s">
        <v>772</v>
      </c>
      <c r="D623" s="1">
        <v>45106.6875</v>
      </c>
      <c r="E623" t="s">
        <v>762</v>
      </c>
      <c r="F623" t="s">
        <v>611</v>
      </c>
      <c r="G623">
        <v>25</v>
      </c>
      <c r="H623">
        <v>50</v>
      </c>
      <c r="I623" t="s">
        <v>30</v>
      </c>
      <c r="J623">
        <v>2023</v>
      </c>
      <c r="K623">
        <v>6</v>
      </c>
      <c r="L623">
        <v>29</v>
      </c>
      <c r="M623">
        <v>16</v>
      </c>
      <c r="N623" s="7">
        <f t="shared" si="63"/>
        <v>75</v>
      </c>
      <c r="O623" s="7" t="str">
        <f t="shared" si="66"/>
        <v>Popular</v>
      </c>
      <c r="P623" s="7" t="str">
        <f t="shared" si="64"/>
        <v>No</v>
      </c>
      <c r="Q623" s="7" t="str">
        <f t="shared" si="65"/>
        <v>Wide Reach</v>
      </c>
      <c r="R623" s="7" t="str">
        <f t="shared" si="67"/>
        <v>Afternoon</v>
      </c>
      <c r="S623" s="7" t="str">
        <f t="shared" si="68"/>
        <v>North America</v>
      </c>
      <c r="T623" s="30">
        <f t="shared" si="69"/>
        <v>2</v>
      </c>
      <c r="U623" s="6"/>
      <c r="V623" s="6"/>
    </row>
    <row r="624" spans="1:22" x14ac:dyDescent="0.3">
      <c r="A624" t="s">
        <v>1511</v>
      </c>
      <c r="B624" t="s">
        <v>2218</v>
      </c>
      <c r="C624" t="s">
        <v>795</v>
      </c>
      <c r="D624" s="1">
        <v>45107.8125</v>
      </c>
      <c r="E624" t="s">
        <v>761</v>
      </c>
      <c r="F624" t="s">
        <v>612</v>
      </c>
      <c r="G624">
        <v>28</v>
      </c>
      <c r="H624">
        <v>55</v>
      </c>
      <c r="I624" t="s">
        <v>722</v>
      </c>
      <c r="J624">
        <v>2023</v>
      </c>
      <c r="K624">
        <v>6</v>
      </c>
      <c r="L624">
        <v>30</v>
      </c>
      <c r="M624">
        <v>19</v>
      </c>
      <c r="N624" s="7">
        <f t="shared" si="63"/>
        <v>83</v>
      </c>
      <c r="O624" s="7" t="str">
        <f t="shared" si="66"/>
        <v>Popular</v>
      </c>
      <c r="P624" s="7" t="str">
        <f t="shared" si="64"/>
        <v>Yes</v>
      </c>
      <c r="Q624" s="7" t="str">
        <f t="shared" si="65"/>
        <v>Wide Reach</v>
      </c>
      <c r="R624" s="7" t="str">
        <f t="shared" si="67"/>
        <v>Evening</v>
      </c>
      <c r="S624" s="7" t="str">
        <f t="shared" si="68"/>
        <v>Europe</v>
      </c>
      <c r="T624" s="30">
        <f t="shared" si="69"/>
        <v>1.9642857142857142</v>
      </c>
      <c r="U624" s="6"/>
      <c r="V624" s="6"/>
    </row>
    <row r="625" spans="1:22" x14ac:dyDescent="0.3">
      <c r="A625" t="s">
        <v>1512</v>
      </c>
      <c r="B625" t="s">
        <v>2219</v>
      </c>
      <c r="C625" t="s">
        <v>787</v>
      </c>
      <c r="D625" s="1">
        <v>45108.583333333336</v>
      </c>
      <c r="E625" t="s">
        <v>762</v>
      </c>
      <c r="F625" t="s">
        <v>613</v>
      </c>
      <c r="G625">
        <v>30</v>
      </c>
      <c r="H625">
        <v>60</v>
      </c>
      <c r="I625" t="s">
        <v>30</v>
      </c>
      <c r="J625">
        <v>2023</v>
      </c>
      <c r="K625">
        <v>7</v>
      </c>
      <c r="L625">
        <v>1</v>
      </c>
      <c r="M625">
        <v>14</v>
      </c>
      <c r="N625" s="7">
        <f t="shared" si="63"/>
        <v>90</v>
      </c>
      <c r="O625" s="7" t="str">
        <f t="shared" si="66"/>
        <v>Popular</v>
      </c>
      <c r="P625" s="7" t="str">
        <f t="shared" si="64"/>
        <v>Yes</v>
      </c>
      <c r="Q625" s="7" t="str">
        <f t="shared" si="65"/>
        <v>Wide Reach</v>
      </c>
      <c r="R625" s="7" t="str">
        <f t="shared" si="67"/>
        <v>Afternoon</v>
      </c>
      <c r="S625" s="7" t="str">
        <f t="shared" si="68"/>
        <v>North America</v>
      </c>
      <c r="T625" s="30">
        <f t="shared" si="69"/>
        <v>2</v>
      </c>
      <c r="U625" s="6"/>
      <c r="V625" s="6"/>
    </row>
    <row r="626" spans="1:22" x14ac:dyDescent="0.3">
      <c r="A626" t="s">
        <v>1513</v>
      </c>
      <c r="B626" t="s">
        <v>2220</v>
      </c>
      <c r="C626" t="s">
        <v>772</v>
      </c>
      <c r="D626" s="1">
        <v>45109.770833333336</v>
      </c>
      <c r="E626" t="s">
        <v>763</v>
      </c>
      <c r="F626" t="s">
        <v>614</v>
      </c>
      <c r="G626">
        <v>22</v>
      </c>
      <c r="H626">
        <v>45</v>
      </c>
      <c r="I626" t="s">
        <v>722</v>
      </c>
      <c r="J626">
        <v>2023</v>
      </c>
      <c r="K626">
        <v>7</v>
      </c>
      <c r="L626">
        <v>2</v>
      </c>
      <c r="M626">
        <v>18</v>
      </c>
      <c r="N626" s="7">
        <f t="shared" si="63"/>
        <v>67</v>
      </c>
      <c r="O626" s="7" t="str">
        <f t="shared" si="66"/>
        <v>Popular</v>
      </c>
      <c r="P626" s="7" t="str">
        <f t="shared" si="64"/>
        <v>No</v>
      </c>
      <c r="Q626" s="7" t="str">
        <f t="shared" si="65"/>
        <v>Wide Reach</v>
      </c>
      <c r="R626" s="7" t="str">
        <f t="shared" si="67"/>
        <v>Evening</v>
      </c>
      <c r="S626" s="7" t="str">
        <f t="shared" si="68"/>
        <v>Europe</v>
      </c>
      <c r="T626" s="30">
        <f t="shared" si="69"/>
        <v>2.0454545454545454</v>
      </c>
      <c r="U626" s="6"/>
      <c r="V626" s="6"/>
    </row>
    <row r="627" spans="1:22" x14ac:dyDescent="0.3">
      <c r="A627" t="s">
        <v>1514</v>
      </c>
      <c r="B627" t="s">
        <v>2221</v>
      </c>
      <c r="C627" t="s">
        <v>772</v>
      </c>
      <c r="D627" s="1">
        <v>45110.53125</v>
      </c>
      <c r="E627" t="s">
        <v>761</v>
      </c>
      <c r="F627" t="s">
        <v>615</v>
      </c>
      <c r="G627">
        <v>28</v>
      </c>
      <c r="H627">
        <v>55</v>
      </c>
      <c r="I627" t="s">
        <v>720</v>
      </c>
      <c r="J627">
        <v>2023</v>
      </c>
      <c r="K627">
        <v>7</v>
      </c>
      <c r="L627">
        <v>3</v>
      </c>
      <c r="M627">
        <v>12</v>
      </c>
      <c r="N627" s="7">
        <f t="shared" si="63"/>
        <v>83</v>
      </c>
      <c r="O627" s="7" t="str">
        <f t="shared" si="66"/>
        <v>Popular</v>
      </c>
      <c r="P627" s="7" t="str">
        <f t="shared" si="64"/>
        <v>Yes</v>
      </c>
      <c r="Q627" s="7" t="str">
        <f t="shared" si="65"/>
        <v>Wide Reach</v>
      </c>
      <c r="R627" s="7" t="str">
        <f t="shared" si="67"/>
        <v>Afternoon</v>
      </c>
      <c r="S627" s="7" t="str">
        <f t="shared" si="68"/>
        <v>North America</v>
      </c>
      <c r="T627" s="30">
        <f t="shared" si="69"/>
        <v>1.9642857142857142</v>
      </c>
      <c r="U627" s="6"/>
      <c r="V627" s="6"/>
    </row>
    <row r="628" spans="1:22" x14ac:dyDescent="0.3">
      <c r="A628" t="s">
        <v>1515</v>
      </c>
      <c r="B628" t="s">
        <v>2222</v>
      </c>
      <c r="C628" t="s">
        <v>793</v>
      </c>
      <c r="D628" s="1">
        <v>45111.708333333336</v>
      </c>
      <c r="E628" t="s">
        <v>762</v>
      </c>
      <c r="F628" t="s">
        <v>616</v>
      </c>
      <c r="G628">
        <v>35</v>
      </c>
      <c r="H628">
        <v>70</v>
      </c>
      <c r="I628" t="s">
        <v>30</v>
      </c>
      <c r="J628">
        <v>2023</v>
      </c>
      <c r="K628">
        <v>7</v>
      </c>
      <c r="L628">
        <v>4</v>
      </c>
      <c r="M628">
        <v>17</v>
      </c>
      <c r="N628" s="7">
        <f t="shared" si="63"/>
        <v>105</v>
      </c>
      <c r="O628" s="7" t="str">
        <f t="shared" si="66"/>
        <v>Popular</v>
      </c>
      <c r="P628" s="7" t="str">
        <f t="shared" si="64"/>
        <v>Yes</v>
      </c>
      <c r="Q628" s="7" t="str">
        <f t="shared" si="65"/>
        <v>Wide Reach</v>
      </c>
      <c r="R628" s="7" t="str">
        <f t="shared" si="67"/>
        <v>Afternoon</v>
      </c>
      <c r="S628" s="7" t="str">
        <f t="shared" si="68"/>
        <v>North America</v>
      </c>
      <c r="T628" s="30">
        <f t="shared" si="69"/>
        <v>2</v>
      </c>
      <c r="U628" s="6"/>
      <c r="V628" s="6"/>
    </row>
    <row r="629" spans="1:22" x14ac:dyDescent="0.3">
      <c r="A629" t="s">
        <v>1516</v>
      </c>
      <c r="B629" t="s">
        <v>2223</v>
      </c>
      <c r="C629" t="s">
        <v>772</v>
      </c>
      <c r="D629" s="1">
        <v>45112.84375</v>
      </c>
      <c r="E629" t="s">
        <v>761</v>
      </c>
      <c r="F629" t="s">
        <v>617</v>
      </c>
      <c r="G629">
        <v>18</v>
      </c>
      <c r="H629">
        <v>35</v>
      </c>
      <c r="I629" t="s">
        <v>722</v>
      </c>
      <c r="J629">
        <v>2023</v>
      </c>
      <c r="K629">
        <v>7</v>
      </c>
      <c r="L629">
        <v>5</v>
      </c>
      <c r="M629">
        <v>20</v>
      </c>
      <c r="N629" s="7">
        <f t="shared" si="63"/>
        <v>53</v>
      </c>
      <c r="O629" s="7" t="str">
        <f t="shared" si="66"/>
        <v>Normal</v>
      </c>
      <c r="P629" s="7" t="str">
        <f t="shared" si="64"/>
        <v>No</v>
      </c>
      <c r="Q629" s="7" t="str">
        <f t="shared" si="65"/>
        <v>Standard</v>
      </c>
      <c r="R629" s="7" t="str">
        <f t="shared" si="67"/>
        <v>Evening</v>
      </c>
      <c r="S629" s="7" t="str">
        <f t="shared" si="68"/>
        <v>Europe</v>
      </c>
      <c r="T629" s="30">
        <f t="shared" si="69"/>
        <v>1.9444444444444444</v>
      </c>
      <c r="U629" s="6"/>
      <c r="V629" s="6"/>
    </row>
    <row r="630" spans="1:22" x14ac:dyDescent="0.3">
      <c r="A630" t="s">
        <v>1517</v>
      </c>
      <c r="B630" t="s">
        <v>2224</v>
      </c>
      <c r="C630" t="s">
        <v>772</v>
      </c>
      <c r="D630" s="1">
        <v>45113.604166666664</v>
      </c>
      <c r="E630" t="s">
        <v>763</v>
      </c>
      <c r="F630" t="s">
        <v>618</v>
      </c>
      <c r="G630">
        <v>25</v>
      </c>
      <c r="H630">
        <v>50</v>
      </c>
      <c r="I630" t="s">
        <v>30</v>
      </c>
      <c r="J630">
        <v>2023</v>
      </c>
      <c r="K630">
        <v>7</v>
      </c>
      <c r="L630">
        <v>6</v>
      </c>
      <c r="M630">
        <v>14</v>
      </c>
      <c r="N630" s="7">
        <f t="shared" si="63"/>
        <v>75</v>
      </c>
      <c r="O630" s="7" t="str">
        <f t="shared" si="66"/>
        <v>Popular</v>
      </c>
      <c r="P630" s="7" t="str">
        <f t="shared" si="64"/>
        <v>No</v>
      </c>
      <c r="Q630" s="7" t="str">
        <f t="shared" si="65"/>
        <v>Wide Reach</v>
      </c>
      <c r="R630" s="7" t="str">
        <f t="shared" si="67"/>
        <v>Afternoon</v>
      </c>
      <c r="S630" s="7" t="str">
        <f t="shared" si="68"/>
        <v>North America</v>
      </c>
      <c r="T630" s="30">
        <f t="shared" si="69"/>
        <v>2</v>
      </c>
      <c r="U630" s="6"/>
      <c r="V630" s="6"/>
    </row>
    <row r="631" spans="1:22" x14ac:dyDescent="0.3">
      <c r="A631" t="s">
        <v>1518</v>
      </c>
      <c r="B631" t="s">
        <v>2225</v>
      </c>
      <c r="C631" t="s">
        <v>772</v>
      </c>
      <c r="D631" s="1">
        <v>45114.822916666664</v>
      </c>
      <c r="E631" t="s">
        <v>762</v>
      </c>
      <c r="F631" t="s">
        <v>619</v>
      </c>
      <c r="G631">
        <v>22</v>
      </c>
      <c r="H631">
        <v>45</v>
      </c>
      <c r="I631" t="s">
        <v>722</v>
      </c>
      <c r="J631">
        <v>2023</v>
      </c>
      <c r="K631">
        <v>7</v>
      </c>
      <c r="L631">
        <v>7</v>
      </c>
      <c r="M631">
        <v>19</v>
      </c>
      <c r="N631" s="7">
        <f t="shared" si="63"/>
        <v>67</v>
      </c>
      <c r="O631" s="7" t="str">
        <f t="shared" si="66"/>
        <v>Popular</v>
      </c>
      <c r="P631" s="7" t="str">
        <f t="shared" si="64"/>
        <v>No</v>
      </c>
      <c r="Q631" s="7" t="str">
        <f t="shared" si="65"/>
        <v>Wide Reach</v>
      </c>
      <c r="R631" s="7" t="str">
        <f t="shared" si="67"/>
        <v>Evening</v>
      </c>
      <c r="S631" s="7" t="str">
        <f t="shared" si="68"/>
        <v>Europe</v>
      </c>
      <c r="T631" s="30">
        <f t="shared" si="69"/>
        <v>2.0454545454545454</v>
      </c>
      <c r="U631" s="6"/>
      <c r="V631" s="6"/>
    </row>
    <row r="632" spans="1:22" x14ac:dyDescent="0.3">
      <c r="A632" t="s">
        <v>1519</v>
      </c>
      <c r="B632" t="s">
        <v>2226</v>
      </c>
      <c r="C632" t="s">
        <v>793</v>
      </c>
      <c r="D632" s="1">
        <v>45115.666666666664</v>
      </c>
      <c r="E632" t="s">
        <v>761</v>
      </c>
      <c r="F632" t="s">
        <v>620</v>
      </c>
      <c r="G632">
        <v>30</v>
      </c>
      <c r="H632">
        <v>60</v>
      </c>
      <c r="I632" t="s">
        <v>720</v>
      </c>
      <c r="J632">
        <v>2023</v>
      </c>
      <c r="K632">
        <v>7</v>
      </c>
      <c r="L632">
        <v>8</v>
      </c>
      <c r="M632">
        <v>16</v>
      </c>
      <c r="N632" s="7">
        <f t="shared" si="63"/>
        <v>90</v>
      </c>
      <c r="O632" s="7" t="str">
        <f t="shared" si="66"/>
        <v>Popular</v>
      </c>
      <c r="P632" s="7" t="str">
        <f t="shared" si="64"/>
        <v>Yes</v>
      </c>
      <c r="Q632" s="7" t="str">
        <f t="shared" si="65"/>
        <v>Wide Reach</v>
      </c>
      <c r="R632" s="7" t="str">
        <f t="shared" si="67"/>
        <v>Afternoon</v>
      </c>
      <c r="S632" s="7" t="str">
        <f t="shared" si="68"/>
        <v>North America</v>
      </c>
      <c r="T632" s="30">
        <f t="shared" si="69"/>
        <v>2</v>
      </c>
      <c r="U632" s="6"/>
      <c r="V632" s="6"/>
    </row>
    <row r="633" spans="1:22" x14ac:dyDescent="0.3">
      <c r="A633" t="s">
        <v>1520</v>
      </c>
      <c r="B633" t="s">
        <v>2227</v>
      </c>
      <c r="C633" t="s">
        <v>772</v>
      </c>
      <c r="D633" s="1">
        <v>45116.9375</v>
      </c>
      <c r="E633" t="s">
        <v>763</v>
      </c>
      <c r="F633" t="s">
        <v>621</v>
      </c>
      <c r="G633">
        <v>20</v>
      </c>
      <c r="H633">
        <v>40</v>
      </c>
      <c r="I633" t="s">
        <v>30</v>
      </c>
      <c r="J633">
        <v>2023</v>
      </c>
      <c r="K633">
        <v>7</v>
      </c>
      <c r="L633">
        <v>9</v>
      </c>
      <c r="M633">
        <v>22</v>
      </c>
      <c r="N633" s="7">
        <f t="shared" si="63"/>
        <v>60</v>
      </c>
      <c r="O633" s="7" t="str">
        <f t="shared" si="66"/>
        <v>Normal</v>
      </c>
      <c r="P633" s="7" t="str">
        <f t="shared" si="64"/>
        <v>No</v>
      </c>
      <c r="Q633" s="7" t="str">
        <f t="shared" si="65"/>
        <v>Standard</v>
      </c>
      <c r="R633" s="7" t="str">
        <f t="shared" si="67"/>
        <v>Evening</v>
      </c>
      <c r="S633" s="7" t="str">
        <f t="shared" si="68"/>
        <v>North America</v>
      </c>
      <c r="T633" s="30">
        <f t="shared" si="69"/>
        <v>2</v>
      </c>
      <c r="U633" s="6"/>
      <c r="V633" s="6"/>
    </row>
    <row r="634" spans="1:22" x14ac:dyDescent="0.3">
      <c r="A634" t="s">
        <v>1521</v>
      </c>
      <c r="B634" t="s">
        <v>2228</v>
      </c>
      <c r="C634" t="s">
        <v>787</v>
      </c>
      <c r="D634" s="1">
        <v>45117.597222222219</v>
      </c>
      <c r="E634" t="s">
        <v>762</v>
      </c>
      <c r="F634" t="s">
        <v>622</v>
      </c>
      <c r="G634">
        <v>28</v>
      </c>
      <c r="H634">
        <v>55</v>
      </c>
      <c r="I634" t="s">
        <v>722</v>
      </c>
      <c r="J634">
        <v>2023</v>
      </c>
      <c r="K634">
        <v>7</v>
      </c>
      <c r="L634">
        <v>10</v>
      </c>
      <c r="M634">
        <v>14</v>
      </c>
      <c r="N634" s="7">
        <f t="shared" si="63"/>
        <v>83</v>
      </c>
      <c r="O634" s="7" t="str">
        <f t="shared" si="66"/>
        <v>Popular</v>
      </c>
      <c r="P634" s="7" t="str">
        <f t="shared" si="64"/>
        <v>Yes</v>
      </c>
      <c r="Q634" s="7" t="str">
        <f t="shared" si="65"/>
        <v>Wide Reach</v>
      </c>
      <c r="R634" s="7" t="str">
        <f t="shared" si="67"/>
        <v>Afternoon</v>
      </c>
      <c r="S634" s="7" t="str">
        <f t="shared" si="68"/>
        <v>Europe</v>
      </c>
      <c r="T634" s="30">
        <f t="shared" si="69"/>
        <v>1.9642857142857142</v>
      </c>
      <c r="U634" s="6"/>
      <c r="V634" s="6"/>
    </row>
    <row r="635" spans="1:22" x14ac:dyDescent="0.3">
      <c r="A635" t="s">
        <v>1522</v>
      </c>
      <c r="B635" t="s">
        <v>2229</v>
      </c>
      <c r="C635" t="s">
        <v>795</v>
      </c>
      <c r="D635" s="1">
        <v>45118.78125</v>
      </c>
      <c r="E635" t="s">
        <v>761</v>
      </c>
      <c r="F635" t="s">
        <v>623</v>
      </c>
      <c r="G635">
        <v>22</v>
      </c>
      <c r="H635">
        <v>45</v>
      </c>
      <c r="I635" t="s">
        <v>720</v>
      </c>
      <c r="J635">
        <v>2023</v>
      </c>
      <c r="K635">
        <v>7</v>
      </c>
      <c r="L635">
        <v>11</v>
      </c>
      <c r="M635">
        <v>18</v>
      </c>
      <c r="N635" s="7">
        <f t="shared" si="63"/>
        <v>67</v>
      </c>
      <c r="O635" s="7" t="str">
        <f t="shared" si="66"/>
        <v>Popular</v>
      </c>
      <c r="P635" s="7" t="str">
        <f t="shared" si="64"/>
        <v>No</v>
      </c>
      <c r="Q635" s="7" t="str">
        <f t="shared" si="65"/>
        <v>Wide Reach</v>
      </c>
      <c r="R635" s="7" t="str">
        <f t="shared" si="67"/>
        <v>Evening</v>
      </c>
      <c r="S635" s="7" t="str">
        <f t="shared" si="68"/>
        <v>North America</v>
      </c>
      <c r="T635" s="30">
        <f t="shared" si="69"/>
        <v>2.0454545454545454</v>
      </c>
      <c r="U635" s="6"/>
      <c r="V635" s="6"/>
    </row>
    <row r="636" spans="1:22" x14ac:dyDescent="0.3">
      <c r="A636" t="s">
        <v>1523</v>
      </c>
      <c r="B636" t="s">
        <v>2230</v>
      </c>
      <c r="C636" t="s">
        <v>787</v>
      </c>
      <c r="D636" s="1">
        <v>45119.572916666664</v>
      </c>
      <c r="E636" t="s">
        <v>763</v>
      </c>
      <c r="F636" t="s">
        <v>624</v>
      </c>
      <c r="G636">
        <v>25</v>
      </c>
      <c r="H636">
        <v>50</v>
      </c>
      <c r="I636" t="s">
        <v>30</v>
      </c>
      <c r="J636">
        <v>2023</v>
      </c>
      <c r="K636">
        <v>7</v>
      </c>
      <c r="L636">
        <v>12</v>
      </c>
      <c r="M636">
        <v>13</v>
      </c>
      <c r="N636" s="7">
        <f t="shared" si="63"/>
        <v>75</v>
      </c>
      <c r="O636" s="7" t="str">
        <f t="shared" si="66"/>
        <v>Popular</v>
      </c>
      <c r="P636" s="7" t="str">
        <f t="shared" si="64"/>
        <v>No</v>
      </c>
      <c r="Q636" s="7" t="str">
        <f t="shared" si="65"/>
        <v>Wide Reach</v>
      </c>
      <c r="R636" s="7" t="str">
        <f t="shared" si="67"/>
        <v>Afternoon</v>
      </c>
      <c r="S636" s="7" t="str">
        <f t="shared" si="68"/>
        <v>North America</v>
      </c>
      <c r="T636" s="30">
        <f t="shared" si="69"/>
        <v>2</v>
      </c>
      <c r="U636" s="6"/>
      <c r="V636" s="6"/>
    </row>
    <row r="637" spans="1:22" x14ac:dyDescent="0.3">
      <c r="A637" t="s">
        <v>1524</v>
      </c>
      <c r="B637" t="s">
        <v>2231</v>
      </c>
      <c r="C637" t="s">
        <v>772</v>
      </c>
      <c r="D637" s="1">
        <v>45120.833333333336</v>
      </c>
      <c r="E637" t="s">
        <v>762</v>
      </c>
      <c r="F637" t="s">
        <v>625</v>
      </c>
      <c r="G637">
        <v>35</v>
      </c>
      <c r="H637">
        <v>70</v>
      </c>
      <c r="I637" t="s">
        <v>722</v>
      </c>
      <c r="J637">
        <v>2023</v>
      </c>
      <c r="K637">
        <v>7</v>
      </c>
      <c r="L637">
        <v>13</v>
      </c>
      <c r="M637">
        <v>20</v>
      </c>
      <c r="N637" s="7">
        <f t="shared" si="63"/>
        <v>105</v>
      </c>
      <c r="O637" s="7" t="str">
        <f t="shared" si="66"/>
        <v>Popular</v>
      </c>
      <c r="P637" s="7" t="str">
        <f t="shared" si="64"/>
        <v>Yes</v>
      </c>
      <c r="Q637" s="7" t="str">
        <f t="shared" si="65"/>
        <v>Wide Reach</v>
      </c>
      <c r="R637" s="7" t="str">
        <f t="shared" si="67"/>
        <v>Evening</v>
      </c>
      <c r="S637" s="7" t="str">
        <f t="shared" si="68"/>
        <v>Europe</v>
      </c>
      <c r="T637" s="30">
        <f t="shared" si="69"/>
        <v>2</v>
      </c>
      <c r="U637" s="6"/>
      <c r="V637" s="6"/>
    </row>
    <row r="638" spans="1:22" x14ac:dyDescent="0.3">
      <c r="A638" t="s">
        <v>1525</v>
      </c>
      <c r="B638" t="s">
        <v>2232</v>
      </c>
      <c r="C638" t="s">
        <v>772</v>
      </c>
      <c r="D638" s="1">
        <v>45121.677083333336</v>
      </c>
      <c r="E638" t="s">
        <v>761</v>
      </c>
      <c r="F638" t="s">
        <v>626</v>
      </c>
      <c r="G638">
        <v>20</v>
      </c>
      <c r="H638">
        <v>40</v>
      </c>
      <c r="I638" t="s">
        <v>30</v>
      </c>
      <c r="J638">
        <v>2023</v>
      </c>
      <c r="K638">
        <v>7</v>
      </c>
      <c r="L638">
        <v>14</v>
      </c>
      <c r="M638">
        <v>16</v>
      </c>
      <c r="N638" s="7">
        <f t="shared" si="63"/>
        <v>60</v>
      </c>
      <c r="O638" s="7" t="str">
        <f t="shared" si="66"/>
        <v>Normal</v>
      </c>
      <c r="P638" s="7" t="str">
        <f t="shared" si="64"/>
        <v>No</v>
      </c>
      <c r="Q638" s="7" t="str">
        <f t="shared" si="65"/>
        <v>Standard</v>
      </c>
      <c r="R638" s="7" t="str">
        <f t="shared" si="67"/>
        <v>Afternoon</v>
      </c>
      <c r="S638" s="7" t="str">
        <f t="shared" si="68"/>
        <v>North America</v>
      </c>
      <c r="T638" s="30">
        <f t="shared" si="69"/>
        <v>2</v>
      </c>
      <c r="U638" s="6"/>
      <c r="V638" s="6"/>
    </row>
    <row r="639" spans="1:22" x14ac:dyDescent="0.3">
      <c r="A639" t="s">
        <v>1526</v>
      </c>
      <c r="B639" t="s">
        <v>2233</v>
      </c>
      <c r="C639" t="s">
        <v>772</v>
      </c>
      <c r="D639" s="1">
        <v>45122.8125</v>
      </c>
      <c r="E639" t="s">
        <v>763</v>
      </c>
      <c r="F639" t="s">
        <v>627</v>
      </c>
      <c r="G639">
        <v>28</v>
      </c>
      <c r="H639">
        <v>55</v>
      </c>
      <c r="I639" t="s">
        <v>720</v>
      </c>
      <c r="J639">
        <v>2023</v>
      </c>
      <c r="K639">
        <v>7</v>
      </c>
      <c r="L639">
        <v>15</v>
      </c>
      <c r="M639">
        <v>19</v>
      </c>
      <c r="N639" s="7">
        <f t="shared" si="63"/>
        <v>83</v>
      </c>
      <c r="O639" s="7" t="str">
        <f t="shared" si="66"/>
        <v>Popular</v>
      </c>
      <c r="P639" s="7" t="str">
        <f t="shared" si="64"/>
        <v>Yes</v>
      </c>
      <c r="Q639" s="7" t="str">
        <f t="shared" si="65"/>
        <v>Wide Reach</v>
      </c>
      <c r="R639" s="7" t="str">
        <f t="shared" si="67"/>
        <v>Evening</v>
      </c>
      <c r="S639" s="7" t="str">
        <f t="shared" si="68"/>
        <v>North America</v>
      </c>
      <c r="T639" s="30">
        <f t="shared" si="69"/>
        <v>1.9642857142857142</v>
      </c>
      <c r="U639" s="6"/>
      <c r="V639" s="6"/>
    </row>
    <row r="640" spans="1:22" x14ac:dyDescent="0.3">
      <c r="A640" t="s">
        <v>1527</v>
      </c>
      <c r="B640" t="s">
        <v>2234</v>
      </c>
      <c r="C640" t="s">
        <v>795</v>
      </c>
      <c r="D640" s="1">
        <v>45123.583333333336</v>
      </c>
      <c r="E640" t="s">
        <v>762</v>
      </c>
      <c r="F640" t="s">
        <v>628</v>
      </c>
      <c r="G640">
        <v>30</v>
      </c>
      <c r="H640">
        <v>60</v>
      </c>
      <c r="I640" t="s">
        <v>30</v>
      </c>
      <c r="J640">
        <v>2023</v>
      </c>
      <c r="K640">
        <v>7</v>
      </c>
      <c r="L640">
        <v>16</v>
      </c>
      <c r="M640">
        <v>14</v>
      </c>
      <c r="N640" s="7">
        <f t="shared" si="63"/>
        <v>90</v>
      </c>
      <c r="O640" s="7" t="str">
        <f t="shared" si="66"/>
        <v>Popular</v>
      </c>
      <c r="P640" s="7" t="str">
        <f t="shared" si="64"/>
        <v>Yes</v>
      </c>
      <c r="Q640" s="7" t="str">
        <f t="shared" si="65"/>
        <v>Wide Reach</v>
      </c>
      <c r="R640" s="7" t="str">
        <f t="shared" si="67"/>
        <v>Afternoon</v>
      </c>
      <c r="S640" s="7" t="str">
        <f t="shared" si="68"/>
        <v>North America</v>
      </c>
      <c r="T640" s="30">
        <f t="shared" si="69"/>
        <v>2</v>
      </c>
      <c r="U640" s="6"/>
      <c r="V640" s="6"/>
    </row>
    <row r="641" spans="1:22" x14ac:dyDescent="0.3">
      <c r="A641" t="s">
        <v>1528</v>
      </c>
      <c r="B641" t="s">
        <v>2235</v>
      </c>
      <c r="C641" t="s">
        <v>816</v>
      </c>
      <c r="D641" s="1">
        <v>45124.927083333336</v>
      </c>
      <c r="E641" t="s">
        <v>761</v>
      </c>
      <c r="F641" t="s">
        <v>629</v>
      </c>
      <c r="G641">
        <v>18</v>
      </c>
      <c r="H641">
        <v>35</v>
      </c>
      <c r="I641" t="s">
        <v>722</v>
      </c>
      <c r="J641">
        <v>2023</v>
      </c>
      <c r="K641">
        <v>7</v>
      </c>
      <c r="L641">
        <v>17</v>
      </c>
      <c r="M641">
        <v>22</v>
      </c>
      <c r="N641" s="7">
        <f t="shared" si="63"/>
        <v>53</v>
      </c>
      <c r="O641" s="7" t="str">
        <f t="shared" si="66"/>
        <v>Normal</v>
      </c>
      <c r="P641" s="7" t="str">
        <f t="shared" si="64"/>
        <v>No</v>
      </c>
      <c r="Q641" s="7" t="str">
        <f t="shared" si="65"/>
        <v>Standard</v>
      </c>
      <c r="R641" s="7" t="str">
        <f t="shared" si="67"/>
        <v>Evening</v>
      </c>
      <c r="S641" s="7" t="str">
        <f t="shared" si="68"/>
        <v>Europe</v>
      </c>
      <c r="T641" s="30">
        <f t="shared" si="69"/>
        <v>1.9444444444444444</v>
      </c>
      <c r="U641" s="6"/>
      <c r="V641" s="6"/>
    </row>
    <row r="642" spans="1:22" x14ac:dyDescent="0.3">
      <c r="A642" t="s">
        <v>1529</v>
      </c>
      <c r="B642" t="s">
        <v>2236</v>
      </c>
      <c r="C642" t="s">
        <v>772</v>
      </c>
      <c r="D642" s="1">
        <v>45125.6875</v>
      </c>
      <c r="E642" t="s">
        <v>763</v>
      </c>
      <c r="F642" t="s">
        <v>611</v>
      </c>
      <c r="G642">
        <v>25</v>
      </c>
      <c r="H642">
        <v>50</v>
      </c>
      <c r="I642" t="s">
        <v>30</v>
      </c>
      <c r="J642">
        <v>2023</v>
      </c>
      <c r="K642">
        <v>7</v>
      </c>
      <c r="L642">
        <v>18</v>
      </c>
      <c r="M642">
        <v>16</v>
      </c>
      <c r="N642" s="7">
        <f t="shared" si="63"/>
        <v>75</v>
      </c>
      <c r="O642" s="7" t="str">
        <f t="shared" si="66"/>
        <v>Popular</v>
      </c>
      <c r="P642" s="7" t="str">
        <f t="shared" si="64"/>
        <v>No</v>
      </c>
      <c r="Q642" s="7" t="str">
        <f t="shared" si="65"/>
        <v>Wide Reach</v>
      </c>
      <c r="R642" s="7" t="str">
        <f t="shared" si="67"/>
        <v>Afternoon</v>
      </c>
      <c r="S642" s="7" t="str">
        <f t="shared" si="68"/>
        <v>North America</v>
      </c>
      <c r="T642" s="30">
        <f t="shared" si="69"/>
        <v>2</v>
      </c>
      <c r="U642" s="6"/>
      <c r="V642" s="6"/>
    </row>
    <row r="643" spans="1:22" x14ac:dyDescent="0.3">
      <c r="A643" t="s">
        <v>1530</v>
      </c>
      <c r="B643" t="s">
        <v>2237</v>
      </c>
      <c r="C643" t="s">
        <v>795</v>
      </c>
      <c r="D643" s="1">
        <v>45126.822916666664</v>
      </c>
      <c r="E643" t="s">
        <v>762</v>
      </c>
      <c r="F643" t="s">
        <v>630</v>
      </c>
      <c r="G643">
        <v>22</v>
      </c>
      <c r="H643">
        <v>45</v>
      </c>
      <c r="I643" t="s">
        <v>722</v>
      </c>
      <c r="J643">
        <v>2023</v>
      </c>
      <c r="K643">
        <v>7</v>
      </c>
      <c r="L643">
        <v>19</v>
      </c>
      <c r="M643">
        <v>19</v>
      </c>
      <c r="N643" s="7">
        <f t="shared" ref="N643:N706" si="70">SUM(G643,H643)</f>
        <v>67</v>
      </c>
      <c r="O643" s="7" t="str">
        <f t="shared" si="66"/>
        <v>Popular</v>
      </c>
      <c r="P643" s="7" t="str">
        <f t="shared" ref="P643:P706" si="71">IF(AND(G643&gt;25, H643&gt;50), "Yes", "No")</f>
        <v>No</v>
      </c>
      <c r="Q643" s="7" t="str">
        <f t="shared" ref="Q643:Q706" si="72">IF(OR(H643&gt;40,G643&gt;20),"Wide Reach","Standard")</f>
        <v>Wide Reach</v>
      </c>
      <c r="R643" s="7" t="str">
        <f t="shared" si="67"/>
        <v>Evening</v>
      </c>
      <c r="S643" s="7" t="str">
        <f t="shared" si="68"/>
        <v>Europe</v>
      </c>
      <c r="T643" s="30">
        <f t="shared" si="69"/>
        <v>2.0454545454545454</v>
      </c>
      <c r="U643" s="6"/>
      <c r="V643" s="6"/>
    </row>
    <row r="644" spans="1:22" x14ac:dyDescent="0.3">
      <c r="A644" t="s">
        <v>1531</v>
      </c>
      <c r="B644" t="s">
        <v>2238</v>
      </c>
      <c r="C644" t="s">
        <v>787</v>
      </c>
      <c r="D644" s="1">
        <v>45127.708333333336</v>
      </c>
      <c r="E644" t="s">
        <v>761</v>
      </c>
      <c r="F644" t="s">
        <v>631</v>
      </c>
      <c r="G644">
        <v>30</v>
      </c>
      <c r="H644">
        <v>60</v>
      </c>
      <c r="I644" t="s">
        <v>720</v>
      </c>
      <c r="J644">
        <v>2023</v>
      </c>
      <c r="K644">
        <v>7</v>
      </c>
      <c r="L644">
        <v>20</v>
      </c>
      <c r="M644">
        <v>17</v>
      </c>
      <c r="N644" s="7">
        <f t="shared" si="70"/>
        <v>90</v>
      </c>
      <c r="O644" s="7" t="str">
        <f t="shared" ref="O644:O707" si="73">IF(N644&gt;60, "Popular", "Normal")</f>
        <v>Popular</v>
      </c>
      <c r="P644" s="7" t="str">
        <f t="shared" si="71"/>
        <v>Yes</v>
      </c>
      <c r="Q644" s="7" t="str">
        <f t="shared" si="72"/>
        <v>Wide Reach</v>
      </c>
      <c r="R644" s="7" t="str">
        <f t="shared" ref="R644:R707" si="74">IF(M644&gt;17,"Evening",IF(M644&gt;11,"Afternoon",IF(M644&gt;5,"Morning","Night")))</f>
        <v>Afternoon</v>
      </c>
      <c r="S644" s="7" t="str">
        <f t="shared" ref="S644:S707" si="75">_xlfn.SWITCH(I644,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644" s="30">
        <f t="shared" ref="T644:T707" si="76">IFERROR(H644/G644,"Error")</f>
        <v>2</v>
      </c>
      <c r="U644" s="6"/>
      <c r="V644" s="6"/>
    </row>
    <row r="645" spans="1:22" x14ac:dyDescent="0.3">
      <c r="A645" t="s">
        <v>1532</v>
      </c>
      <c r="B645" t="s">
        <v>2239</v>
      </c>
      <c r="C645" t="s">
        <v>947</v>
      </c>
      <c r="D645" s="1">
        <v>45139.5625</v>
      </c>
      <c r="E645" t="s">
        <v>762</v>
      </c>
      <c r="F645" t="s">
        <v>632</v>
      </c>
      <c r="G645">
        <v>20</v>
      </c>
      <c r="H645">
        <v>40</v>
      </c>
      <c r="I645" t="s">
        <v>30</v>
      </c>
      <c r="J645">
        <v>2023</v>
      </c>
      <c r="K645">
        <v>8</v>
      </c>
      <c r="L645">
        <v>1</v>
      </c>
      <c r="M645">
        <v>13</v>
      </c>
      <c r="N645" s="7">
        <f t="shared" si="70"/>
        <v>60</v>
      </c>
      <c r="O645" s="7" t="str">
        <f t="shared" si="73"/>
        <v>Normal</v>
      </c>
      <c r="P645" s="7" t="str">
        <f t="shared" si="71"/>
        <v>No</v>
      </c>
      <c r="Q645" s="7" t="str">
        <f t="shared" si="72"/>
        <v>Standard</v>
      </c>
      <c r="R645" s="7" t="str">
        <f t="shared" si="74"/>
        <v>Afternoon</v>
      </c>
      <c r="S645" s="7" t="str">
        <f t="shared" si="75"/>
        <v>North America</v>
      </c>
      <c r="T645" s="30">
        <f t="shared" si="76"/>
        <v>2</v>
      </c>
      <c r="U645" s="6"/>
      <c r="V645" s="6"/>
    </row>
    <row r="646" spans="1:22" x14ac:dyDescent="0.3">
      <c r="A646" t="s">
        <v>1533</v>
      </c>
      <c r="B646" t="s">
        <v>2240</v>
      </c>
      <c r="C646" t="s">
        <v>787</v>
      </c>
      <c r="D646" s="1">
        <v>45140.614583333336</v>
      </c>
      <c r="E646" t="s">
        <v>761</v>
      </c>
      <c r="F646" t="s">
        <v>633</v>
      </c>
      <c r="G646">
        <v>25</v>
      </c>
      <c r="H646">
        <v>50</v>
      </c>
      <c r="I646" t="s">
        <v>722</v>
      </c>
      <c r="J646">
        <v>2023</v>
      </c>
      <c r="K646">
        <v>8</v>
      </c>
      <c r="L646">
        <v>2</v>
      </c>
      <c r="M646">
        <v>14</v>
      </c>
      <c r="N646" s="7">
        <f t="shared" si="70"/>
        <v>75</v>
      </c>
      <c r="O646" s="7" t="str">
        <f t="shared" si="73"/>
        <v>Popular</v>
      </c>
      <c r="P646" s="7" t="str">
        <f t="shared" si="71"/>
        <v>No</v>
      </c>
      <c r="Q646" s="7" t="str">
        <f t="shared" si="72"/>
        <v>Wide Reach</v>
      </c>
      <c r="R646" s="7" t="str">
        <f t="shared" si="74"/>
        <v>Afternoon</v>
      </c>
      <c r="S646" s="7" t="str">
        <f t="shared" si="75"/>
        <v>Europe</v>
      </c>
      <c r="T646" s="30">
        <f t="shared" si="76"/>
        <v>2</v>
      </c>
      <c r="U646" s="6"/>
      <c r="V646" s="6"/>
    </row>
    <row r="647" spans="1:22" x14ac:dyDescent="0.3">
      <c r="A647" t="s">
        <v>1534</v>
      </c>
      <c r="B647" t="s">
        <v>2241</v>
      </c>
      <c r="C647" t="s">
        <v>787</v>
      </c>
      <c r="D647" s="1">
        <v>45141.510416666664</v>
      </c>
      <c r="E647" t="s">
        <v>763</v>
      </c>
      <c r="F647" t="s">
        <v>634</v>
      </c>
      <c r="G647">
        <v>18</v>
      </c>
      <c r="H647">
        <v>35</v>
      </c>
      <c r="I647" t="s">
        <v>720</v>
      </c>
      <c r="J647">
        <v>2023</v>
      </c>
      <c r="K647">
        <v>8</v>
      </c>
      <c r="L647">
        <v>3</v>
      </c>
      <c r="M647">
        <v>12</v>
      </c>
      <c r="N647" s="7">
        <f t="shared" si="70"/>
        <v>53</v>
      </c>
      <c r="O647" s="7" t="str">
        <f t="shared" si="73"/>
        <v>Normal</v>
      </c>
      <c r="P647" s="7" t="str">
        <f t="shared" si="71"/>
        <v>No</v>
      </c>
      <c r="Q647" s="7" t="str">
        <f t="shared" si="72"/>
        <v>Standard</v>
      </c>
      <c r="R647" s="7" t="str">
        <f t="shared" si="74"/>
        <v>Afternoon</v>
      </c>
      <c r="S647" s="7" t="str">
        <f t="shared" si="75"/>
        <v>North America</v>
      </c>
      <c r="T647" s="30">
        <f t="shared" si="76"/>
        <v>1.9444444444444444</v>
      </c>
      <c r="U647" s="6"/>
      <c r="V647" s="6"/>
    </row>
    <row r="648" spans="1:22" x14ac:dyDescent="0.3">
      <c r="A648" t="s">
        <v>1535</v>
      </c>
      <c r="B648" t="s">
        <v>2242</v>
      </c>
      <c r="C648" t="s">
        <v>772</v>
      </c>
      <c r="D648" s="1">
        <v>45142.6875</v>
      </c>
      <c r="E648" t="s">
        <v>762</v>
      </c>
      <c r="F648" t="s">
        <v>635</v>
      </c>
      <c r="G648">
        <v>22</v>
      </c>
      <c r="H648">
        <v>45</v>
      </c>
      <c r="I648" t="s">
        <v>30</v>
      </c>
      <c r="J648">
        <v>2023</v>
      </c>
      <c r="K648">
        <v>8</v>
      </c>
      <c r="L648">
        <v>4</v>
      </c>
      <c r="M648">
        <v>16</v>
      </c>
      <c r="N648" s="7">
        <f t="shared" si="70"/>
        <v>67</v>
      </c>
      <c r="O648" s="7" t="str">
        <f t="shared" si="73"/>
        <v>Popular</v>
      </c>
      <c r="P648" s="7" t="str">
        <f t="shared" si="71"/>
        <v>No</v>
      </c>
      <c r="Q648" s="7" t="str">
        <f t="shared" si="72"/>
        <v>Wide Reach</v>
      </c>
      <c r="R648" s="7" t="str">
        <f t="shared" si="74"/>
        <v>Afternoon</v>
      </c>
      <c r="S648" s="7" t="str">
        <f t="shared" si="75"/>
        <v>North America</v>
      </c>
      <c r="T648" s="30">
        <f t="shared" si="76"/>
        <v>2.0454545454545454</v>
      </c>
      <c r="U648" s="6"/>
      <c r="V648" s="6"/>
    </row>
    <row r="649" spans="1:22" x14ac:dyDescent="0.3">
      <c r="A649" t="s">
        <v>1536</v>
      </c>
      <c r="B649" t="s">
        <v>2243</v>
      </c>
      <c r="C649" t="s">
        <v>787</v>
      </c>
      <c r="D649" s="1">
        <v>45143.822916666664</v>
      </c>
      <c r="E649" t="s">
        <v>761</v>
      </c>
      <c r="F649" t="s">
        <v>636</v>
      </c>
      <c r="G649">
        <v>30</v>
      </c>
      <c r="H649">
        <v>60</v>
      </c>
      <c r="I649" t="s">
        <v>720</v>
      </c>
      <c r="J649">
        <v>2023</v>
      </c>
      <c r="K649">
        <v>8</v>
      </c>
      <c r="L649">
        <v>5</v>
      </c>
      <c r="M649">
        <v>19</v>
      </c>
      <c r="N649" s="7">
        <f t="shared" si="70"/>
        <v>90</v>
      </c>
      <c r="O649" s="7" t="str">
        <f t="shared" si="73"/>
        <v>Popular</v>
      </c>
      <c r="P649" s="7" t="str">
        <f t="shared" si="71"/>
        <v>Yes</v>
      </c>
      <c r="Q649" s="7" t="str">
        <f t="shared" si="72"/>
        <v>Wide Reach</v>
      </c>
      <c r="R649" s="7" t="str">
        <f t="shared" si="74"/>
        <v>Evening</v>
      </c>
      <c r="S649" s="7" t="str">
        <f t="shared" si="75"/>
        <v>North America</v>
      </c>
      <c r="T649" s="30">
        <f t="shared" si="76"/>
        <v>2</v>
      </c>
      <c r="U649" s="6"/>
      <c r="V649" s="6"/>
    </row>
    <row r="650" spans="1:22" x14ac:dyDescent="0.3">
      <c r="A650" t="s">
        <v>1537</v>
      </c>
      <c r="B650" t="s">
        <v>2244</v>
      </c>
      <c r="C650" t="s">
        <v>764</v>
      </c>
      <c r="D650" s="1">
        <v>45144.583333333336</v>
      </c>
      <c r="E650" t="s">
        <v>763</v>
      </c>
      <c r="F650" t="s">
        <v>637</v>
      </c>
      <c r="G650">
        <v>28</v>
      </c>
      <c r="H650">
        <v>55</v>
      </c>
      <c r="I650" t="s">
        <v>30</v>
      </c>
      <c r="J650">
        <v>2023</v>
      </c>
      <c r="K650">
        <v>8</v>
      </c>
      <c r="L650">
        <v>6</v>
      </c>
      <c r="M650">
        <v>14</v>
      </c>
      <c r="N650" s="7">
        <f t="shared" si="70"/>
        <v>83</v>
      </c>
      <c r="O650" s="7" t="str">
        <f t="shared" si="73"/>
        <v>Popular</v>
      </c>
      <c r="P650" s="7" t="str">
        <f t="shared" si="71"/>
        <v>Yes</v>
      </c>
      <c r="Q650" s="7" t="str">
        <f t="shared" si="72"/>
        <v>Wide Reach</v>
      </c>
      <c r="R650" s="7" t="str">
        <f t="shared" si="74"/>
        <v>Afternoon</v>
      </c>
      <c r="S650" s="7" t="str">
        <f t="shared" si="75"/>
        <v>North America</v>
      </c>
      <c r="T650" s="30">
        <f t="shared" si="76"/>
        <v>1.9642857142857142</v>
      </c>
      <c r="U650" s="6"/>
      <c r="V650" s="6"/>
    </row>
    <row r="651" spans="1:22" x14ac:dyDescent="0.3">
      <c r="A651" t="s">
        <v>1538</v>
      </c>
      <c r="B651" t="s">
        <v>2245</v>
      </c>
      <c r="C651" t="s">
        <v>948</v>
      </c>
      <c r="D651" s="1">
        <v>45145.822916666664</v>
      </c>
      <c r="E651" t="s">
        <v>762</v>
      </c>
      <c r="F651" t="s">
        <v>638</v>
      </c>
      <c r="G651">
        <v>22</v>
      </c>
      <c r="H651">
        <v>45</v>
      </c>
      <c r="I651" t="s">
        <v>722</v>
      </c>
      <c r="J651">
        <v>2023</v>
      </c>
      <c r="K651">
        <v>8</v>
      </c>
      <c r="L651">
        <v>7</v>
      </c>
      <c r="M651">
        <v>19</v>
      </c>
      <c r="N651" s="7">
        <f t="shared" si="70"/>
        <v>67</v>
      </c>
      <c r="O651" s="7" t="str">
        <f t="shared" si="73"/>
        <v>Popular</v>
      </c>
      <c r="P651" s="7" t="str">
        <f t="shared" si="71"/>
        <v>No</v>
      </c>
      <c r="Q651" s="7" t="str">
        <f t="shared" si="72"/>
        <v>Wide Reach</v>
      </c>
      <c r="R651" s="7" t="str">
        <f t="shared" si="74"/>
        <v>Evening</v>
      </c>
      <c r="S651" s="7" t="str">
        <f t="shared" si="75"/>
        <v>Europe</v>
      </c>
      <c r="T651" s="30">
        <f t="shared" si="76"/>
        <v>2.0454545454545454</v>
      </c>
      <c r="U651" s="6"/>
      <c r="V651" s="6"/>
    </row>
    <row r="652" spans="1:22" x14ac:dyDescent="0.3">
      <c r="A652" t="s">
        <v>1539</v>
      </c>
      <c r="B652" t="s">
        <v>2246</v>
      </c>
      <c r="C652" t="s">
        <v>787</v>
      </c>
      <c r="D652" s="1">
        <v>45146.666666666664</v>
      </c>
      <c r="E652" t="s">
        <v>761</v>
      </c>
      <c r="F652" t="s">
        <v>639</v>
      </c>
      <c r="G652">
        <v>30</v>
      </c>
      <c r="H652">
        <v>60</v>
      </c>
      <c r="I652" t="s">
        <v>720</v>
      </c>
      <c r="J652">
        <v>2023</v>
      </c>
      <c r="K652">
        <v>8</v>
      </c>
      <c r="L652">
        <v>8</v>
      </c>
      <c r="M652">
        <v>16</v>
      </c>
      <c r="N652" s="7">
        <f t="shared" si="70"/>
        <v>90</v>
      </c>
      <c r="O652" s="7" t="str">
        <f t="shared" si="73"/>
        <v>Popular</v>
      </c>
      <c r="P652" s="7" t="str">
        <f t="shared" si="71"/>
        <v>Yes</v>
      </c>
      <c r="Q652" s="7" t="str">
        <f t="shared" si="72"/>
        <v>Wide Reach</v>
      </c>
      <c r="R652" s="7" t="str">
        <f t="shared" si="74"/>
        <v>Afternoon</v>
      </c>
      <c r="S652" s="7" t="str">
        <f t="shared" si="75"/>
        <v>North America</v>
      </c>
      <c r="T652" s="30">
        <f t="shared" si="76"/>
        <v>2</v>
      </c>
      <c r="U652" s="6"/>
      <c r="V652" s="6"/>
    </row>
    <row r="653" spans="1:22" x14ac:dyDescent="0.3">
      <c r="A653" t="s">
        <v>1540</v>
      </c>
      <c r="B653" t="s">
        <v>2247</v>
      </c>
      <c r="C653" t="s">
        <v>772</v>
      </c>
      <c r="D653" s="1">
        <v>45147.9375</v>
      </c>
      <c r="E653" t="s">
        <v>763</v>
      </c>
      <c r="F653" t="s">
        <v>640</v>
      </c>
      <c r="G653">
        <v>20</v>
      </c>
      <c r="H653">
        <v>40</v>
      </c>
      <c r="I653" t="s">
        <v>30</v>
      </c>
      <c r="J653">
        <v>2023</v>
      </c>
      <c r="K653">
        <v>8</v>
      </c>
      <c r="L653">
        <v>9</v>
      </c>
      <c r="M653">
        <v>22</v>
      </c>
      <c r="N653" s="7">
        <f t="shared" si="70"/>
        <v>60</v>
      </c>
      <c r="O653" s="7" t="str">
        <f t="shared" si="73"/>
        <v>Normal</v>
      </c>
      <c r="P653" s="7" t="str">
        <f t="shared" si="71"/>
        <v>No</v>
      </c>
      <c r="Q653" s="7" t="str">
        <f t="shared" si="72"/>
        <v>Standard</v>
      </c>
      <c r="R653" s="7" t="str">
        <f t="shared" si="74"/>
        <v>Evening</v>
      </c>
      <c r="S653" s="7" t="str">
        <f t="shared" si="75"/>
        <v>North America</v>
      </c>
      <c r="T653" s="30">
        <f t="shared" si="76"/>
        <v>2</v>
      </c>
      <c r="U653" s="6"/>
      <c r="V653" s="6"/>
    </row>
    <row r="654" spans="1:22" x14ac:dyDescent="0.3">
      <c r="A654" t="s">
        <v>1541</v>
      </c>
      <c r="B654" t="s">
        <v>2248</v>
      </c>
      <c r="C654" t="s">
        <v>772</v>
      </c>
      <c r="D654" s="1">
        <v>45148.597222222219</v>
      </c>
      <c r="E654" t="s">
        <v>762</v>
      </c>
      <c r="F654" t="s">
        <v>641</v>
      </c>
      <c r="G654">
        <v>28</v>
      </c>
      <c r="H654">
        <v>55</v>
      </c>
      <c r="I654" t="s">
        <v>722</v>
      </c>
      <c r="J654">
        <v>2023</v>
      </c>
      <c r="K654">
        <v>8</v>
      </c>
      <c r="L654">
        <v>10</v>
      </c>
      <c r="M654">
        <v>14</v>
      </c>
      <c r="N654" s="7">
        <f t="shared" si="70"/>
        <v>83</v>
      </c>
      <c r="O654" s="7" t="str">
        <f t="shared" si="73"/>
        <v>Popular</v>
      </c>
      <c r="P654" s="7" t="str">
        <f t="shared" si="71"/>
        <v>Yes</v>
      </c>
      <c r="Q654" s="7" t="str">
        <f t="shared" si="72"/>
        <v>Wide Reach</v>
      </c>
      <c r="R654" s="7" t="str">
        <f t="shared" si="74"/>
        <v>Afternoon</v>
      </c>
      <c r="S654" s="7" t="str">
        <f t="shared" si="75"/>
        <v>Europe</v>
      </c>
      <c r="T654" s="30">
        <f t="shared" si="76"/>
        <v>1.9642857142857142</v>
      </c>
      <c r="U654" s="6"/>
      <c r="V654" s="6"/>
    </row>
    <row r="655" spans="1:22" x14ac:dyDescent="0.3">
      <c r="A655" t="s">
        <v>1542</v>
      </c>
      <c r="B655" t="s">
        <v>2249</v>
      </c>
      <c r="C655" t="s">
        <v>772</v>
      </c>
      <c r="D655" s="1">
        <v>45149.78125</v>
      </c>
      <c r="E655" t="s">
        <v>761</v>
      </c>
      <c r="F655" t="s">
        <v>642</v>
      </c>
      <c r="G655">
        <v>22</v>
      </c>
      <c r="H655">
        <v>45</v>
      </c>
      <c r="I655" t="s">
        <v>720</v>
      </c>
      <c r="J655">
        <v>2023</v>
      </c>
      <c r="K655">
        <v>8</v>
      </c>
      <c r="L655">
        <v>11</v>
      </c>
      <c r="M655">
        <v>18</v>
      </c>
      <c r="N655" s="7">
        <f t="shared" si="70"/>
        <v>67</v>
      </c>
      <c r="O655" s="7" t="str">
        <f t="shared" si="73"/>
        <v>Popular</v>
      </c>
      <c r="P655" s="7" t="str">
        <f t="shared" si="71"/>
        <v>No</v>
      </c>
      <c r="Q655" s="7" t="str">
        <f t="shared" si="72"/>
        <v>Wide Reach</v>
      </c>
      <c r="R655" s="7" t="str">
        <f t="shared" si="74"/>
        <v>Evening</v>
      </c>
      <c r="S655" s="7" t="str">
        <f t="shared" si="75"/>
        <v>North America</v>
      </c>
      <c r="T655" s="30">
        <f t="shared" si="76"/>
        <v>2.0454545454545454</v>
      </c>
      <c r="U655" s="6"/>
      <c r="V655" s="6"/>
    </row>
    <row r="656" spans="1:22" x14ac:dyDescent="0.3">
      <c r="A656" t="s">
        <v>1543</v>
      </c>
      <c r="B656" t="s">
        <v>2250</v>
      </c>
      <c r="C656" t="s">
        <v>787</v>
      </c>
      <c r="D656" s="1">
        <v>45150.572916666664</v>
      </c>
      <c r="E656" t="s">
        <v>763</v>
      </c>
      <c r="F656" t="s">
        <v>643</v>
      </c>
      <c r="G656">
        <v>25</v>
      </c>
      <c r="H656">
        <v>50</v>
      </c>
      <c r="I656" t="s">
        <v>30</v>
      </c>
      <c r="J656">
        <v>2023</v>
      </c>
      <c r="K656">
        <v>8</v>
      </c>
      <c r="L656">
        <v>12</v>
      </c>
      <c r="M656">
        <v>13</v>
      </c>
      <c r="N656" s="7">
        <f t="shared" si="70"/>
        <v>75</v>
      </c>
      <c r="O656" s="7" t="str">
        <f t="shared" si="73"/>
        <v>Popular</v>
      </c>
      <c r="P656" s="7" t="str">
        <f t="shared" si="71"/>
        <v>No</v>
      </c>
      <c r="Q656" s="7" t="str">
        <f t="shared" si="72"/>
        <v>Wide Reach</v>
      </c>
      <c r="R656" s="7" t="str">
        <f t="shared" si="74"/>
        <v>Afternoon</v>
      </c>
      <c r="S656" s="7" t="str">
        <f t="shared" si="75"/>
        <v>North America</v>
      </c>
      <c r="T656" s="30">
        <f t="shared" si="76"/>
        <v>2</v>
      </c>
      <c r="U656" s="6"/>
      <c r="V656" s="6"/>
    </row>
    <row r="657" spans="1:22" x14ac:dyDescent="0.3">
      <c r="A657" t="s">
        <v>1544</v>
      </c>
      <c r="B657" t="s">
        <v>2251</v>
      </c>
      <c r="C657" t="s">
        <v>787</v>
      </c>
      <c r="D657" s="1">
        <v>45151.833333333336</v>
      </c>
      <c r="E657" t="s">
        <v>762</v>
      </c>
      <c r="F657" t="s">
        <v>644</v>
      </c>
      <c r="G657">
        <v>35</v>
      </c>
      <c r="H657">
        <v>70</v>
      </c>
      <c r="I657" t="s">
        <v>722</v>
      </c>
      <c r="J657">
        <v>2023</v>
      </c>
      <c r="K657">
        <v>8</v>
      </c>
      <c r="L657">
        <v>13</v>
      </c>
      <c r="M657">
        <v>20</v>
      </c>
      <c r="N657" s="7">
        <f t="shared" si="70"/>
        <v>105</v>
      </c>
      <c r="O657" s="7" t="str">
        <f t="shared" si="73"/>
        <v>Popular</v>
      </c>
      <c r="P657" s="7" t="str">
        <f t="shared" si="71"/>
        <v>Yes</v>
      </c>
      <c r="Q657" s="7" t="str">
        <f t="shared" si="72"/>
        <v>Wide Reach</v>
      </c>
      <c r="R657" s="7" t="str">
        <f t="shared" si="74"/>
        <v>Evening</v>
      </c>
      <c r="S657" s="7" t="str">
        <f t="shared" si="75"/>
        <v>Europe</v>
      </c>
      <c r="T657" s="30">
        <f t="shared" si="76"/>
        <v>2</v>
      </c>
      <c r="U657" s="6"/>
      <c r="V657" s="6"/>
    </row>
    <row r="658" spans="1:22" x14ac:dyDescent="0.3">
      <c r="A658" t="s">
        <v>1545</v>
      </c>
      <c r="B658" t="s">
        <v>2252</v>
      </c>
      <c r="C658" t="s">
        <v>772</v>
      </c>
      <c r="D658" s="1">
        <v>45152.677083333336</v>
      </c>
      <c r="E658" t="s">
        <v>761</v>
      </c>
      <c r="F658" t="s">
        <v>645</v>
      </c>
      <c r="G658">
        <v>20</v>
      </c>
      <c r="H658">
        <v>40</v>
      </c>
      <c r="I658" t="s">
        <v>30</v>
      </c>
      <c r="J658">
        <v>2023</v>
      </c>
      <c r="K658">
        <v>8</v>
      </c>
      <c r="L658">
        <v>14</v>
      </c>
      <c r="M658">
        <v>16</v>
      </c>
      <c r="N658" s="7">
        <f t="shared" si="70"/>
        <v>60</v>
      </c>
      <c r="O658" s="7" t="str">
        <f t="shared" si="73"/>
        <v>Normal</v>
      </c>
      <c r="P658" s="7" t="str">
        <f t="shared" si="71"/>
        <v>No</v>
      </c>
      <c r="Q658" s="7" t="str">
        <f t="shared" si="72"/>
        <v>Standard</v>
      </c>
      <c r="R658" s="7" t="str">
        <f t="shared" si="74"/>
        <v>Afternoon</v>
      </c>
      <c r="S658" s="7" t="str">
        <f t="shared" si="75"/>
        <v>North America</v>
      </c>
      <c r="T658" s="30">
        <f t="shared" si="76"/>
        <v>2</v>
      </c>
      <c r="U658" s="6"/>
      <c r="V658" s="6"/>
    </row>
    <row r="659" spans="1:22" x14ac:dyDescent="0.3">
      <c r="A659" t="s">
        <v>1546</v>
      </c>
      <c r="B659" t="s">
        <v>2253</v>
      </c>
      <c r="C659" t="s">
        <v>787</v>
      </c>
      <c r="D659" s="1">
        <v>45153.8125</v>
      </c>
      <c r="E659" t="s">
        <v>763</v>
      </c>
      <c r="F659" t="s">
        <v>646</v>
      </c>
      <c r="G659">
        <v>28</v>
      </c>
      <c r="H659">
        <v>55</v>
      </c>
      <c r="I659" t="s">
        <v>720</v>
      </c>
      <c r="J659">
        <v>2023</v>
      </c>
      <c r="K659">
        <v>8</v>
      </c>
      <c r="L659">
        <v>15</v>
      </c>
      <c r="M659">
        <v>19</v>
      </c>
      <c r="N659" s="7">
        <f t="shared" si="70"/>
        <v>83</v>
      </c>
      <c r="O659" s="7" t="str">
        <f t="shared" si="73"/>
        <v>Popular</v>
      </c>
      <c r="P659" s="7" t="str">
        <f t="shared" si="71"/>
        <v>Yes</v>
      </c>
      <c r="Q659" s="7" t="str">
        <f t="shared" si="72"/>
        <v>Wide Reach</v>
      </c>
      <c r="R659" s="7" t="str">
        <f t="shared" si="74"/>
        <v>Evening</v>
      </c>
      <c r="S659" s="7" t="str">
        <f t="shared" si="75"/>
        <v>North America</v>
      </c>
      <c r="T659" s="30">
        <f t="shared" si="76"/>
        <v>1.9642857142857142</v>
      </c>
      <c r="U659" s="6"/>
      <c r="V659" s="6"/>
    </row>
    <row r="660" spans="1:22" x14ac:dyDescent="0.3">
      <c r="A660" t="s">
        <v>1547</v>
      </c>
      <c r="B660" t="s">
        <v>2254</v>
      </c>
      <c r="C660" t="s">
        <v>949</v>
      </c>
      <c r="D660" s="1">
        <v>45154.583333333336</v>
      </c>
      <c r="E660" t="s">
        <v>762</v>
      </c>
      <c r="F660" t="s">
        <v>647</v>
      </c>
      <c r="G660">
        <v>30</v>
      </c>
      <c r="H660">
        <v>60</v>
      </c>
      <c r="I660" t="s">
        <v>30</v>
      </c>
      <c r="J660">
        <v>2023</v>
      </c>
      <c r="K660">
        <v>8</v>
      </c>
      <c r="L660">
        <v>16</v>
      </c>
      <c r="M660">
        <v>14</v>
      </c>
      <c r="N660" s="7">
        <f t="shared" si="70"/>
        <v>90</v>
      </c>
      <c r="O660" s="7" t="str">
        <f t="shared" si="73"/>
        <v>Popular</v>
      </c>
      <c r="P660" s="7" t="str">
        <f t="shared" si="71"/>
        <v>Yes</v>
      </c>
      <c r="Q660" s="7" t="str">
        <f t="shared" si="72"/>
        <v>Wide Reach</v>
      </c>
      <c r="R660" s="7" t="str">
        <f t="shared" si="74"/>
        <v>Afternoon</v>
      </c>
      <c r="S660" s="7" t="str">
        <f t="shared" si="75"/>
        <v>North America</v>
      </c>
      <c r="T660" s="30">
        <f t="shared" si="76"/>
        <v>2</v>
      </c>
      <c r="U660" s="6"/>
      <c r="V660" s="6"/>
    </row>
    <row r="661" spans="1:22" x14ac:dyDescent="0.3">
      <c r="A661" t="s">
        <v>1548</v>
      </c>
      <c r="B661" t="s">
        <v>2255</v>
      </c>
      <c r="C661" t="s">
        <v>787</v>
      </c>
      <c r="D661" s="1">
        <v>45155.927083333336</v>
      </c>
      <c r="E661" t="s">
        <v>761</v>
      </c>
      <c r="F661" t="s">
        <v>648</v>
      </c>
      <c r="G661">
        <v>18</v>
      </c>
      <c r="H661">
        <v>35</v>
      </c>
      <c r="I661" t="s">
        <v>722</v>
      </c>
      <c r="J661">
        <v>2023</v>
      </c>
      <c r="K661">
        <v>8</v>
      </c>
      <c r="L661">
        <v>17</v>
      </c>
      <c r="M661">
        <v>22</v>
      </c>
      <c r="N661" s="7">
        <f t="shared" si="70"/>
        <v>53</v>
      </c>
      <c r="O661" s="7" t="str">
        <f t="shared" si="73"/>
        <v>Normal</v>
      </c>
      <c r="P661" s="7" t="str">
        <f t="shared" si="71"/>
        <v>No</v>
      </c>
      <c r="Q661" s="7" t="str">
        <f t="shared" si="72"/>
        <v>Standard</v>
      </c>
      <c r="R661" s="7" t="str">
        <f t="shared" si="74"/>
        <v>Evening</v>
      </c>
      <c r="S661" s="7" t="str">
        <f t="shared" si="75"/>
        <v>Europe</v>
      </c>
      <c r="T661" s="30">
        <f t="shared" si="76"/>
        <v>1.9444444444444444</v>
      </c>
      <c r="U661" s="6"/>
      <c r="V661" s="6"/>
    </row>
    <row r="662" spans="1:22" x14ac:dyDescent="0.3">
      <c r="A662" t="s">
        <v>1549</v>
      </c>
      <c r="B662" t="s">
        <v>2256</v>
      </c>
      <c r="C662" t="s">
        <v>948</v>
      </c>
      <c r="D662" s="1">
        <v>45156.6875</v>
      </c>
      <c r="E662" t="s">
        <v>763</v>
      </c>
      <c r="F662" t="s">
        <v>649</v>
      </c>
      <c r="G662">
        <v>25</v>
      </c>
      <c r="H662">
        <v>50</v>
      </c>
      <c r="I662" t="s">
        <v>30</v>
      </c>
      <c r="J662">
        <v>2023</v>
      </c>
      <c r="K662">
        <v>8</v>
      </c>
      <c r="L662">
        <v>18</v>
      </c>
      <c r="M662">
        <v>16</v>
      </c>
      <c r="N662" s="7">
        <f t="shared" si="70"/>
        <v>75</v>
      </c>
      <c r="O662" s="7" t="str">
        <f t="shared" si="73"/>
        <v>Popular</v>
      </c>
      <c r="P662" s="7" t="str">
        <f t="shared" si="71"/>
        <v>No</v>
      </c>
      <c r="Q662" s="7" t="str">
        <f t="shared" si="72"/>
        <v>Wide Reach</v>
      </c>
      <c r="R662" s="7" t="str">
        <f t="shared" si="74"/>
        <v>Afternoon</v>
      </c>
      <c r="S662" s="7" t="str">
        <f t="shared" si="75"/>
        <v>North America</v>
      </c>
      <c r="T662" s="30">
        <f t="shared" si="76"/>
        <v>2</v>
      </c>
      <c r="U662" s="6"/>
      <c r="V662" s="6"/>
    </row>
    <row r="663" spans="1:22" x14ac:dyDescent="0.3">
      <c r="A663" t="s">
        <v>1550</v>
      </c>
      <c r="B663" t="s">
        <v>2257</v>
      </c>
      <c r="C663" t="s">
        <v>948</v>
      </c>
      <c r="D663" s="1">
        <v>45157.822916666664</v>
      </c>
      <c r="E663" t="s">
        <v>762</v>
      </c>
      <c r="F663" t="s">
        <v>650</v>
      </c>
      <c r="G663">
        <v>22</v>
      </c>
      <c r="H663">
        <v>45</v>
      </c>
      <c r="I663" t="s">
        <v>722</v>
      </c>
      <c r="J663">
        <v>2023</v>
      </c>
      <c r="K663">
        <v>8</v>
      </c>
      <c r="L663">
        <v>19</v>
      </c>
      <c r="M663">
        <v>19</v>
      </c>
      <c r="N663" s="7">
        <f t="shared" si="70"/>
        <v>67</v>
      </c>
      <c r="O663" s="7" t="str">
        <f t="shared" si="73"/>
        <v>Popular</v>
      </c>
      <c r="P663" s="7" t="str">
        <f t="shared" si="71"/>
        <v>No</v>
      </c>
      <c r="Q663" s="7" t="str">
        <f t="shared" si="72"/>
        <v>Wide Reach</v>
      </c>
      <c r="R663" s="7" t="str">
        <f t="shared" si="74"/>
        <v>Evening</v>
      </c>
      <c r="S663" s="7" t="str">
        <f t="shared" si="75"/>
        <v>Europe</v>
      </c>
      <c r="T663" s="30">
        <f t="shared" si="76"/>
        <v>2.0454545454545454</v>
      </c>
      <c r="U663" s="6"/>
      <c r="V663" s="6"/>
    </row>
    <row r="664" spans="1:22" x14ac:dyDescent="0.3">
      <c r="A664" t="s">
        <v>1551</v>
      </c>
      <c r="B664" t="s">
        <v>2258</v>
      </c>
      <c r="C664" t="s">
        <v>948</v>
      </c>
      <c r="D664" s="1">
        <v>45158.708333333336</v>
      </c>
      <c r="E664" t="s">
        <v>761</v>
      </c>
      <c r="F664" t="s">
        <v>651</v>
      </c>
      <c r="G664">
        <v>30</v>
      </c>
      <c r="H664">
        <v>60</v>
      </c>
      <c r="I664" t="s">
        <v>720</v>
      </c>
      <c r="J664">
        <v>2023</v>
      </c>
      <c r="K664">
        <v>8</v>
      </c>
      <c r="L664">
        <v>20</v>
      </c>
      <c r="M664">
        <v>17</v>
      </c>
      <c r="N664" s="7">
        <f t="shared" si="70"/>
        <v>90</v>
      </c>
      <c r="O664" s="7" t="str">
        <f t="shared" si="73"/>
        <v>Popular</v>
      </c>
      <c r="P664" s="7" t="str">
        <f t="shared" si="71"/>
        <v>Yes</v>
      </c>
      <c r="Q664" s="7" t="str">
        <f t="shared" si="72"/>
        <v>Wide Reach</v>
      </c>
      <c r="R664" s="7" t="str">
        <f t="shared" si="74"/>
        <v>Afternoon</v>
      </c>
      <c r="S664" s="7" t="str">
        <f t="shared" si="75"/>
        <v>North America</v>
      </c>
      <c r="T664" s="30">
        <f t="shared" si="76"/>
        <v>2</v>
      </c>
      <c r="U664" s="6"/>
      <c r="V664" s="6"/>
    </row>
    <row r="665" spans="1:22" x14ac:dyDescent="0.3">
      <c r="A665" t="s">
        <v>1552</v>
      </c>
      <c r="B665" t="s">
        <v>2259</v>
      </c>
      <c r="C665" t="s">
        <v>772</v>
      </c>
      <c r="D665" s="1">
        <v>45159.65625</v>
      </c>
      <c r="E665" t="s">
        <v>762</v>
      </c>
      <c r="F665" t="s">
        <v>652</v>
      </c>
      <c r="G665">
        <v>15</v>
      </c>
      <c r="H665">
        <v>30</v>
      </c>
      <c r="I665" t="s">
        <v>30</v>
      </c>
      <c r="J665">
        <v>2023</v>
      </c>
      <c r="K665">
        <v>8</v>
      </c>
      <c r="L665">
        <v>21</v>
      </c>
      <c r="M665">
        <v>15</v>
      </c>
      <c r="N665" s="7">
        <f t="shared" si="70"/>
        <v>45</v>
      </c>
      <c r="O665" s="7" t="str">
        <f t="shared" si="73"/>
        <v>Normal</v>
      </c>
      <c r="P665" s="7" t="str">
        <f t="shared" si="71"/>
        <v>No</v>
      </c>
      <c r="Q665" s="7" t="str">
        <f t="shared" si="72"/>
        <v>Standard</v>
      </c>
      <c r="R665" s="7" t="str">
        <f t="shared" si="74"/>
        <v>Afternoon</v>
      </c>
      <c r="S665" s="7" t="str">
        <f t="shared" si="75"/>
        <v>North America</v>
      </c>
      <c r="T665" s="30">
        <f t="shared" si="76"/>
        <v>2</v>
      </c>
      <c r="U665" s="6"/>
      <c r="V665" s="6"/>
    </row>
    <row r="666" spans="1:22" x14ac:dyDescent="0.3">
      <c r="A666" t="s">
        <v>1553</v>
      </c>
      <c r="B666" t="s">
        <v>2260</v>
      </c>
      <c r="C666" t="s">
        <v>787</v>
      </c>
      <c r="D666" s="1">
        <v>45160.520833333336</v>
      </c>
      <c r="E666" t="s">
        <v>763</v>
      </c>
      <c r="F666" t="s">
        <v>653</v>
      </c>
      <c r="G666">
        <v>22</v>
      </c>
      <c r="H666">
        <v>40</v>
      </c>
      <c r="I666" t="s">
        <v>720</v>
      </c>
      <c r="J666">
        <v>2023</v>
      </c>
      <c r="K666">
        <v>8</v>
      </c>
      <c r="L666">
        <v>22</v>
      </c>
      <c r="M666">
        <v>12</v>
      </c>
      <c r="N666" s="7">
        <f t="shared" si="70"/>
        <v>62</v>
      </c>
      <c r="O666" s="7" t="str">
        <f t="shared" si="73"/>
        <v>Popular</v>
      </c>
      <c r="P666" s="7" t="str">
        <f t="shared" si="71"/>
        <v>No</v>
      </c>
      <c r="Q666" s="7" t="str">
        <f t="shared" si="72"/>
        <v>Wide Reach</v>
      </c>
      <c r="R666" s="7" t="str">
        <f t="shared" si="74"/>
        <v>Afternoon</v>
      </c>
      <c r="S666" s="7" t="str">
        <f t="shared" si="75"/>
        <v>North America</v>
      </c>
      <c r="T666" s="30">
        <f t="shared" si="76"/>
        <v>1.8181818181818181</v>
      </c>
      <c r="U666" s="6"/>
      <c r="V666" s="6"/>
    </row>
    <row r="667" spans="1:22" x14ac:dyDescent="0.3">
      <c r="A667" t="s">
        <v>1554</v>
      </c>
      <c r="B667" t="s">
        <v>2261</v>
      </c>
      <c r="C667" t="s">
        <v>949</v>
      </c>
      <c r="D667" s="1">
        <v>45161.697916666664</v>
      </c>
      <c r="E667" t="s">
        <v>761</v>
      </c>
      <c r="F667" t="s">
        <v>654</v>
      </c>
      <c r="G667">
        <v>28</v>
      </c>
      <c r="H667">
        <v>55</v>
      </c>
      <c r="I667" t="s">
        <v>30</v>
      </c>
      <c r="J667">
        <v>2023</v>
      </c>
      <c r="K667">
        <v>8</v>
      </c>
      <c r="L667">
        <v>23</v>
      </c>
      <c r="M667">
        <v>16</v>
      </c>
      <c r="N667" s="7">
        <f t="shared" si="70"/>
        <v>83</v>
      </c>
      <c r="O667" s="7" t="str">
        <f t="shared" si="73"/>
        <v>Popular</v>
      </c>
      <c r="P667" s="7" t="str">
        <f t="shared" si="71"/>
        <v>Yes</v>
      </c>
      <c r="Q667" s="7" t="str">
        <f t="shared" si="72"/>
        <v>Wide Reach</v>
      </c>
      <c r="R667" s="7" t="str">
        <f t="shared" si="74"/>
        <v>Afternoon</v>
      </c>
      <c r="S667" s="7" t="str">
        <f t="shared" si="75"/>
        <v>North America</v>
      </c>
      <c r="T667" s="30">
        <f t="shared" si="76"/>
        <v>1.9642857142857142</v>
      </c>
      <c r="U667" s="6"/>
      <c r="V667" s="6"/>
    </row>
    <row r="668" spans="1:22" x14ac:dyDescent="0.3">
      <c r="A668" t="s">
        <v>1555</v>
      </c>
      <c r="B668" t="s">
        <v>2262</v>
      </c>
      <c r="C668" t="s">
        <v>787</v>
      </c>
      <c r="D668" s="1">
        <v>45162.763888888891</v>
      </c>
      <c r="E668" t="s">
        <v>762</v>
      </c>
      <c r="F668" t="s">
        <v>655</v>
      </c>
      <c r="G668">
        <v>20</v>
      </c>
      <c r="H668">
        <v>38</v>
      </c>
      <c r="I668" t="s">
        <v>722</v>
      </c>
      <c r="J668">
        <v>2023</v>
      </c>
      <c r="K668">
        <v>8</v>
      </c>
      <c r="L668">
        <v>24</v>
      </c>
      <c r="M668">
        <v>18</v>
      </c>
      <c r="N668" s="7">
        <f t="shared" si="70"/>
        <v>58</v>
      </c>
      <c r="O668" s="7" t="str">
        <f t="shared" si="73"/>
        <v>Normal</v>
      </c>
      <c r="P668" s="7" t="str">
        <f t="shared" si="71"/>
        <v>No</v>
      </c>
      <c r="Q668" s="7" t="str">
        <f t="shared" si="72"/>
        <v>Standard</v>
      </c>
      <c r="R668" s="7" t="str">
        <f t="shared" si="74"/>
        <v>Evening</v>
      </c>
      <c r="S668" s="7" t="str">
        <f t="shared" si="75"/>
        <v>Europe</v>
      </c>
      <c r="T668" s="30">
        <f t="shared" si="76"/>
        <v>1.9</v>
      </c>
      <c r="U668" s="6"/>
      <c r="V668" s="6"/>
    </row>
    <row r="669" spans="1:22" x14ac:dyDescent="0.3">
      <c r="A669" t="s">
        <v>1556</v>
      </c>
      <c r="B669" t="s">
        <v>2263</v>
      </c>
      <c r="C669" t="s">
        <v>772</v>
      </c>
      <c r="D669" s="1">
        <v>45163.59375</v>
      </c>
      <c r="E669" t="s">
        <v>763</v>
      </c>
      <c r="F669" t="s">
        <v>656</v>
      </c>
      <c r="G669">
        <v>25</v>
      </c>
      <c r="H669">
        <v>50</v>
      </c>
      <c r="I669" t="s">
        <v>720</v>
      </c>
      <c r="J669">
        <v>2023</v>
      </c>
      <c r="K669">
        <v>8</v>
      </c>
      <c r="L669">
        <v>25</v>
      </c>
      <c r="M669">
        <v>14</v>
      </c>
      <c r="N669" s="7">
        <f t="shared" si="70"/>
        <v>75</v>
      </c>
      <c r="O669" s="7" t="str">
        <f t="shared" si="73"/>
        <v>Popular</v>
      </c>
      <c r="P669" s="7" t="str">
        <f t="shared" si="71"/>
        <v>No</v>
      </c>
      <c r="Q669" s="7" t="str">
        <f t="shared" si="72"/>
        <v>Wide Reach</v>
      </c>
      <c r="R669" s="7" t="str">
        <f t="shared" si="74"/>
        <v>Afternoon</v>
      </c>
      <c r="S669" s="7" t="str">
        <f t="shared" si="75"/>
        <v>North America</v>
      </c>
      <c r="T669" s="30">
        <f t="shared" si="76"/>
        <v>2</v>
      </c>
      <c r="U669" s="6"/>
      <c r="V669" s="6"/>
    </row>
    <row r="670" spans="1:22" x14ac:dyDescent="0.3">
      <c r="A670" t="s">
        <v>1557</v>
      </c>
      <c r="B670" t="s">
        <v>2264</v>
      </c>
      <c r="C670" t="s">
        <v>948</v>
      </c>
      <c r="D670" s="1">
        <v>45164.729166666664</v>
      </c>
      <c r="E670" t="s">
        <v>761</v>
      </c>
      <c r="F670" t="s">
        <v>657</v>
      </c>
      <c r="G670">
        <v>18</v>
      </c>
      <c r="H670">
        <v>35</v>
      </c>
      <c r="I670" t="s">
        <v>30</v>
      </c>
      <c r="J670">
        <v>2023</v>
      </c>
      <c r="K670">
        <v>8</v>
      </c>
      <c r="L670">
        <v>26</v>
      </c>
      <c r="M670">
        <v>17</v>
      </c>
      <c r="N670" s="7">
        <f t="shared" si="70"/>
        <v>53</v>
      </c>
      <c r="O670" s="7" t="str">
        <f t="shared" si="73"/>
        <v>Normal</v>
      </c>
      <c r="P670" s="7" t="str">
        <f t="shared" si="71"/>
        <v>No</v>
      </c>
      <c r="Q670" s="7" t="str">
        <f t="shared" si="72"/>
        <v>Standard</v>
      </c>
      <c r="R670" s="7" t="str">
        <f t="shared" si="74"/>
        <v>Afternoon</v>
      </c>
      <c r="S670" s="7" t="str">
        <f t="shared" si="75"/>
        <v>North America</v>
      </c>
      <c r="T670" s="30">
        <f t="shared" si="76"/>
        <v>1.9444444444444444</v>
      </c>
      <c r="U670" s="6"/>
      <c r="V670" s="6"/>
    </row>
    <row r="671" spans="1:22" x14ac:dyDescent="0.3">
      <c r="A671" t="s">
        <v>1558</v>
      </c>
      <c r="B671" t="s">
        <v>2265</v>
      </c>
      <c r="C671" t="s">
        <v>948</v>
      </c>
      <c r="D671" s="1">
        <v>45165.864583333336</v>
      </c>
      <c r="E671" t="s">
        <v>762</v>
      </c>
      <c r="F671" t="s">
        <v>658</v>
      </c>
      <c r="G671">
        <v>22</v>
      </c>
      <c r="H671">
        <v>45</v>
      </c>
      <c r="I671" t="s">
        <v>722</v>
      </c>
      <c r="J671">
        <v>2023</v>
      </c>
      <c r="K671">
        <v>8</v>
      </c>
      <c r="L671">
        <v>27</v>
      </c>
      <c r="M671">
        <v>20</v>
      </c>
      <c r="N671" s="7">
        <f t="shared" si="70"/>
        <v>67</v>
      </c>
      <c r="O671" s="7" t="str">
        <f t="shared" si="73"/>
        <v>Popular</v>
      </c>
      <c r="P671" s="7" t="str">
        <f t="shared" si="71"/>
        <v>No</v>
      </c>
      <c r="Q671" s="7" t="str">
        <f t="shared" si="72"/>
        <v>Wide Reach</v>
      </c>
      <c r="R671" s="7" t="str">
        <f t="shared" si="74"/>
        <v>Evening</v>
      </c>
      <c r="S671" s="7" t="str">
        <f t="shared" si="75"/>
        <v>Europe</v>
      </c>
      <c r="T671" s="30">
        <f t="shared" si="76"/>
        <v>2.0454545454545454</v>
      </c>
      <c r="U671" s="6"/>
      <c r="V671" s="6"/>
    </row>
    <row r="672" spans="1:22" x14ac:dyDescent="0.3">
      <c r="A672" t="s">
        <v>1559</v>
      </c>
      <c r="B672" t="s">
        <v>2266</v>
      </c>
      <c r="C672" t="s">
        <v>772</v>
      </c>
      <c r="D672" s="1">
        <v>45166.666666666664</v>
      </c>
      <c r="E672" t="s">
        <v>761</v>
      </c>
      <c r="F672" t="s">
        <v>659</v>
      </c>
      <c r="G672">
        <v>18</v>
      </c>
      <c r="H672">
        <v>36</v>
      </c>
      <c r="I672" t="s">
        <v>30</v>
      </c>
      <c r="J672">
        <v>2023</v>
      </c>
      <c r="K672">
        <v>8</v>
      </c>
      <c r="L672">
        <v>28</v>
      </c>
      <c r="M672">
        <v>16</v>
      </c>
      <c r="N672" s="7">
        <f t="shared" si="70"/>
        <v>54</v>
      </c>
      <c r="O672" s="7" t="str">
        <f t="shared" si="73"/>
        <v>Normal</v>
      </c>
      <c r="P672" s="7" t="str">
        <f t="shared" si="71"/>
        <v>No</v>
      </c>
      <c r="Q672" s="7" t="str">
        <f t="shared" si="72"/>
        <v>Standard</v>
      </c>
      <c r="R672" s="7" t="str">
        <f t="shared" si="74"/>
        <v>Afternoon</v>
      </c>
      <c r="S672" s="7" t="str">
        <f t="shared" si="75"/>
        <v>North America</v>
      </c>
      <c r="T672" s="30">
        <f t="shared" si="76"/>
        <v>2</v>
      </c>
      <c r="U672" s="6"/>
      <c r="V672" s="6"/>
    </row>
    <row r="673" spans="1:22" x14ac:dyDescent="0.3">
      <c r="A673" t="s">
        <v>1560</v>
      </c>
      <c r="B673" t="s">
        <v>2267</v>
      </c>
      <c r="C673" t="s">
        <v>787</v>
      </c>
      <c r="D673" s="1">
        <v>45167.572916666664</v>
      </c>
      <c r="E673" t="s">
        <v>762</v>
      </c>
      <c r="F673" t="s">
        <v>660</v>
      </c>
      <c r="G673">
        <v>26</v>
      </c>
      <c r="H673">
        <v>48</v>
      </c>
      <c r="I673" t="s">
        <v>720</v>
      </c>
      <c r="J673">
        <v>2023</v>
      </c>
      <c r="K673">
        <v>8</v>
      </c>
      <c r="L673">
        <v>29</v>
      </c>
      <c r="M673">
        <v>13</v>
      </c>
      <c r="N673" s="7">
        <f t="shared" si="70"/>
        <v>74</v>
      </c>
      <c r="O673" s="7" t="str">
        <f t="shared" si="73"/>
        <v>Popular</v>
      </c>
      <c r="P673" s="7" t="str">
        <f t="shared" si="71"/>
        <v>No</v>
      </c>
      <c r="Q673" s="7" t="str">
        <f t="shared" si="72"/>
        <v>Wide Reach</v>
      </c>
      <c r="R673" s="7" t="str">
        <f t="shared" si="74"/>
        <v>Afternoon</v>
      </c>
      <c r="S673" s="7" t="str">
        <f t="shared" si="75"/>
        <v>North America</v>
      </c>
      <c r="T673" s="30">
        <f t="shared" si="76"/>
        <v>1.8461538461538463</v>
      </c>
      <c r="U673" s="6"/>
      <c r="V673" s="6"/>
    </row>
    <row r="674" spans="1:22" x14ac:dyDescent="0.3">
      <c r="A674" t="s">
        <v>1561</v>
      </c>
      <c r="B674" t="s">
        <v>2268</v>
      </c>
      <c r="C674" t="s">
        <v>772</v>
      </c>
      <c r="D674" s="1">
        <v>45168.729166666664</v>
      </c>
      <c r="E674" t="s">
        <v>763</v>
      </c>
      <c r="F674" t="s">
        <v>661</v>
      </c>
      <c r="G674">
        <v>20</v>
      </c>
      <c r="H674">
        <v>40</v>
      </c>
      <c r="I674" t="s">
        <v>30</v>
      </c>
      <c r="J674">
        <v>2023</v>
      </c>
      <c r="K674">
        <v>8</v>
      </c>
      <c r="L674">
        <v>30</v>
      </c>
      <c r="M674">
        <v>17</v>
      </c>
      <c r="N674" s="7">
        <f t="shared" si="70"/>
        <v>60</v>
      </c>
      <c r="O674" s="7" t="str">
        <f t="shared" si="73"/>
        <v>Normal</v>
      </c>
      <c r="P674" s="7" t="str">
        <f t="shared" si="71"/>
        <v>No</v>
      </c>
      <c r="Q674" s="7" t="str">
        <f t="shared" si="72"/>
        <v>Standard</v>
      </c>
      <c r="R674" s="7" t="str">
        <f t="shared" si="74"/>
        <v>Afternoon</v>
      </c>
      <c r="S674" s="7" t="str">
        <f t="shared" si="75"/>
        <v>North America</v>
      </c>
      <c r="T674" s="30">
        <f t="shared" si="76"/>
        <v>2</v>
      </c>
      <c r="U674" s="6"/>
      <c r="V674" s="6"/>
    </row>
    <row r="675" spans="1:22" x14ac:dyDescent="0.3">
      <c r="A675" t="s">
        <v>1562</v>
      </c>
      <c r="B675" t="s">
        <v>2269</v>
      </c>
      <c r="C675" t="s">
        <v>787</v>
      </c>
      <c r="D675" s="1">
        <v>45169.84375</v>
      </c>
      <c r="E675" t="s">
        <v>761</v>
      </c>
      <c r="F675" t="s">
        <v>662</v>
      </c>
      <c r="G675">
        <v>24</v>
      </c>
      <c r="H675">
        <v>42</v>
      </c>
      <c r="I675" t="s">
        <v>722</v>
      </c>
      <c r="J675">
        <v>2023</v>
      </c>
      <c r="K675">
        <v>8</v>
      </c>
      <c r="L675">
        <v>31</v>
      </c>
      <c r="M675">
        <v>20</v>
      </c>
      <c r="N675" s="7">
        <f t="shared" si="70"/>
        <v>66</v>
      </c>
      <c r="O675" s="7" t="str">
        <f t="shared" si="73"/>
        <v>Popular</v>
      </c>
      <c r="P675" s="7" t="str">
        <f t="shared" si="71"/>
        <v>No</v>
      </c>
      <c r="Q675" s="7" t="str">
        <f t="shared" si="72"/>
        <v>Wide Reach</v>
      </c>
      <c r="R675" s="7" t="str">
        <f t="shared" si="74"/>
        <v>Evening</v>
      </c>
      <c r="S675" s="7" t="str">
        <f t="shared" si="75"/>
        <v>Europe</v>
      </c>
      <c r="T675" s="30">
        <f t="shared" si="76"/>
        <v>1.75</v>
      </c>
      <c r="U675" s="6"/>
      <c r="V675" s="6"/>
    </row>
    <row r="676" spans="1:22" x14ac:dyDescent="0.3">
      <c r="A676" t="s">
        <v>1563</v>
      </c>
      <c r="B676" t="s">
        <v>2270</v>
      </c>
      <c r="C676" t="s">
        <v>772</v>
      </c>
      <c r="D676" s="1">
        <v>45170.614583333336</v>
      </c>
      <c r="E676" t="s">
        <v>762</v>
      </c>
      <c r="F676" t="s">
        <v>663</v>
      </c>
      <c r="G676">
        <v>21</v>
      </c>
      <c r="H676">
        <v>39</v>
      </c>
      <c r="I676" t="s">
        <v>720</v>
      </c>
      <c r="J676">
        <v>2023</v>
      </c>
      <c r="K676">
        <v>9</v>
      </c>
      <c r="L676">
        <v>1</v>
      </c>
      <c r="M676">
        <v>14</v>
      </c>
      <c r="N676" s="7">
        <f t="shared" si="70"/>
        <v>60</v>
      </c>
      <c r="O676" s="7" t="str">
        <f t="shared" si="73"/>
        <v>Normal</v>
      </c>
      <c r="P676" s="7" t="str">
        <f t="shared" si="71"/>
        <v>No</v>
      </c>
      <c r="Q676" s="7" t="str">
        <f t="shared" si="72"/>
        <v>Wide Reach</v>
      </c>
      <c r="R676" s="7" t="str">
        <f t="shared" si="74"/>
        <v>Afternoon</v>
      </c>
      <c r="S676" s="7" t="str">
        <f t="shared" si="75"/>
        <v>North America</v>
      </c>
      <c r="T676" s="30">
        <f t="shared" si="76"/>
        <v>1.8571428571428572</v>
      </c>
      <c r="U676" s="6"/>
      <c r="V676" s="6"/>
    </row>
    <row r="677" spans="1:22" x14ac:dyDescent="0.3">
      <c r="A677" t="s">
        <v>1564</v>
      </c>
      <c r="B677" t="s">
        <v>2271</v>
      </c>
      <c r="C677" t="s">
        <v>948</v>
      </c>
      <c r="D677" s="1">
        <v>45171.770833333336</v>
      </c>
      <c r="E677" t="s">
        <v>763</v>
      </c>
      <c r="F677" t="s">
        <v>664</v>
      </c>
      <c r="G677">
        <v>17</v>
      </c>
      <c r="H677">
        <v>33</v>
      </c>
      <c r="I677" t="s">
        <v>30</v>
      </c>
      <c r="J677">
        <v>2023</v>
      </c>
      <c r="K677">
        <v>9</v>
      </c>
      <c r="L677">
        <v>2</v>
      </c>
      <c r="M677">
        <v>18</v>
      </c>
      <c r="N677" s="7">
        <f t="shared" si="70"/>
        <v>50</v>
      </c>
      <c r="O677" s="7" t="str">
        <f t="shared" si="73"/>
        <v>Normal</v>
      </c>
      <c r="P677" s="7" t="str">
        <f t="shared" si="71"/>
        <v>No</v>
      </c>
      <c r="Q677" s="7" t="str">
        <f t="shared" si="72"/>
        <v>Standard</v>
      </c>
      <c r="R677" s="7" t="str">
        <f t="shared" si="74"/>
        <v>Evening</v>
      </c>
      <c r="S677" s="7" t="str">
        <f t="shared" si="75"/>
        <v>North America</v>
      </c>
      <c r="T677" s="30">
        <f t="shared" si="76"/>
        <v>1.9411764705882353</v>
      </c>
      <c r="U677" s="6"/>
      <c r="V677" s="6"/>
    </row>
    <row r="678" spans="1:22" x14ac:dyDescent="0.3">
      <c r="A678" t="s">
        <v>1565</v>
      </c>
      <c r="B678" t="s">
        <v>2272</v>
      </c>
      <c r="C678" t="s">
        <v>787</v>
      </c>
      <c r="D678" s="1">
        <v>45172.916666666664</v>
      </c>
      <c r="E678" t="s">
        <v>761</v>
      </c>
      <c r="F678" t="s">
        <v>665</v>
      </c>
      <c r="G678">
        <v>23</v>
      </c>
      <c r="H678">
        <v>44</v>
      </c>
      <c r="I678" t="s">
        <v>722</v>
      </c>
      <c r="J678">
        <v>2023</v>
      </c>
      <c r="K678">
        <v>9</v>
      </c>
      <c r="L678">
        <v>3</v>
      </c>
      <c r="M678">
        <v>22</v>
      </c>
      <c r="N678" s="7">
        <f t="shared" si="70"/>
        <v>67</v>
      </c>
      <c r="O678" s="7" t="str">
        <f t="shared" si="73"/>
        <v>Popular</v>
      </c>
      <c r="P678" s="7" t="str">
        <f t="shared" si="71"/>
        <v>No</v>
      </c>
      <c r="Q678" s="7" t="str">
        <f t="shared" si="72"/>
        <v>Wide Reach</v>
      </c>
      <c r="R678" s="7" t="str">
        <f t="shared" si="74"/>
        <v>Evening</v>
      </c>
      <c r="S678" s="7" t="str">
        <f t="shared" si="75"/>
        <v>Europe</v>
      </c>
      <c r="T678" s="30">
        <f t="shared" si="76"/>
        <v>1.9130434782608696</v>
      </c>
      <c r="U678" s="6"/>
      <c r="V678" s="6"/>
    </row>
    <row r="679" spans="1:22" x14ac:dyDescent="0.3">
      <c r="A679" t="s">
        <v>1566</v>
      </c>
      <c r="B679" t="s">
        <v>2273</v>
      </c>
      <c r="C679" t="s">
        <v>772</v>
      </c>
      <c r="D679" s="1">
        <v>45173.635416666664</v>
      </c>
      <c r="E679" t="s">
        <v>762</v>
      </c>
      <c r="F679" t="s">
        <v>666</v>
      </c>
      <c r="G679">
        <v>19</v>
      </c>
      <c r="H679">
        <v>37</v>
      </c>
      <c r="I679" t="s">
        <v>30</v>
      </c>
      <c r="J679">
        <v>2023</v>
      </c>
      <c r="K679">
        <v>9</v>
      </c>
      <c r="L679">
        <v>4</v>
      </c>
      <c r="M679">
        <v>15</v>
      </c>
      <c r="N679" s="7">
        <f t="shared" si="70"/>
        <v>56</v>
      </c>
      <c r="O679" s="7" t="str">
        <f t="shared" si="73"/>
        <v>Normal</v>
      </c>
      <c r="P679" s="7" t="str">
        <f t="shared" si="71"/>
        <v>No</v>
      </c>
      <c r="Q679" s="7" t="str">
        <f t="shared" si="72"/>
        <v>Standard</v>
      </c>
      <c r="R679" s="7" t="str">
        <f t="shared" si="74"/>
        <v>Afternoon</v>
      </c>
      <c r="S679" s="7" t="str">
        <f t="shared" si="75"/>
        <v>North America</v>
      </c>
      <c r="T679" s="30">
        <f t="shared" si="76"/>
        <v>1.9473684210526316</v>
      </c>
      <c r="U679" s="6"/>
      <c r="V679" s="6"/>
    </row>
    <row r="680" spans="1:22" x14ac:dyDescent="0.3">
      <c r="A680" t="s">
        <v>1567</v>
      </c>
      <c r="B680" t="s">
        <v>2274</v>
      </c>
      <c r="C680" t="s">
        <v>787</v>
      </c>
      <c r="D680" s="1">
        <v>45174.520833333336</v>
      </c>
      <c r="E680" t="s">
        <v>761</v>
      </c>
      <c r="F680" t="s">
        <v>667</v>
      </c>
      <c r="G680">
        <v>27</v>
      </c>
      <c r="H680">
        <v>52</v>
      </c>
      <c r="I680" t="s">
        <v>720</v>
      </c>
      <c r="J680">
        <v>2023</v>
      </c>
      <c r="K680">
        <v>9</v>
      </c>
      <c r="L680">
        <v>5</v>
      </c>
      <c r="M680">
        <v>12</v>
      </c>
      <c r="N680" s="7">
        <f t="shared" si="70"/>
        <v>79</v>
      </c>
      <c r="O680" s="7" t="str">
        <f t="shared" si="73"/>
        <v>Popular</v>
      </c>
      <c r="P680" s="7" t="str">
        <f t="shared" si="71"/>
        <v>Yes</v>
      </c>
      <c r="Q680" s="7" t="str">
        <f t="shared" si="72"/>
        <v>Wide Reach</v>
      </c>
      <c r="R680" s="7" t="str">
        <f t="shared" si="74"/>
        <v>Afternoon</v>
      </c>
      <c r="S680" s="7" t="str">
        <f t="shared" si="75"/>
        <v>North America</v>
      </c>
      <c r="T680" s="30">
        <f t="shared" si="76"/>
        <v>1.9259259259259258</v>
      </c>
      <c r="U680" s="6"/>
      <c r="V680" s="6"/>
    </row>
    <row r="681" spans="1:22" x14ac:dyDescent="0.3">
      <c r="A681" t="s">
        <v>1568</v>
      </c>
      <c r="B681" t="s">
        <v>2275</v>
      </c>
      <c r="C681" t="s">
        <v>772</v>
      </c>
      <c r="D681" s="1">
        <v>45175.697916666664</v>
      </c>
      <c r="E681" t="s">
        <v>763</v>
      </c>
      <c r="F681" t="s">
        <v>668</v>
      </c>
      <c r="G681">
        <v>22</v>
      </c>
      <c r="H681">
        <v>43</v>
      </c>
      <c r="I681" t="s">
        <v>722</v>
      </c>
      <c r="J681">
        <v>2023</v>
      </c>
      <c r="K681">
        <v>9</v>
      </c>
      <c r="L681">
        <v>6</v>
      </c>
      <c r="M681">
        <v>16</v>
      </c>
      <c r="N681" s="7">
        <f t="shared" si="70"/>
        <v>65</v>
      </c>
      <c r="O681" s="7" t="str">
        <f t="shared" si="73"/>
        <v>Popular</v>
      </c>
      <c r="P681" s="7" t="str">
        <f t="shared" si="71"/>
        <v>No</v>
      </c>
      <c r="Q681" s="7" t="str">
        <f t="shared" si="72"/>
        <v>Wide Reach</v>
      </c>
      <c r="R681" s="7" t="str">
        <f t="shared" si="74"/>
        <v>Afternoon</v>
      </c>
      <c r="S681" s="7" t="str">
        <f t="shared" si="75"/>
        <v>Europe</v>
      </c>
      <c r="T681" s="30">
        <f t="shared" si="76"/>
        <v>1.9545454545454546</v>
      </c>
      <c r="U681" s="6"/>
      <c r="V681" s="6"/>
    </row>
    <row r="682" spans="1:22" x14ac:dyDescent="0.3">
      <c r="A682" t="s">
        <v>1569</v>
      </c>
      <c r="B682" t="s">
        <v>2276</v>
      </c>
      <c r="C682" t="s">
        <v>787</v>
      </c>
      <c r="D682" s="1">
        <v>45176.763888888891</v>
      </c>
      <c r="E682" t="s">
        <v>762</v>
      </c>
      <c r="F682" t="s">
        <v>669</v>
      </c>
      <c r="G682">
        <v>20</v>
      </c>
      <c r="H682">
        <v>39</v>
      </c>
      <c r="I682" t="s">
        <v>30</v>
      </c>
      <c r="J682">
        <v>2023</v>
      </c>
      <c r="K682">
        <v>9</v>
      </c>
      <c r="L682">
        <v>7</v>
      </c>
      <c r="M682">
        <v>18</v>
      </c>
      <c r="N682" s="7">
        <f t="shared" si="70"/>
        <v>59</v>
      </c>
      <c r="O682" s="7" t="str">
        <f t="shared" si="73"/>
        <v>Normal</v>
      </c>
      <c r="P682" s="7" t="str">
        <f t="shared" si="71"/>
        <v>No</v>
      </c>
      <c r="Q682" s="7" t="str">
        <f t="shared" si="72"/>
        <v>Standard</v>
      </c>
      <c r="R682" s="7" t="str">
        <f t="shared" si="74"/>
        <v>Evening</v>
      </c>
      <c r="S682" s="7" t="str">
        <f t="shared" si="75"/>
        <v>North America</v>
      </c>
      <c r="T682" s="30">
        <f t="shared" si="76"/>
        <v>1.95</v>
      </c>
      <c r="U682" s="6"/>
      <c r="V682" s="6"/>
    </row>
    <row r="683" spans="1:22" x14ac:dyDescent="0.3">
      <c r="A683" t="s">
        <v>1570</v>
      </c>
      <c r="B683" t="s">
        <v>2277</v>
      </c>
      <c r="C683" t="s">
        <v>772</v>
      </c>
      <c r="D683" s="1">
        <v>45177.59375</v>
      </c>
      <c r="E683" t="s">
        <v>763</v>
      </c>
      <c r="F683" t="s">
        <v>670</v>
      </c>
      <c r="G683">
        <v>26</v>
      </c>
      <c r="H683">
        <v>48</v>
      </c>
      <c r="I683" t="s">
        <v>720</v>
      </c>
      <c r="J683">
        <v>2023</v>
      </c>
      <c r="K683">
        <v>9</v>
      </c>
      <c r="L683">
        <v>8</v>
      </c>
      <c r="M683">
        <v>14</v>
      </c>
      <c r="N683" s="7">
        <f t="shared" si="70"/>
        <v>74</v>
      </c>
      <c r="O683" s="7" t="str">
        <f t="shared" si="73"/>
        <v>Popular</v>
      </c>
      <c r="P683" s="7" t="str">
        <f t="shared" si="71"/>
        <v>No</v>
      </c>
      <c r="Q683" s="7" t="str">
        <f t="shared" si="72"/>
        <v>Wide Reach</v>
      </c>
      <c r="R683" s="7" t="str">
        <f t="shared" si="74"/>
        <v>Afternoon</v>
      </c>
      <c r="S683" s="7" t="str">
        <f t="shared" si="75"/>
        <v>North America</v>
      </c>
      <c r="T683" s="30">
        <f t="shared" si="76"/>
        <v>1.8461538461538463</v>
      </c>
      <c r="U683" s="6"/>
      <c r="V683" s="6"/>
    </row>
    <row r="684" spans="1:22" x14ac:dyDescent="0.3">
      <c r="A684" t="s">
        <v>1571</v>
      </c>
      <c r="B684" t="s">
        <v>2278</v>
      </c>
      <c r="C684" t="s">
        <v>948</v>
      </c>
      <c r="D684" s="1">
        <v>45178.729166666664</v>
      </c>
      <c r="E684" t="s">
        <v>761</v>
      </c>
      <c r="F684" t="s">
        <v>671</v>
      </c>
      <c r="G684">
        <v>16</v>
      </c>
      <c r="H684">
        <v>32</v>
      </c>
      <c r="I684" t="s">
        <v>30</v>
      </c>
      <c r="J684">
        <v>2023</v>
      </c>
      <c r="K684">
        <v>9</v>
      </c>
      <c r="L684">
        <v>9</v>
      </c>
      <c r="M684">
        <v>17</v>
      </c>
      <c r="N684" s="7">
        <f t="shared" si="70"/>
        <v>48</v>
      </c>
      <c r="O684" s="7" t="str">
        <f t="shared" si="73"/>
        <v>Normal</v>
      </c>
      <c r="P684" s="7" t="str">
        <f t="shared" si="71"/>
        <v>No</v>
      </c>
      <c r="Q684" s="7" t="str">
        <f t="shared" si="72"/>
        <v>Standard</v>
      </c>
      <c r="R684" s="7" t="str">
        <f t="shared" si="74"/>
        <v>Afternoon</v>
      </c>
      <c r="S684" s="7" t="str">
        <f t="shared" si="75"/>
        <v>North America</v>
      </c>
      <c r="T684" s="30">
        <f t="shared" si="76"/>
        <v>2</v>
      </c>
      <c r="U684" s="6"/>
      <c r="V684" s="6"/>
    </row>
    <row r="685" spans="1:22" x14ac:dyDescent="0.3">
      <c r="A685" t="s">
        <v>1572</v>
      </c>
      <c r="B685" t="s">
        <v>2279</v>
      </c>
      <c r="C685" t="s">
        <v>787</v>
      </c>
      <c r="D685" s="1">
        <v>45179.864583333336</v>
      </c>
      <c r="E685" t="s">
        <v>762</v>
      </c>
      <c r="F685" t="s">
        <v>672</v>
      </c>
      <c r="G685">
        <v>23</v>
      </c>
      <c r="H685">
        <v>42</v>
      </c>
      <c r="I685" t="s">
        <v>722</v>
      </c>
      <c r="J685">
        <v>2023</v>
      </c>
      <c r="K685">
        <v>9</v>
      </c>
      <c r="L685">
        <v>10</v>
      </c>
      <c r="M685">
        <v>20</v>
      </c>
      <c r="N685" s="7">
        <f t="shared" si="70"/>
        <v>65</v>
      </c>
      <c r="O685" s="7" t="str">
        <f t="shared" si="73"/>
        <v>Popular</v>
      </c>
      <c r="P685" s="7" t="str">
        <f t="shared" si="71"/>
        <v>No</v>
      </c>
      <c r="Q685" s="7" t="str">
        <f t="shared" si="72"/>
        <v>Wide Reach</v>
      </c>
      <c r="R685" s="7" t="str">
        <f t="shared" si="74"/>
        <v>Evening</v>
      </c>
      <c r="S685" s="7" t="str">
        <f t="shared" si="75"/>
        <v>Europe</v>
      </c>
      <c r="T685" s="30">
        <f t="shared" si="76"/>
        <v>1.826086956521739</v>
      </c>
      <c r="U685" s="6"/>
      <c r="V685" s="6"/>
    </row>
    <row r="686" spans="1:22" x14ac:dyDescent="0.3">
      <c r="A686" t="s">
        <v>1573</v>
      </c>
      <c r="B686" t="s">
        <v>2280</v>
      </c>
      <c r="C686" t="s">
        <v>950</v>
      </c>
      <c r="D686" s="1">
        <v>45180.65625</v>
      </c>
      <c r="E686" t="s">
        <v>761</v>
      </c>
      <c r="F686" t="s">
        <v>673</v>
      </c>
      <c r="G686">
        <v>15</v>
      </c>
      <c r="H686">
        <v>28</v>
      </c>
      <c r="I686" t="s">
        <v>30</v>
      </c>
      <c r="J686">
        <v>2023</v>
      </c>
      <c r="K686">
        <v>9</v>
      </c>
      <c r="L686">
        <v>11</v>
      </c>
      <c r="M686">
        <v>15</v>
      </c>
      <c r="N686" s="7">
        <f t="shared" si="70"/>
        <v>43</v>
      </c>
      <c r="O686" s="7" t="str">
        <f t="shared" si="73"/>
        <v>Normal</v>
      </c>
      <c r="P686" s="7" t="str">
        <f t="shared" si="71"/>
        <v>No</v>
      </c>
      <c r="Q686" s="7" t="str">
        <f t="shared" si="72"/>
        <v>Standard</v>
      </c>
      <c r="R686" s="7" t="str">
        <f t="shared" si="74"/>
        <v>Afternoon</v>
      </c>
      <c r="S686" s="7" t="str">
        <f t="shared" si="75"/>
        <v>North America</v>
      </c>
      <c r="T686" s="30">
        <f t="shared" si="76"/>
        <v>1.8666666666666667</v>
      </c>
      <c r="U686" s="6"/>
      <c r="V686" s="6"/>
    </row>
    <row r="687" spans="1:22" x14ac:dyDescent="0.3">
      <c r="A687" t="s">
        <v>1574</v>
      </c>
      <c r="B687" t="s">
        <v>2281</v>
      </c>
      <c r="C687" t="s">
        <v>951</v>
      </c>
      <c r="D687" s="1">
        <v>45181.520833333336</v>
      </c>
      <c r="E687" t="s">
        <v>762</v>
      </c>
      <c r="F687" t="s">
        <v>674</v>
      </c>
      <c r="G687">
        <v>18</v>
      </c>
      <c r="H687">
        <v>36</v>
      </c>
      <c r="I687" t="s">
        <v>720</v>
      </c>
      <c r="J687">
        <v>2023</v>
      </c>
      <c r="K687">
        <v>9</v>
      </c>
      <c r="L687">
        <v>12</v>
      </c>
      <c r="M687">
        <v>12</v>
      </c>
      <c r="N687" s="7">
        <f t="shared" si="70"/>
        <v>54</v>
      </c>
      <c r="O687" s="7" t="str">
        <f t="shared" si="73"/>
        <v>Normal</v>
      </c>
      <c r="P687" s="7" t="str">
        <f t="shared" si="71"/>
        <v>No</v>
      </c>
      <c r="Q687" s="7" t="str">
        <f t="shared" si="72"/>
        <v>Standard</v>
      </c>
      <c r="R687" s="7" t="str">
        <f t="shared" si="74"/>
        <v>Afternoon</v>
      </c>
      <c r="S687" s="7" t="str">
        <f t="shared" si="75"/>
        <v>North America</v>
      </c>
      <c r="T687" s="30">
        <f t="shared" si="76"/>
        <v>2</v>
      </c>
      <c r="U687" s="6"/>
      <c r="V687" s="6"/>
    </row>
    <row r="688" spans="1:22" x14ac:dyDescent="0.3">
      <c r="A688" t="s">
        <v>1575</v>
      </c>
      <c r="B688" t="s">
        <v>2282</v>
      </c>
      <c r="C688" t="s">
        <v>952</v>
      </c>
      <c r="D688" s="1">
        <v>45182.697916666664</v>
      </c>
      <c r="E688" t="s">
        <v>763</v>
      </c>
      <c r="F688" t="s">
        <v>675</v>
      </c>
      <c r="G688">
        <v>20</v>
      </c>
      <c r="H688">
        <v>40</v>
      </c>
      <c r="I688" t="s">
        <v>722</v>
      </c>
      <c r="J688">
        <v>2023</v>
      </c>
      <c r="K688">
        <v>9</v>
      </c>
      <c r="L688">
        <v>13</v>
      </c>
      <c r="M688">
        <v>16</v>
      </c>
      <c r="N688" s="7">
        <f t="shared" si="70"/>
        <v>60</v>
      </c>
      <c r="O688" s="7" t="str">
        <f t="shared" si="73"/>
        <v>Normal</v>
      </c>
      <c r="P688" s="7" t="str">
        <f t="shared" si="71"/>
        <v>No</v>
      </c>
      <c r="Q688" s="7" t="str">
        <f t="shared" si="72"/>
        <v>Standard</v>
      </c>
      <c r="R688" s="7" t="str">
        <f t="shared" si="74"/>
        <v>Afternoon</v>
      </c>
      <c r="S688" s="7" t="str">
        <f t="shared" si="75"/>
        <v>Europe</v>
      </c>
      <c r="T688" s="30">
        <f t="shared" si="76"/>
        <v>2</v>
      </c>
      <c r="U688" s="6"/>
      <c r="V688" s="6"/>
    </row>
    <row r="689" spans="1:22" x14ac:dyDescent="0.3">
      <c r="A689" t="s">
        <v>1576</v>
      </c>
      <c r="B689" t="s">
        <v>2283</v>
      </c>
      <c r="C689" t="s">
        <v>950</v>
      </c>
      <c r="D689" s="1">
        <v>45183.763888888891</v>
      </c>
      <c r="E689" t="s">
        <v>761</v>
      </c>
      <c r="F689" t="s">
        <v>676</v>
      </c>
      <c r="G689">
        <v>17</v>
      </c>
      <c r="H689">
        <v>34</v>
      </c>
      <c r="I689" t="s">
        <v>30</v>
      </c>
      <c r="J689">
        <v>2023</v>
      </c>
      <c r="K689">
        <v>9</v>
      </c>
      <c r="L689">
        <v>14</v>
      </c>
      <c r="M689">
        <v>18</v>
      </c>
      <c r="N689" s="7">
        <f t="shared" si="70"/>
        <v>51</v>
      </c>
      <c r="O689" s="7" t="str">
        <f t="shared" si="73"/>
        <v>Normal</v>
      </c>
      <c r="P689" s="7" t="str">
        <f t="shared" si="71"/>
        <v>No</v>
      </c>
      <c r="Q689" s="7" t="str">
        <f t="shared" si="72"/>
        <v>Standard</v>
      </c>
      <c r="R689" s="7" t="str">
        <f t="shared" si="74"/>
        <v>Evening</v>
      </c>
      <c r="S689" s="7" t="str">
        <f t="shared" si="75"/>
        <v>North America</v>
      </c>
      <c r="T689" s="30">
        <f t="shared" si="76"/>
        <v>2</v>
      </c>
      <c r="U689" s="6"/>
      <c r="V689" s="6"/>
    </row>
    <row r="690" spans="1:22" x14ac:dyDescent="0.3">
      <c r="A690" t="s">
        <v>1577</v>
      </c>
      <c r="B690" t="s">
        <v>2284</v>
      </c>
      <c r="C690" t="s">
        <v>951</v>
      </c>
      <c r="D690" s="1">
        <v>45184.59375</v>
      </c>
      <c r="E690" t="s">
        <v>762</v>
      </c>
      <c r="F690" t="s">
        <v>677</v>
      </c>
      <c r="G690">
        <v>21</v>
      </c>
      <c r="H690">
        <v>41</v>
      </c>
      <c r="I690" t="s">
        <v>720</v>
      </c>
      <c r="J690">
        <v>2023</v>
      </c>
      <c r="K690">
        <v>9</v>
      </c>
      <c r="L690">
        <v>15</v>
      </c>
      <c r="M690">
        <v>14</v>
      </c>
      <c r="N690" s="7">
        <f t="shared" si="70"/>
        <v>62</v>
      </c>
      <c r="O690" s="7" t="str">
        <f t="shared" si="73"/>
        <v>Popular</v>
      </c>
      <c r="P690" s="7" t="str">
        <f t="shared" si="71"/>
        <v>No</v>
      </c>
      <c r="Q690" s="7" t="str">
        <f t="shared" si="72"/>
        <v>Wide Reach</v>
      </c>
      <c r="R690" s="7" t="str">
        <f t="shared" si="74"/>
        <v>Afternoon</v>
      </c>
      <c r="S690" s="7" t="str">
        <f t="shared" si="75"/>
        <v>North America</v>
      </c>
      <c r="T690" s="30">
        <f t="shared" si="76"/>
        <v>1.9523809523809523</v>
      </c>
      <c r="U690" s="6"/>
      <c r="V690" s="6"/>
    </row>
    <row r="691" spans="1:22" x14ac:dyDescent="0.3">
      <c r="A691" t="s">
        <v>1578</v>
      </c>
      <c r="B691" t="s">
        <v>2285</v>
      </c>
      <c r="C691" t="s">
        <v>952</v>
      </c>
      <c r="D691" s="1">
        <v>45185.729166666664</v>
      </c>
      <c r="E691" t="s">
        <v>763</v>
      </c>
      <c r="F691" t="s">
        <v>678</v>
      </c>
      <c r="G691">
        <v>19</v>
      </c>
      <c r="H691">
        <v>38</v>
      </c>
      <c r="I691" t="s">
        <v>722</v>
      </c>
      <c r="J691">
        <v>2023</v>
      </c>
      <c r="K691">
        <v>9</v>
      </c>
      <c r="L691">
        <v>16</v>
      </c>
      <c r="M691">
        <v>17</v>
      </c>
      <c r="N691" s="7">
        <f t="shared" si="70"/>
        <v>57</v>
      </c>
      <c r="O691" s="7" t="str">
        <f t="shared" si="73"/>
        <v>Normal</v>
      </c>
      <c r="P691" s="7" t="str">
        <f t="shared" si="71"/>
        <v>No</v>
      </c>
      <c r="Q691" s="7" t="str">
        <f t="shared" si="72"/>
        <v>Standard</v>
      </c>
      <c r="R691" s="7" t="str">
        <f t="shared" si="74"/>
        <v>Afternoon</v>
      </c>
      <c r="S691" s="7" t="str">
        <f t="shared" si="75"/>
        <v>Europe</v>
      </c>
      <c r="T691" s="30">
        <f t="shared" si="76"/>
        <v>2</v>
      </c>
      <c r="U691" s="6"/>
      <c r="V691" s="6"/>
    </row>
    <row r="692" spans="1:22" x14ac:dyDescent="0.3">
      <c r="A692" t="s">
        <v>1579</v>
      </c>
      <c r="B692" t="s">
        <v>2286</v>
      </c>
      <c r="C692" t="s">
        <v>950</v>
      </c>
      <c r="D692" s="1">
        <v>45186.864583333336</v>
      </c>
      <c r="E692" t="s">
        <v>761</v>
      </c>
      <c r="F692" t="s">
        <v>679</v>
      </c>
      <c r="G692">
        <v>22</v>
      </c>
      <c r="H692">
        <v>44</v>
      </c>
      <c r="I692" t="s">
        <v>30</v>
      </c>
      <c r="J692">
        <v>2023</v>
      </c>
      <c r="K692">
        <v>9</v>
      </c>
      <c r="L692">
        <v>17</v>
      </c>
      <c r="M692">
        <v>20</v>
      </c>
      <c r="N692" s="7">
        <f t="shared" si="70"/>
        <v>66</v>
      </c>
      <c r="O692" s="7" t="str">
        <f t="shared" si="73"/>
        <v>Popular</v>
      </c>
      <c r="P692" s="7" t="str">
        <f t="shared" si="71"/>
        <v>No</v>
      </c>
      <c r="Q692" s="7" t="str">
        <f t="shared" si="72"/>
        <v>Wide Reach</v>
      </c>
      <c r="R692" s="7" t="str">
        <f t="shared" si="74"/>
        <v>Evening</v>
      </c>
      <c r="S692" s="7" t="str">
        <f t="shared" si="75"/>
        <v>North America</v>
      </c>
      <c r="T692" s="30">
        <f t="shared" si="76"/>
        <v>2</v>
      </c>
      <c r="U692" s="6"/>
      <c r="V692" s="6"/>
    </row>
    <row r="693" spans="1:22" x14ac:dyDescent="0.3">
      <c r="A693" t="s">
        <v>1580</v>
      </c>
      <c r="B693" t="s">
        <v>2287</v>
      </c>
      <c r="C693" t="s">
        <v>950</v>
      </c>
      <c r="D693" s="1">
        <v>45187.916666666664</v>
      </c>
      <c r="E693" t="s">
        <v>762</v>
      </c>
      <c r="F693" t="s">
        <v>680</v>
      </c>
      <c r="G693">
        <v>16</v>
      </c>
      <c r="H693">
        <v>31</v>
      </c>
      <c r="I693" t="s">
        <v>720</v>
      </c>
      <c r="J693">
        <v>2023</v>
      </c>
      <c r="K693">
        <v>9</v>
      </c>
      <c r="L693">
        <v>18</v>
      </c>
      <c r="M693">
        <v>22</v>
      </c>
      <c r="N693" s="7">
        <f t="shared" si="70"/>
        <v>47</v>
      </c>
      <c r="O693" s="7" t="str">
        <f t="shared" si="73"/>
        <v>Normal</v>
      </c>
      <c r="P693" s="7" t="str">
        <f t="shared" si="71"/>
        <v>No</v>
      </c>
      <c r="Q693" s="7" t="str">
        <f t="shared" si="72"/>
        <v>Standard</v>
      </c>
      <c r="R693" s="7" t="str">
        <f t="shared" si="74"/>
        <v>Evening</v>
      </c>
      <c r="S693" s="7" t="str">
        <f t="shared" si="75"/>
        <v>North America</v>
      </c>
      <c r="T693" s="30">
        <f t="shared" si="76"/>
        <v>1.9375</v>
      </c>
      <c r="U693" s="6"/>
      <c r="V693" s="6"/>
    </row>
    <row r="694" spans="1:22" x14ac:dyDescent="0.3">
      <c r="A694" t="s">
        <v>1581</v>
      </c>
      <c r="B694" t="s">
        <v>2288</v>
      </c>
      <c r="C694" t="s">
        <v>951</v>
      </c>
      <c r="D694" s="1">
        <v>45188.635416666664</v>
      </c>
      <c r="E694" t="s">
        <v>763</v>
      </c>
      <c r="F694" t="s">
        <v>681</v>
      </c>
      <c r="G694">
        <v>14</v>
      </c>
      <c r="H694">
        <v>27</v>
      </c>
      <c r="I694" t="s">
        <v>722</v>
      </c>
      <c r="J694">
        <v>2023</v>
      </c>
      <c r="K694">
        <v>9</v>
      </c>
      <c r="L694">
        <v>19</v>
      </c>
      <c r="M694">
        <v>15</v>
      </c>
      <c r="N694" s="7">
        <f t="shared" si="70"/>
        <v>41</v>
      </c>
      <c r="O694" s="7" t="str">
        <f t="shared" si="73"/>
        <v>Normal</v>
      </c>
      <c r="P694" s="7" t="str">
        <f t="shared" si="71"/>
        <v>No</v>
      </c>
      <c r="Q694" s="7" t="str">
        <f t="shared" si="72"/>
        <v>Standard</v>
      </c>
      <c r="R694" s="7" t="str">
        <f t="shared" si="74"/>
        <v>Afternoon</v>
      </c>
      <c r="S694" s="7" t="str">
        <f t="shared" si="75"/>
        <v>Europe</v>
      </c>
      <c r="T694" s="30">
        <f t="shared" si="76"/>
        <v>1.9285714285714286</v>
      </c>
      <c r="U694" s="6"/>
      <c r="V694" s="6"/>
    </row>
    <row r="695" spans="1:22" x14ac:dyDescent="0.3">
      <c r="A695" t="s">
        <v>1582</v>
      </c>
      <c r="B695" t="s">
        <v>2289</v>
      </c>
      <c r="C695" t="s">
        <v>952</v>
      </c>
      <c r="D695" s="1">
        <v>45189.520833333336</v>
      </c>
      <c r="E695" t="s">
        <v>761</v>
      </c>
      <c r="F695" t="s">
        <v>682</v>
      </c>
      <c r="G695">
        <v>18</v>
      </c>
      <c r="H695">
        <v>35</v>
      </c>
      <c r="I695" t="s">
        <v>30</v>
      </c>
      <c r="J695">
        <v>2023</v>
      </c>
      <c r="K695">
        <v>9</v>
      </c>
      <c r="L695">
        <v>20</v>
      </c>
      <c r="M695">
        <v>12</v>
      </c>
      <c r="N695" s="7">
        <f t="shared" si="70"/>
        <v>53</v>
      </c>
      <c r="O695" s="7" t="str">
        <f t="shared" si="73"/>
        <v>Normal</v>
      </c>
      <c r="P695" s="7" t="str">
        <f t="shared" si="71"/>
        <v>No</v>
      </c>
      <c r="Q695" s="7" t="str">
        <f t="shared" si="72"/>
        <v>Standard</v>
      </c>
      <c r="R695" s="7" t="str">
        <f t="shared" si="74"/>
        <v>Afternoon</v>
      </c>
      <c r="S695" s="7" t="str">
        <f t="shared" si="75"/>
        <v>North America</v>
      </c>
      <c r="T695" s="30">
        <f t="shared" si="76"/>
        <v>1.9444444444444444</v>
      </c>
      <c r="U695" s="6"/>
      <c r="V695" s="6"/>
    </row>
    <row r="696" spans="1:22" x14ac:dyDescent="0.3">
      <c r="A696" t="s">
        <v>1583</v>
      </c>
      <c r="B696" t="s">
        <v>2290</v>
      </c>
      <c r="C696" t="s">
        <v>950</v>
      </c>
      <c r="D696" s="1">
        <v>45190.697916666664</v>
      </c>
      <c r="E696" t="s">
        <v>762</v>
      </c>
      <c r="F696" t="s">
        <v>683</v>
      </c>
      <c r="G696">
        <v>20</v>
      </c>
      <c r="H696">
        <v>39</v>
      </c>
      <c r="I696" t="s">
        <v>720</v>
      </c>
      <c r="J696">
        <v>2023</v>
      </c>
      <c r="K696">
        <v>9</v>
      </c>
      <c r="L696">
        <v>21</v>
      </c>
      <c r="M696">
        <v>16</v>
      </c>
      <c r="N696" s="7">
        <f t="shared" si="70"/>
        <v>59</v>
      </c>
      <c r="O696" s="7" t="str">
        <f t="shared" si="73"/>
        <v>Normal</v>
      </c>
      <c r="P696" s="7" t="str">
        <f t="shared" si="71"/>
        <v>No</v>
      </c>
      <c r="Q696" s="7" t="str">
        <f t="shared" si="72"/>
        <v>Standard</v>
      </c>
      <c r="R696" s="7" t="str">
        <f t="shared" si="74"/>
        <v>Afternoon</v>
      </c>
      <c r="S696" s="7" t="str">
        <f t="shared" si="75"/>
        <v>North America</v>
      </c>
      <c r="T696" s="30">
        <f t="shared" si="76"/>
        <v>1.95</v>
      </c>
      <c r="U696" s="6"/>
      <c r="V696" s="6"/>
    </row>
    <row r="697" spans="1:22" x14ac:dyDescent="0.3">
      <c r="A697" t="s">
        <v>1584</v>
      </c>
      <c r="B697" t="s">
        <v>2291</v>
      </c>
      <c r="C697" t="s">
        <v>951</v>
      </c>
      <c r="D697" s="1">
        <v>45191.763888888891</v>
      </c>
      <c r="E697" t="s">
        <v>763</v>
      </c>
      <c r="F697" t="s">
        <v>684</v>
      </c>
      <c r="G697">
        <v>23</v>
      </c>
      <c r="H697">
        <v>46</v>
      </c>
      <c r="I697" t="s">
        <v>722</v>
      </c>
      <c r="J697">
        <v>2023</v>
      </c>
      <c r="K697">
        <v>9</v>
      </c>
      <c r="L697">
        <v>22</v>
      </c>
      <c r="M697">
        <v>18</v>
      </c>
      <c r="N697" s="7">
        <f t="shared" si="70"/>
        <v>69</v>
      </c>
      <c r="O697" s="7" t="str">
        <f t="shared" si="73"/>
        <v>Popular</v>
      </c>
      <c r="P697" s="7" t="str">
        <f t="shared" si="71"/>
        <v>No</v>
      </c>
      <c r="Q697" s="7" t="str">
        <f t="shared" si="72"/>
        <v>Wide Reach</v>
      </c>
      <c r="R697" s="7" t="str">
        <f t="shared" si="74"/>
        <v>Evening</v>
      </c>
      <c r="S697" s="7" t="str">
        <f t="shared" si="75"/>
        <v>Europe</v>
      </c>
      <c r="T697" s="30">
        <f t="shared" si="76"/>
        <v>2</v>
      </c>
      <c r="U697" s="6"/>
      <c r="V697" s="6"/>
    </row>
    <row r="698" spans="1:22" x14ac:dyDescent="0.3">
      <c r="A698" t="s">
        <v>1585</v>
      </c>
      <c r="B698" t="s">
        <v>2292</v>
      </c>
      <c r="C698" t="s">
        <v>952</v>
      </c>
      <c r="D698" s="1">
        <v>45192.59375</v>
      </c>
      <c r="E698" t="s">
        <v>761</v>
      </c>
      <c r="F698" t="s">
        <v>685</v>
      </c>
      <c r="G698">
        <v>25</v>
      </c>
      <c r="H698">
        <v>50</v>
      </c>
      <c r="I698" t="s">
        <v>30</v>
      </c>
      <c r="J698">
        <v>2023</v>
      </c>
      <c r="K698">
        <v>9</v>
      </c>
      <c r="L698">
        <v>23</v>
      </c>
      <c r="M698">
        <v>14</v>
      </c>
      <c r="N698" s="7">
        <f t="shared" si="70"/>
        <v>75</v>
      </c>
      <c r="O698" s="7" t="str">
        <f t="shared" si="73"/>
        <v>Popular</v>
      </c>
      <c r="P698" s="7" t="str">
        <f t="shared" si="71"/>
        <v>No</v>
      </c>
      <c r="Q698" s="7" t="str">
        <f t="shared" si="72"/>
        <v>Wide Reach</v>
      </c>
      <c r="R698" s="7" t="str">
        <f t="shared" si="74"/>
        <v>Afternoon</v>
      </c>
      <c r="S698" s="7" t="str">
        <f t="shared" si="75"/>
        <v>North America</v>
      </c>
      <c r="T698" s="30">
        <f t="shared" si="76"/>
        <v>2</v>
      </c>
      <c r="U698" s="6"/>
      <c r="V698" s="6"/>
    </row>
    <row r="699" spans="1:22" x14ac:dyDescent="0.3">
      <c r="A699" t="s">
        <v>1586</v>
      </c>
      <c r="B699" t="s">
        <v>2293</v>
      </c>
      <c r="C699" t="s">
        <v>950</v>
      </c>
      <c r="D699" s="1">
        <v>45193.729166666664</v>
      </c>
      <c r="E699" t="s">
        <v>762</v>
      </c>
      <c r="F699" t="s">
        <v>686</v>
      </c>
      <c r="G699">
        <v>21</v>
      </c>
      <c r="H699">
        <v>42</v>
      </c>
      <c r="I699" t="s">
        <v>720</v>
      </c>
      <c r="J699">
        <v>2023</v>
      </c>
      <c r="K699">
        <v>9</v>
      </c>
      <c r="L699">
        <v>24</v>
      </c>
      <c r="M699">
        <v>17</v>
      </c>
      <c r="N699" s="7">
        <f t="shared" si="70"/>
        <v>63</v>
      </c>
      <c r="O699" s="7" t="str">
        <f t="shared" si="73"/>
        <v>Popular</v>
      </c>
      <c r="P699" s="7" t="str">
        <f t="shared" si="71"/>
        <v>No</v>
      </c>
      <c r="Q699" s="7" t="str">
        <f t="shared" si="72"/>
        <v>Wide Reach</v>
      </c>
      <c r="R699" s="7" t="str">
        <f t="shared" si="74"/>
        <v>Afternoon</v>
      </c>
      <c r="S699" s="7" t="str">
        <f t="shared" si="75"/>
        <v>North America</v>
      </c>
      <c r="T699" s="30">
        <f t="shared" si="76"/>
        <v>2</v>
      </c>
      <c r="U699" s="6"/>
      <c r="V699" s="6"/>
    </row>
    <row r="700" spans="1:22" x14ac:dyDescent="0.3">
      <c r="A700" t="s">
        <v>1587</v>
      </c>
      <c r="B700" t="s">
        <v>2294</v>
      </c>
      <c r="C700" t="s">
        <v>950</v>
      </c>
      <c r="D700" s="1">
        <v>45194.864583333336</v>
      </c>
      <c r="E700" t="s">
        <v>763</v>
      </c>
      <c r="F700" t="s">
        <v>687</v>
      </c>
      <c r="G700">
        <v>19</v>
      </c>
      <c r="H700">
        <v>37</v>
      </c>
      <c r="I700" t="s">
        <v>722</v>
      </c>
      <c r="J700">
        <v>2023</v>
      </c>
      <c r="K700">
        <v>9</v>
      </c>
      <c r="L700">
        <v>25</v>
      </c>
      <c r="M700">
        <v>20</v>
      </c>
      <c r="N700" s="7">
        <f t="shared" si="70"/>
        <v>56</v>
      </c>
      <c r="O700" s="7" t="str">
        <f t="shared" si="73"/>
        <v>Normal</v>
      </c>
      <c r="P700" s="7" t="str">
        <f t="shared" si="71"/>
        <v>No</v>
      </c>
      <c r="Q700" s="7" t="str">
        <f t="shared" si="72"/>
        <v>Standard</v>
      </c>
      <c r="R700" s="7" t="str">
        <f t="shared" si="74"/>
        <v>Evening</v>
      </c>
      <c r="S700" s="7" t="str">
        <f t="shared" si="75"/>
        <v>Europe</v>
      </c>
      <c r="T700" s="30">
        <f t="shared" si="76"/>
        <v>1.9473684210526316</v>
      </c>
      <c r="U700" s="6"/>
      <c r="V700" s="6"/>
    </row>
    <row r="701" spans="1:22" x14ac:dyDescent="0.3">
      <c r="A701" t="s">
        <v>1588</v>
      </c>
      <c r="B701" t="s">
        <v>2295</v>
      </c>
      <c r="C701" t="s">
        <v>951</v>
      </c>
      <c r="D701" s="1">
        <v>45195.59375</v>
      </c>
      <c r="E701" t="s">
        <v>761</v>
      </c>
      <c r="F701" t="s">
        <v>688</v>
      </c>
      <c r="G701">
        <v>16</v>
      </c>
      <c r="H701">
        <v>32</v>
      </c>
      <c r="I701" t="s">
        <v>30</v>
      </c>
      <c r="J701">
        <v>2023</v>
      </c>
      <c r="K701">
        <v>9</v>
      </c>
      <c r="L701">
        <v>26</v>
      </c>
      <c r="M701">
        <v>14</v>
      </c>
      <c r="N701" s="7">
        <f t="shared" si="70"/>
        <v>48</v>
      </c>
      <c r="O701" s="7" t="str">
        <f t="shared" si="73"/>
        <v>Normal</v>
      </c>
      <c r="P701" s="7" t="str">
        <f t="shared" si="71"/>
        <v>No</v>
      </c>
      <c r="Q701" s="7" t="str">
        <f t="shared" si="72"/>
        <v>Standard</v>
      </c>
      <c r="R701" s="7" t="str">
        <f t="shared" si="74"/>
        <v>Afternoon</v>
      </c>
      <c r="S701" s="7" t="str">
        <f t="shared" si="75"/>
        <v>North America</v>
      </c>
      <c r="T701" s="30">
        <f t="shared" si="76"/>
        <v>2</v>
      </c>
      <c r="U701" s="6"/>
      <c r="V701" s="6"/>
    </row>
    <row r="702" spans="1:22" x14ac:dyDescent="0.3">
      <c r="A702" t="s">
        <v>1589</v>
      </c>
      <c r="B702" t="s">
        <v>2296</v>
      </c>
      <c r="C702" t="s">
        <v>952</v>
      </c>
      <c r="D702" s="1">
        <v>45196.729166666664</v>
      </c>
      <c r="E702" t="s">
        <v>762</v>
      </c>
      <c r="F702" t="s">
        <v>689</v>
      </c>
      <c r="G702">
        <v>18</v>
      </c>
      <c r="H702">
        <v>36</v>
      </c>
      <c r="I702" t="s">
        <v>720</v>
      </c>
      <c r="J702">
        <v>2023</v>
      </c>
      <c r="K702">
        <v>9</v>
      </c>
      <c r="L702">
        <v>27</v>
      </c>
      <c r="M702">
        <v>17</v>
      </c>
      <c r="N702" s="7">
        <f t="shared" si="70"/>
        <v>54</v>
      </c>
      <c r="O702" s="7" t="str">
        <f t="shared" si="73"/>
        <v>Normal</v>
      </c>
      <c r="P702" s="7" t="str">
        <f t="shared" si="71"/>
        <v>No</v>
      </c>
      <c r="Q702" s="7" t="str">
        <f t="shared" si="72"/>
        <v>Standard</v>
      </c>
      <c r="R702" s="7" t="str">
        <f t="shared" si="74"/>
        <v>Afternoon</v>
      </c>
      <c r="S702" s="7" t="str">
        <f t="shared" si="75"/>
        <v>North America</v>
      </c>
      <c r="T702" s="30">
        <f t="shared" si="76"/>
        <v>2</v>
      </c>
      <c r="U702" s="6"/>
      <c r="V702" s="6"/>
    </row>
    <row r="703" spans="1:22" x14ac:dyDescent="0.3">
      <c r="A703" t="s">
        <v>1590</v>
      </c>
      <c r="B703" t="s">
        <v>2297</v>
      </c>
      <c r="C703" t="s">
        <v>950</v>
      </c>
      <c r="D703" s="1">
        <v>45197.916666666664</v>
      </c>
      <c r="E703" t="s">
        <v>763</v>
      </c>
      <c r="F703" t="s">
        <v>690</v>
      </c>
      <c r="G703">
        <v>21</v>
      </c>
      <c r="H703">
        <v>41</v>
      </c>
      <c r="I703" t="s">
        <v>722</v>
      </c>
      <c r="J703">
        <v>2023</v>
      </c>
      <c r="K703">
        <v>9</v>
      </c>
      <c r="L703">
        <v>28</v>
      </c>
      <c r="M703">
        <v>22</v>
      </c>
      <c r="N703" s="7">
        <f t="shared" si="70"/>
        <v>62</v>
      </c>
      <c r="O703" s="7" t="str">
        <f t="shared" si="73"/>
        <v>Popular</v>
      </c>
      <c r="P703" s="7" t="str">
        <f t="shared" si="71"/>
        <v>No</v>
      </c>
      <c r="Q703" s="7" t="str">
        <f t="shared" si="72"/>
        <v>Wide Reach</v>
      </c>
      <c r="R703" s="7" t="str">
        <f t="shared" si="74"/>
        <v>Evening</v>
      </c>
      <c r="S703" s="7" t="str">
        <f t="shared" si="75"/>
        <v>Europe</v>
      </c>
      <c r="T703" s="30">
        <f t="shared" si="76"/>
        <v>1.9523809523809523</v>
      </c>
      <c r="U703" s="6"/>
      <c r="V703" s="6"/>
    </row>
    <row r="704" spans="1:22" x14ac:dyDescent="0.3">
      <c r="A704" t="s">
        <v>1591</v>
      </c>
      <c r="B704" t="s">
        <v>2298</v>
      </c>
      <c r="C704" t="s">
        <v>951</v>
      </c>
      <c r="D704" s="1">
        <v>45198.65625</v>
      </c>
      <c r="E704" t="s">
        <v>761</v>
      </c>
      <c r="F704" t="s">
        <v>691</v>
      </c>
      <c r="G704">
        <v>24</v>
      </c>
      <c r="H704">
        <v>48</v>
      </c>
      <c r="I704" t="s">
        <v>30</v>
      </c>
      <c r="J704">
        <v>2023</v>
      </c>
      <c r="K704">
        <v>9</v>
      </c>
      <c r="L704">
        <v>29</v>
      </c>
      <c r="M704">
        <v>15</v>
      </c>
      <c r="N704" s="7">
        <f t="shared" si="70"/>
        <v>72</v>
      </c>
      <c r="O704" s="7" t="str">
        <f t="shared" si="73"/>
        <v>Popular</v>
      </c>
      <c r="P704" s="7" t="str">
        <f t="shared" si="71"/>
        <v>No</v>
      </c>
      <c r="Q704" s="7" t="str">
        <f t="shared" si="72"/>
        <v>Wide Reach</v>
      </c>
      <c r="R704" s="7" t="str">
        <f t="shared" si="74"/>
        <v>Afternoon</v>
      </c>
      <c r="S704" s="7" t="str">
        <f t="shared" si="75"/>
        <v>North America</v>
      </c>
      <c r="T704" s="30">
        <f t="shared" si="76"/>
        <v>2</v>
      </c>
      <c r="U704" s="6"/>
      <c r="V704" s="6"/>
    </row>
    <row r="705" spans="1:22" x14ac:dyDescent="0.3">
      <c r="A705" t="s">
        <v>1592</v>
      </c>
      <c r="B705" t="s">
        <v>2299</v>
      </c>
      <c r="C705" t="s">
        <v>952</v>
      </c>
      <c r="D705" s="1">
        <v>45199.763888888891</v>
      </c>
      <c r="E705" t="s">
        <v>762</v>
      </c>
      <c r="F705" t="s">
        <v>692</v>
      </c>
      <c r="G705">
        <v>22</v>
      </c>
      <c r="H705">
        <v>43</v>
      </c>
      <c r="I705" t="s">
        <v>720</v>
      </c>
      <c r="J705">
        <v>2023</v>
      </c>
      <c r="K705">
        <v>9</v>
      </c>
      <c r="L705">
        <v>30</v>
      </c>
      <c r="M705">
        <v>18</v>
      </c>
      <c r="N705" s="7">
        <f t="shared" si="70"/>
        <v>65</v>
      </c>
      <c r="O705" s="7" t="str">
        <f t="shared" si="73"/>
        <v>Popular</v>
      </c>
      <c r="P705" s="7" t="str">
        <f t="shared" si="71"/>
        <v>No</v>
      </c>
      <c r="Q705" s="7" t="str">
        <f t="shared" si="72"/>
        <v>Wide Reach</v>
      </c>
      <c r="R705" s="7" t="str">
        <f t="shared" si="74"/>
        <v>Evening</v>
      </c>
      <c r="S705" s="7" t="str">
        <f t="shared" si="75"/>
        <v>North America</v>
      </c>
      <c r="T705" s="30">
        <f t="shared" si="76"/>
        <v>1.9545454545454546</v>
      </c>
      <c r="U705" s="6"/>
      <c r="V705" s="6"/>
    </row>
    <row r="706" spans="1:22" x14ac:dyDescent="0.3">
      <c r="A706" t="s">
        <v>1593</v>
      </c>
      <c r="B706" t="s">
        <v>2300</v>
      </c>
      <c r="C706" t="s">
        <v>950</v>
      </c>
      <c r="D706" s="1">
        <v>45200.59375</v>
      </c>
      <c r="E706" t="s">
        <v>763</v>
      </c>
      <c r="F706" t="s">
        <v>693</v>
      </c>
      <c r="G706">
        <v>20</v>
      </c>
      <c r="H706">
        <v>39</v>
      </c>
      <c r="I706" t="s">
        <v>722</v>
      </c>
      <c r="J706">
        <v>2023</v>
      </c>
      <c r="K706">
        <v>10</v>
      </c>
      <c r="L706">
        <v>1</v>
      </c>
      <c r="M706">
        <v>14</v>
      </c>
      <c r="N706" s="7">
        <f t="shared" si="70"/>
        <v>59</v>
      </c>
      <c r="O706" s="7" t="str">
        <f t="shared" si="73"/>
        <v>Normal</v>
      </c>
      <c r="P706" s="7" t="str">
        <f t="shared" si="71"/>
        <v>No</v>
      </c>
      <c r="Q706" s="7" t="str">
        <f t="shared" si="72"/>
        <v>Standard</v>
      </c>
      <c r="R706" s="7" t="str">
        <f t="shared" si="74"/>
        <v>Afternoon</v>
      </c>
      <c r="S706" s="7" t="str">
        <f t="shared" si="75"/>
        <v>Europe</v>
      </c>
      <c r="T706" s="30">
        <f t="shared" si="76"/>
        <v>1.95</v>
      </c>
      <c r="U706" s="6"/>
      <c r="V706" s="6"/>
    </row>
    <row r="707" spans="1:22" x14ac:dyDescent="0.3">
      <c r="A707" t="s">
        <v>1594</v>
      </c>
      <c r="B707" t="s">
        <v>2301</v>
      </c>
      <c r="C707" t="s">
        <v>766</v>
      </c>
      <c r="D707" s="1">
        <v>45201.697916666664</v>
      </c>
      <c r="E707" t="s">
        <v>762</v>
      </c>
      <c r="F707" t="s">
        <v>694</v>
      </c>
      <c r="G707">
        <v>23</v>
      </c>
      <c r="H707">
        <v>42</v>
      </c>
      <c r="I707" t="s">
        <v>30</v>
      </c>
      <c r="J707">
        <v>2023</v>
      </c>
      <c r="K707">
        <v>10</v>
      </c>
      <c r="L707">
        <v>2</v>
      </c>
      <c r="M707">
        <v>16</v>
      </c>
      <c r="N707" s="7">
        <f t="shared" ref="N707:N734" si="77">SUM(G707,H707)</f>
        <v>65</v>
      </c>
      <c r="O707" s="7" t="str">
        <f t="shared" si="73"/>
        <v>Popular</v>
      </c>
      <c r="P707" s="7" t="str">
        <f t="shared" ref="P707:P734" si="78">IF(AND(G707&gt;25, H707&gt;50), "Yes", "No")</f>
        <v>No</v>
      </c>
      <c r="Q707" s="7" t="str">
        <f t="shared" ref="Q707:Q734" si="79">IF(OR(H707&gt;40,G707&gt;20),"Wide Reach","Standard")</f>
        <v>Wide Reach</v>
      </c>
      <c r="R707" s="7" t="str">
        <f t="shared" si="74"/>
        <v>Afternoon</v>
      </c>
      <c r="S707" s="7" t="str">
        <f t="shared" si="75"/>
        <v>North America</v>
      </c>
      <c r="T707" s="30">
        <f t="shared" si="76"/>
        <v>1.826086956521739</v>
      </c>
      <c r="U707" s="6"/>
      <c r="V707" s="6"/>
    </row>
    <row r="708" spans="1:22" x14ac:dyDescent="0.3">
      <c r="A708" t="s">
        <v>1595</v>
      </c>
      <c r="B708" t="s">
        <v>2302</v>
      </c>
      <c r="C708" t="s">
        <v>766</v>
      </c>
      <c r="D708" s="1">
        <v>45202.520833333336</v>
      </c>
      <c r="E708" t="s">
        <v>761</v>
      </c>
      <c r="F708" t="s">
        <v>695</v>
      </c>
      <c r="G708">
        <v>26</v>
      </c>
      <c r="H708">
        <v>50</v>
      </c>
      <c r="I708" t="s">
        <v>720</v>
      </c>
      <c r="J708">
        <v>2023</v>
      </c>
      <c r="K708">
        <v>10</v>
      </c>
      <c r="L708">
        <v>3</v>
      </c>
      <c r="M708">
        <v>12</v>
      </c>
      <c r="N708" s="7">
        <f t="shared" si="77"/>
        <v>76</v>
      </c>
      <c r="O708" s="7" t="str">
        <f t="shared" ref="O708:O734" si="80">IF(N708&gt;60, "Popular", "Normal")</f>
        <v>Popular</v>
      </c>
      <c r="P708" s="7" t="str">
        <f t="shared" si="78"/>
        <v>No</v>
      </c>
      <c r="Q708" s="7" t="str">
        <f t="shared" si="79"/>
        <v>Wide Reach</v>
      </c>
      <c r="R708" s="7" t="str">
        <f t="shared" ref="R708:R734" si="81">IF(M708&gt;17,"Evening",IF(M708&gt;11,"Afternoon",IF(M708&gt;5,"Morning","Night")))</f>
        <v>Afternoon</v>
      </c>
      <c r="S708" s="7" t="str">
        <f t="shared" ref="S708:S734" si="82">_xlfn.SWITCH(I708,
    "India","Asia",
    "UK","Europe",
    "Canada","North America",
    "USA","North America",
    "Australia","Oceania",
    "Austria","Europe",
    "Belgium","Europe",
    "Brazil","South America",
    "Cambodia","Asia",
    "China","Asia",
    "Colombia","South America",
    "Czech Republic","Europe",
    "Denmark","Europe",
    "France","Europe",
    "Germany","Europe",
    "Greece","Europe",
    "Ireland","Europe",
    "Italy","Europe",
    "Jamaica","North America",
    "Japan","Asia",
    "Jordan","Asia",
    "Kenya","Africa",
    "Maldives","Asia",
    "Netherlands","Europe",
    "Norway","Europe",
    "Peru","South America",
    "Portugal","Europe",
    "Scotland","Europe",
    "South Africa","Africa",
    "Spain","Europe",
    "Sweden","Europe",
    "Switzerland","Europe",
    "Thailand","Asia",
    "Other"
)</f>
        <v>North America</v>
      </c>
      <c r="T708" s="30">
        <f t="shared" ref="T708:T734" si="83">IFERROR(H708/G708,"Error")</f>
        <v>1.9230769230769231</v>
      </c>
      <c r="U708" s="6"/>
      <c r="V708" s="6"/>
    </row>
    <row r="709" spans="1:22" x14ac:dyDescent="0.3">
      <c r="A709" t="s">
        <v>1596</v>
      </c>
      <c r="B709" t="s">
        <v>2303</v>
      </c>
      <c r="C709" t="s">
        <v>766</v>
      </c>
      <c r="D709" s="1">
        <v>45203.763888888891</v>
      </c>
      <c r="E709" t="s">
        <v>763</v>
      </c>
      <c r="F709" t="s">
        <v>696</v>
      </c>
      <c r="G709">
        <v>19</v>
      </c>
      <c r="H709">
        <v>38</v>
      </c>
      <c r="I709" t="s">
        <v>722</v>
      </c>
      <c r="J709">
        <v>2023</v>
      </c>
      <c r="K709">
        <v>10</v>
      </c>
      <c r="L709">
        <v>4</v>
      </c>
      <c r="M709">
        <v>18</v>
      </c>
      <c r="N709" s="7">
        <f t="shared" si="77"/>
        <v>57</v>
      </c>
      <c r="O709" s="7" t="str">
        <f t="shared" si="80"/>
        <v>Normal</v>
      </c>
      <c r="P709" s="7" t="str">
        <f t="shared" si="78"/>
        <v>No</v>
      </c>
      <c r="Q709" s="7" t="str">
        <f t="shared" si="79"/>
        <v>Standard</v>
      </c>
      <c r="R709" s="7" t="str">
        <f t="shared" si="81"/>
        <v>Evening</v>
      </c>
      <c r="S709" s="7" t="str">
        <f t="shared" si="82"/>
        <v>Europe</v>
      </c>
      <c r="T709" s="30">
        <f t="shared" si="83"/>
        <v>2</v>
      </c>
      <c r="U709" s="6"/>
      <c r="V709" s="6"/>
    </row>
    <row r="710" spans="1:22" x14ac:dyDescent="0.3">
      <c r="A710" t="s">
        <v>1597</v>
      </c>
      <c r="B710" t="s">
        <v>2304</v>
      </c>
      <c r="C710" t="s">
        <v>766</v>
      </c>
      <c r="D710" s="1">
        <v>45204.59375</v>
      </c>
      <c r="E710" t="s">
        <v>762</v>
      </c>
      <c r="F710" t="s">
        <v>697</v>
      </c>
      <c r="G710">
        <v>21</v>
      </c>
      <c r="H710">
        <v>43</v>
      </c>
      <c r="I710" t="s">
        <v>30</v>
      </c>
      <c r="J710">
        <v>2023</v>
      </c>
      <c r="K710">
        <v>10</v>
      </c>
      <c r="L710">
        <v>5</v>
      </c>
      <c r="M710">
        <v>14</v>
      </c>
      <c r="N710" s="7">
        <f t="shared" si="77"/>
        <v>64</v>
      </c>
      <c r="O710" s="7" t="str">
        <f t="shared" si="80"/>
        <v>Popular</v>
      </c>
      <c r="P710" s="7" t="str">
        <f t="shared" si="78"/>
        <v>No</v>
      </c>
      <c r="Q710" s="7" t="str">
        <f t="shared" si="79"/>
        <v>Wide Reach</v>
      </c>
      <c r="R710" s="7" t="str">
        <f t="shared" si="81"/>
        <v>Afternoon</v>
      </c>
      <c r="S710" s="7" t="str">
        <f t="shared" si="82"/>
        <v>North America</v>
      </c>
      <c r="T710" s="30">
        <f t="shared" si="83"/>
        <v>2.0476190476190474</v>
      </c>
      <c r="U710" s="6"/>
      <c r="V710" s="6"/>
    </row>
    <row r="711" spans="1:22" x14ac:dyDescent="0.3">
      <c r="A711" t="s">
        <v>1598</v>
      </c>
      <c r="B711" t="s">
        <v>2305</v>
      </c>
      <c r="C711" t="s">
        <v>766</v>
      </c>
      <c r="D711" s="1">
        <v>45205.729166666664</v>
      </c>
      <c r="E711" t="s">
        <v>761</v>
      </c>
      <c r="F711" t="s">
        <v>698</v>
      </c>
      <c r="G711">
        <v>18</v>
      </c>
      <c r="H711">
        <v>36</v>
      </c>
      <c r="I711" t="s">
        <v>720</v>
      </c>
      <c r="J711">
        <v>2023</v>
      </c>
      <c r="K711">
        <v>10</v>
      </c>
      <c r="L711">
        <v>6</v>
      </c>
      <c r="M711">
        <v>17</v>
      </c>
      <c r="N711" s="7">
        <f t="shared" si="77"/>
        <v>54</v>
      </c>
      <c r="O711" s="7" t="str">
        <f t="shared" si="80"/>
        <v>Normal</v>
      </c>
      <c r="P711" s="7" t="str">
        <f t="shared" si="78"/>
        <v>No</v>
      </c>
      <c r="Q711" s="7" t="str">
        <f t="shared" si="79"/>
        <v>Standard</v>
      </c>
      <c r="R711" s="7" t="str">
        <f t="shared" si="81"/>
        <v>Afternoon</v>
      </c>
      <c r="S711" s="7" t="str">
        <f t="shared" si="82"/>
        <v>North America</v>
      </c>
      <c r="T711" s="30">
        <f t="shared" si="83"/>
        <v>2</v>
      </c>
      <c r="U711" s="6"/>
      <c r="V711" s="6"/>
    </row>
    <row r="712" spans="1:22" x14ac:dyDescent="0.3">
      <c r="A712" t="s">
        <v>1599</v>
      </c>
      <c r="B712" t="s">
        <v>2306</v>
      </c>
      <c r="C712" t="s">
        <v>766</v>
      </c>
      <c r="D712" s="1">
        <v>45206.864583333336</v>
      </c>
      <c r="E712" t="s">
        <v>762</v>
      </c>
      <c r="F712" t="s">
        <v>699</v>
      </c>
      <c r="G712">
        <v>22</v>
      </c>
      <c r="H712">
        <v>45</v>
      </c>
      <c r="I712" t="s">
        <v>722</v>
      </c>
      <c r="J712">
        <v>2023</v>
      </c>
      <c r="K712">
        <v>10</v>
      </c>
      <c r="L712">
        <v>7</v>
      </c>
      <c r="M712">
        <v>20</v>
      </c>
      <c r="N712" s="7">
        <f t="shared" si="77"/>
        <v>67</v>
      </c>
      <c r="O712" s="7" t="str">
        <f t="shared" si="80"/>
        <v>Popular</v>
      </c>
      <c r="P712" s="7" t="str">
        <f t="shared" si="78"/>
        <v>No</v>
      </c>
      <c r="Q712" s="7" t="str">
        <f t="shared" si="79"/>
        <v>Wide Reach</v>
      </c>
      <c r="R712" s="7" t="str">
        <f t="shared" si="81"/>
        <v>Evening</v>
      </c>
      <c r="S712" s="7" t="str">
        <f t="shared" si="82"/>
        <v>Europe</v>
      </c>
      <c r="T712" s="30">
        <f t="shared" si="83"/>
        <v>2.0454545454545454</v>
      </c>
      <c r="U712" s="6"/>
      <c r="V712" s="6"/>
    </row>
    <row r="713" spans="1:22" x14ac:dyDescent="0.3">
      <c r="A713" t="s">
        <v>1600</v>
      </c>
      <c r="B713" t="s">
        <v>2307</v>
      </c>
      <c r="C713" t="s">
        <v>766</v>
      </c>
      <c r="D713" s="1">
        <v>45207.635416666664</v>
      </c>
      <c r="E713" t="s">
        <v>763</v>
      </c>
      <c r="F713" t="s">
        <v>700</v>
      </c>
      <c r="G713">
        <v>24</v>
      </c>
      <c r="H713">
        <v>48</v>
      </c>
      <c r="I713" t="s">
        <v>30</v>
      </c>
      <c r="J713">
        <v>2023</v>
      </c>
      <c r="K713">
        <v>10</v>
      </c>
      <c r="L713">
        <v>8</v>
      </c>
      <c r="M713">
        <v>15</v>
      </c>
      <c r="N713" s="7">
        <f t="shared" si="77"/>
        <v>72</v>
      </c>
      <c r="O713" s="7" t="str">
        <f t="shared" si="80"/>
        <v>Popular</v>
      </c>
      <c r="P713" s="7" t="str">
        <f t="shared" si="78"/>
        <v>No</v>
      </c>
      <c r="Q713" s="7" t="str">
        <f t="shared" si="79"/>
        <v>Wide Reach</v>
      </c>
      <c r="R713" s="7" t="str">
        <f t="shared" si="81"/>
        <v>Afternoon</v>
      </c>
      <c r="S713" s="7" t="str">
        <f t="shared" si="82"/>
        <v>North America</v>
      </c>
      <c r="T713" s="30">
        <f t="shared" si="83"/>
        <v>2</v>
      </c>
      <c r="U713" s="6"/>
      <c r="V713" s="6"/>
    </row>
    <row r="714" spans="1:22" x14ac:dyDescent="0.3">
      <c r="A714" t="s">
        <v>1601</v>
      </c>
      <c r="B714" t="s">
        <v>2308</v>
      </c>
      <c r="C714" t="s">
        <v>766</v>
      </c>
      <c r="D714" s="1">
        <v>45208.916666666664</v>
      </c>
      <c r="E714" t="s">
        <v>761</v>
      </c>
      <c r="F714" t="s">
        <v>701</v>
      </c>
      <c r="G714">
        <v>20</v>
      </c>
      <c r="H714">
        <v>40</v>
      </c>
      <c r="I714" t="s">
        <v>720</v>
      </c>
      <c r="J714">
        <v>2023</v>
      </c>
      <c r="K714">
        <v>10</v>
      </c>
      <c r="L714">
        <v>9</v>
      </c>
      <c r="M714">
        <v>22</v>
      </c>
      <c r="N714" s="7">
        <f t="shared" si="77"/>
        <v>60</v>
      </c>
      <c r="O714" s="7" t="str">
        <f t="shared" si="80"/>
        <v>Normal</v>
      </c>
      <c r="P714" s="7" t="str">
        <f t="shared" si="78"/>
        <v>No</v>
      </c>
      <c r="Q714" s="7" t="str">
        <f t="shared" si="79"/>
        <v>Standard</v>
      </c>
      <c r="R714" s="7" t="str">
        <f t="shared" si="81"/>
        <v>Evening</v>
      </c>
      <c r="S714" s="7" t="str">
        <f t="shared" si="82"/>
        <v>North America</v>
      </c>
      <c r="T714" s="30">
        <f t="shared" si="83"/>
        <v>2</v>
      </c>
      <c r="U714" s="6"/>
      <c r="V714" s="6"/>
    </row>
    <row r="715" spans="1:22" x14ac:dyDescent="0.3">
      <c r="A715" t="s">
        <v>1602</v>
      </c>
      <c r="B715" t="s">
        <v>2309</v>
      </c>
      <c r="C715" t="s">
        <v>766</v>
      </c>
      <c r="D715" s="1">
        <v>45209.59375</v>
      </c>
      <c r="E715" t="s">
        <v>762</v>
      </c>
      <c r="F715" t="s">
        <v>702</v>
      </c>
      <c r="G715">
        <v>25</v>
      </c>
      <c r="H715">
        <v>49</v>
      </c>
      <c r="I715" t="s">
        <v>722</v>
      </c>
      <c r="J715">
        <v>2023</v>
      </c>
      <c r="K715">
        <v>10</v>
      </c>
      <c r="L715">
        <v>10</v>
      </c>
      <c r="M715">
        <v>14</v>
      </c>
      <c r="N715" s="7">
        <f t="shared" si="77"/>
        <v>74</v>
      </c>
      <c r="O715" s="7" t="str">
        <f t="shared" si="80"/>
        <v>Popular</v>
      </c>
      <c r="P715" s="7" t="str">
        <f t="shared" si="78"/>
        <v>No</v>
      </c>
      <c r="Q715" s="7" t="str">
        <f t="shared" si="79"/>
        <v>Wide Reach</v>
      </c>
      <c r="R715" s="7" t="str">
        <f>IF(M715&gt;17,"Evening",IF(M715&gt;11,"Afternoon",IF(M715&gt;5,"Morning","Night")))</f>
        <v>Afternoon</v>
      </c>
      <c r="S715" s="7" t="str">
        <f t="shared" si="82"/>
        <v>Europe</v>
      </c>
      <c r="T715" s="30">
        <f t="shared" si="83"/>
        <v>1.96</v>
      </c>
      <c r="U715" s="6"/>
      <c r="V715" s="6"/>
    </row>
    <row r="716" spans="1:22" x14ac:dyDescent="0.3">
      <c r="A716" t="s">
        <v>1603</v>
      </c>
      <c r="B716" t="s">
        <v>2310</v>
      </c>
      <c r="C716" t="s">
        <v>766</v>
      </c>
      <c r="D716" s="1">
        <v>45210.697916666664</v>
      </c>
      <c r="E716" t="s">
        <v>763</v>
      </c>
      <c r="F716" t="s">
        <v>703</v>
      </c>
      <c r="G716">
        <v>19</v>
      </c>
      <c r="H716">
        <v>37</v>
      </c>
      <c r="I716" t="s">
        <v>30</v>
      </c>
      <c r="J716">
        <v>2023</v>
      </c>
      <c r="K716">
        <v>10</v>
      </c>
      <c r="L716">
        <v>11</v>
      </c>
      <c r="M716">
        <v>16</v>
      </c>
      <c r="N716" s="7">
        <f t="shared" si="77"/>
        <v>56</v>
      </c>
      <c r="O716" s="7" t="str">
        <f t="shared" si="80"/>
        <v>Normal</v>
      </c>
      <c r="P716" s="7" t="str">
        <f t="shared" si="78"/>
        <v>No</v>
      </c>
      <c r="Q716" s="7" t="str">
        <f t="shared" si="79"/>
        <v>Standard</v>
      </c>
      <c r="R716" s="7" t="str">
        <f t="shared" si="81"/>
        <v>Afternoon</v>
      </c>
      <c r="S716" s="7" t="str">
        <f t="shared" si="82"/>
        <v>North America</v>
      </c>
      <c r="T716" s="30">
        <f t="shared" si="83"/>
        <v>1.9473684210526316</v>
      </c>
      <c r="U716" s="6"/>
      <c r="V716" s="6"/>
    </row>
    <row r="717" spans="1:22" x14ac:dyDescent="0.3">
      <c r="A717" t="s">
        <v>1604</v>
      </c>
      <c r="B717" t="s">
        <v>2311</v>
      </c>
      <c r="C717" t="s">
        <v>766</v>
      </c>
      <c r="D717" s="1">
        <v>45211.763888888891</v>
      </c>
      <c r="E717" t="s">
        <v>761</v>
      </c>
      <c r="F717" t="s">
        <v>704</v>
      </c>
      <c r="G717">
        <v>23</v>
      </c>
      <c r="H717">
        <v>44</v>
      </c>
      <c r="I717" t="s">
        <v>720</v>
      </c>
      <c r="J717">
        <v>2023</v>
      </c>
      <c r="K717">
        <v>10</v>
      </c>
      <c r="L717">
        <v>12</v>
      </c>
      <c r="M717">
        <v>18</v>
      </c>
      <c r="N717" s="7">
        <f t="shared" si="77"/>
        <v>67</v>
      </c>
      <c r="O717" s="7" t="str">
        <f t="shared" si="80"/>
        <v>Popular</v>
      </c>
      <c r="P717" s="7" t="str">
        <f t="shared" si="78"/>
        <v>No</v>
      </c>
      <c r="Q717" s="7" t="str">
        <f t="shared" si="79"/>
        <v>Wide Reach</v>
      </c>
      <c r="R717" s="7" t="str">
        <f t="shared" si="81"/>
        <v>Evening</v>
      </c>
      <c r="S717" s="7" t="str">
        <f t="shared" si="82"/>
        <v>North America</v>
      </c>
      <c r="T717" s="30">
        <f t="shared" si="83"/>
        <v>1.9130434782608696</v>
      </c>
      <c r="U717" s="6"/>
      <c r="V717" s="6"/>
    </row>
    <row r="718" spans="1:22" x14ac:dyDescent="0.3">
      <c r="A718" t="s">
        <v>1605</v>
      </c>
      <c r="B718" t="s">
        <v>2312</v>
      </c>
      <c r="C718" t="s">
        <v>766</v>
      </c>
      <c r="D718" s="1">
        <v>45212.520833333336</v>
      </c>
      <c r="E718" t="s">
        <v>762</v>
      </c>
      <c r="F718" t="s">
        <v>705</v>
      </c>
      <c r="G718">
        <v>20</v>
      </c>
      <c r="H718">
        <v>39</v>
      </c>
      <c r="I718" t="s">
        <v>722</v>
      </c>
      <c r="J718">
        <v>2023</v>
      </c>
      <c r="K718">
        <v>10</v>
      </c>
      <c r="L718">
        <v>13</v>
      </c>
      <c r="M718">
        <v>12</v>
      </c>
      <c r="N718" s="7">
        <f t="shared" si="77"/>
        <v>59</v>
      </c>
      <c r="O718" s="7" t="str">
        <f t="shared" si="80"/>
        <v>Normal</v>
      </c>
      <c r="P718" s="7" t="str">
        <f t="shared" si="78"/>
        <v>No</v>
      </c>
      <c r="Q718" s="7" t="str">
        <f t="shared" si="79"/>
        <v>Standard</v>
      </c>
      <c r="R718" s="7" t="str">
        <f t="shared" si="81"/>
        <v>Afternoon</v>
      </c>
      <c r="S718" s="7" t="str">
        <f t="shared" si="82"/>
        <v>Europe</v>
      </c>
      <c r="T718" s="30">
        <f t="shared" si="83"/>
        <v>1.95</v>
      </c>
      <c r="U718" s="6"/>
      <c r="V718" s="6"/>
    </row>
    <row r="719" spans="1:22" x14ac:dyDescent="0.3">
      <c r="A719" t="s">
        <v>1606</v>
      </c>
      <c r="B719" t="s">
        <v>2313</v>
      </c>
      <c r="C719" t="s">
        <v>766</v>
      </c>
      <c r="D719" s="1">
        <v>45213.729166666664</v>
      </c>
      <c r="E719" t="s">
        <v>763</v>
      </c>
      <c r="F719" t="s">
        <v>706</v>
      </c>
      <c r="G719">
        <v>18</v>
      </c>
      <c r="H719">
        <v>35</v>
      </c>
      <c r="I719" t="s">
        <v>30</v>
      </c>
      <c r="J719">
        <v>2023</v>
      </c>
      <c r="K719">
        <v>10</v>
      </c>
      <c r="L719">
        <v>14</v>
      </c>
      <c r="M719">
        <v>17</v>
      </c>
      <c r="N719" s="7">
        <f t="shared" si="77"/>
        <v>53</v>
      </c>
      <c r="O719" s="7" t="str">
        <f t="shared" si="80"/>
        <v>Normal</v>
      </c>
      <c r="P719" s="7" t="str">
        <f t="shared" si="78"/>
        <v>No</v>
      </c>
      <c r="Q719" s="7" t="str">
        <f t="shared" si="79"/>
        <v>Standard</v>
      </c>
      <c r="R719" s="7" t="str">
        <f t="shared" si="81"/>
        <v>Afternoon</v>
      </c>
      <c r="S719" s="7" t="str">
        <f t="shared" si="82"/>
        <v>North America</v>
      </c>
      <c r="T719" s="30">
        <f t="shared" si="83"/>
        <v>1.9444444444444444</v>
      </c>
      <c r="U719" s="6"/>
      <c r="V719" s="6"/>
    </row>
    <row r="720" spans="1:22" x14ac:dyDescent="0.3">
      <c r="A720" t="s">
        <v>1607</v>
      </c>
      <c r="B720" t="s">
        <v>2314</v>
      </c>
      <c r="C720" t="s">
        <v>766</v>
      </c>
      <c r="D720" s="1">
        <v>45214.864583333336</v>
      </c>
      <c r="E720" t="s">
        <v>761</v>
      </c>
      <c r="F720" t="s">
        <v>707</v>
      </c>
      <c r="G720">
        <v>22</v>
      </c>
      <c r="H720">
        <v>43</v>
      </c>
      <c r="I720" t="s">
        <v>720</v>
      </c>
      <c r="J720">
        <v>2023</v>
      </c>
      <c r="K720">
        <v>10</v>
      </c>
      <c r="L720">
        <v>15</v>
      </c>
      <c r="M720">
        <v>20</v>
      </c>
      <c r="N720" s="7">
        <f t="shared" si="77"/>
        <v>65</v>
      </c>
      <c r="O720" s="7" t="str">
        <f t="shared" si="80"/>
        <v>Popular</v>
      </c>
      <c r="P720" s="7" t="str">
        <f t="shared" si="78"/>
        <v>No</v>
      </c>
      <c r="Q720" s="7" t="str">
        <f t="shared" si="79"/>
        <v>Wide Reach</v>
      </c>
      <c r="R720" s="7" t="str">
        <f t="shared" si="81"/>
        <v>Evening</v>
      </c>
      <c r="S720" s="7" t="str">
        <f t="shared" si="82"/>
        <v>North America</v>
      </c>
      <c r="T720" s="30">
        <f t="shared" si="83"/>
        <v>1.9545454545454546</v>
      </c>
      <c r="U720" s="6"/>
      <c r="V720" s="6"/>
    </row>
    <row r="721" spans="1:22" x14ac:dyDescent="0.3">
      <c r="A721" t="s">
        <v>1608</v>
      </c>
      <c r="B721" t="s">
        <v>2315</v>
      </c>
      <c r="C721" t="s">
        <v>953</v>
      </c>
      <c r="D721" s="1">
        <v>45215.65625</v>
      </c>
      <c r="E721" t="s">
        <v>762</v>
      </c>
      <c r="F721" t="s">
        <v>708</v>
      </c>
      <c r="G721">
        <v>27</v>
      </c>
      <c r="H721">
        <v>52</v>
      </c>
      <c r="I721" t="s">
        <v>722</v>
      </c>
      <c r="J721">
        <v>2023</v>
      </c>
      <c r="K721">
        <v>10</v>
      </c>
      <c r="L721">
        <v>16</v>
      </c>
      <c r="M721">
        <v>15</v>
      </c>
      <c r="N721" s="7">
        <f t="shared" si="77"/>
        <v>79</v>
      </c>
      <c r="O721" s="7" t="str">
        <f t="shared" si="80"/>
        <v>Popular</v>
      </c>
      <c r="P721" s="7" t="str">
        <f t="shared" si="78"/>
        <v>Yes</v>
      </c>
      <c r="Q721" s="7" t="str">
        <f t="shared" si="79"/>
        <v>Wide Reach</v>
      </c>
      <c r="R721" s="7" t="str">
        <f t="shared" si="81"/>
        <v>Afternoon</v>
      </c>
      <c r="S721" s="7" t="str">
        <f t="shared" si="82"/>
        <v>Europe</v>
      </c>
      <c r="T721" s="30">
        <f t="shared" si="83"/>
        <v>1.9259259259259258</v>
      </c>
      <c r="U721" s="6"/>
      <c r="V721" s="6"/>
    </row>
    <row r="722" spans="1:22" x14ac:dyDescent="0.3">
      <c r="A722" t="s">
        <v>1609</v>
      </c>
      <c r="B722" t="s">
        <v>2316</v>
      </c>
      <c r="C722" t="s">
        <v>953</v>
      </c>
      <c r="D722" s="1">
        <v>45216.520833333336</v>
      </c>
      <c r="E722" t="s">
        <v>761</v>
      </c>
      <c r="F722" t="s">
        <v>709</v>
      </c>
      <c r="G722">
        <v>24</v>
      </c>
      <c r="H722">
        <v>48</v>
      </c>
      <c r="I722" t="s">
        <v>30</v>
      </c>
      <c r="J722">
        <v>2023</v>
      </c>
      <c r="K722">
        <v>10</v>
      </c>
      <c r="L722">
        <v>17</v>
      </c>
      <c r="M722">
        <v>12</v>
      </c>
      <c r="N722" s="7">
        <f t="shared" si="77"/>
        <v>72</v>
      </c>
      <c r="O722" s="7" t="str">
        <f t="shared" si="80"/>
        <v>Popular</v>
      </c>
      <c r="P722" s="7" t="str">
        <f t="shared" si="78"/>
        <v>No</v>
      </c>
      <c r="Q722" s="7" t="str">
        <f t="shared" si="79"/>
        <v>Wide Reach</v>
      </c>
      <c r="R722" s="7" t="str">
        <f t="shared" si="81"/>
        <v>Afternoon</v>
      </c>
      <c r="S722" s="7" t="str">
        <f t="shared" si="82"/>
        <v>North America</v>
      </c>
      <c r="T722" s="30">
        <f t="shared" si="83"/>
        <v>2</v>
      </c>
      <c r="U722" s="6"/>
      <c r="V722" s="6"/>
    </row>
    <row r="723" spans="1:22" x14ac:dyDescent="0.3">
      <c r="A723" t="s">
        <v>1610</v>
      </c>
      <c r="B723" t="s">
        <v>2317</v>
      </c>
      <c r="C723" t="s">
        <v>953</v>
      </c>
      <c r="D723" s="1">
        <v>45217.697916666664</v>
      </c>
      <c r="E723" t="s">
        <v>763</v>
      </c>
      <c r="F723" t="s">
        <v>710</v>
      </c>
      <c r="G723">
        <v>19</v>
      </c>
      <c r="H723">
        <v>38</v>
      </c>
      <c r="I723" t="s">
        <v>720</v>
      </c>
      <c r="J723">
        <v>2023</v>
      </c>
      <c r="K723">
        <v>10</v>
      </c>
      <c r="L723">
        <v>18</v>
      </c>
      <c r="M723">
        <v>16</v>
      </c>
      <c r="N723" s="7">
        <f t="shared" si="77"/>
        <v>57</v>
      </c>
      <c r="O723" s="7" t="str">
        <f t="shared" si="80"/>
        <v>Normal</v>
      </c>
      <c r="P723" s="7" t="str">
        <f t="shared" si="78"/>
        <v>No</v>
      </c>
      <c r="Q723" s="7" t="str">
        <f t="shared" si="79"/>
        <v>Standard</v>
      </c>
      <c r="R723" s="7" t="str">
        <f>IF(M723&gt;17,"Evening",IF(M723&gt;11,"Afternoon",IF(M723&gt;5,"Morning","Night")))</f>
        <v>Afternoon</v>
      </c>
      <c r="S723" s="7" t="str">
        <f t="shared" si="82"/>
        <v>North America</v>
      </c>
      <c r="T723" s="30">
        <f t="shared" si="83"/>
        <v>2</v>
      </c>
      <c r="U723" s="6"/>
      <c r="V723" s="6"/>
    </row>
    <row r="724" spans="1:22" x14ac:dyDescent="0.3">
      <c r="A724" t="s">
        <v>1611</v>
      </c>
      <c r="B724" t="s">
        <v>2318</v>
      </c>
      <c r="C724" t="s">
        <v>953</v>
      </c>
      <c r="D724" s="1">
        <v>45218.763888888891</v>
      </c>
      <c r="E724" t="s">
        <v>762</v>
      </c>
      <c r="F724" t="s">
        <v>711</v>
      </c>
      <c r="G724">
        <v>21</v>
      </c>
      <c r="H724">
        <v>42</v>
      </c>
      <c r="I724" t="s">
        <v>722</v>
      </c>
      <c r="J724">
        <v>2023</v>
      </c>
      <c r="K724">
        <v>10</v>
      </c>
      <c r="L724">
        <v>19</v>
      </c>
      <c r="M724">
        <v>18</v>
      </c>
      <c r="N724" s="7">
        <f t="shared" si="77"/>
        <v>63</v>
      </c>
      <c r="O724" s="7" t="str">
        <f t="shared" si="80"/>
        <v>Popular</v>
      </c>
      <c r="P724" s="7" t="str">
        <f t="shared" si="78"/>
        <v>No</v>
      </c>
      <c r="Q724" s="7" t="str">
        <f t="shared" si="79"/>
        <v>Wide Reach</v>
      </c>
      <c r="R724" s="7" t="str">
        <f>IF(M724&gt;17,"Evening",IF(M724&gt;11,"Afternoon",IF(M724&gt;5,"Morning","Night")))</f>
        <v>Evening</v>
      </c>
      <c r="S724" s="7" t="str">
        <f t="shared" si="82"/>
        <v>Europe</v>
      </c>
      <c r="T724" s="30">
        <f t="shared" si="83"/>
        <v>2</v>
      </c>
      <c r="U724" s="6"/>
      <c r="V724" s="6"/>
    </row>
    <row r="725" spans="1:22" x14ac:dyDescent="0.3">
      <c r="A725" t="s">
        <v>1612</v>
      </c>
      <c r="B725" t="s">
        <v>2319</v>
      </c>
      <c r="C725" t="s">
        <v>953</v>
      </c>
      <c r="D725" s="1">
        <v>45219.59375</v>
      </c>
      <c r="E725" t="s">
        <v>761</v>
      </c>
      <c r="F725" t="s">
        <v>712</v>
      </c>
      <c r="G725">
        <v>26</v>
      </c>
      <c r="H725">
        <v>50</v>
      </c>
      <c r="I725" t="s">
        <v>30</v>
      </c>
      <c r="J725">
        <v>2023</v>
      </c>
      <c r="K725">
        <v>10</v>
      </c>
      <c r="L725">
        <v>20</v>
      </c>
      <c r="M725">
        <v>14</v>
      </c>
      <c r="N725" s="7">
        <f t="shared" si="77"/>
        <v>76</v>
      </c>
      <c r="O725" s="7" t="str">
        <f t="shared" si="80"/>
        <v>Popular</v>
      </c>
      <c r="P725" s="7" t="str">
        <f t="shared" si="78"/>
        <v>No</v>
      </c>
      <c r="Q725" s="7" t="str">
        <f t="shared" si="79"/>
        <v>Wide Reach</v>
      </c>
      <c r="R725" s="7" t="str">
        <f t="shared" si="81"/>
        <v>Afternoon</v>
      </c>
      <c r="S725" s="7" t="str">
        <f t="shared" si="82"/>
        <v>North America</v>
      </c>
      <c r="T725" s="30">
        <f t="shared" si="83"/>
        <v>1.9230769230769231</v>
      </c>
      <c r="U725" s="6"/>
      <c r="V725" s="6"/>
    </row>
    <row r="726" spans="1:22" x14ac:dyDescent="0.3">
      <c r="A726" t="s">
        <v>1613</v>
      </c>
      <c r="B726" t="s">
        <v>2320</v>
      </c>
      <c r="C726" t="s">
        <v>953</v>
      </c>
      <c r="D726" s="1">
        <v>45220.729166666664</v>
      </c>
      <c r="E726" t="s">
        <v>763</v>
      </c>
      <c r="F726" t="s">
        <v>713</v>
      </c>
      <c r="G726">
        <v>23</v>
      </c>
      <c r="H726">
        <v>45</v>
      </c>
      <c r="I726" t="s">
        <v>720</v>
      </c>
      <c r="J726">
        <v>2023</v>
      </c>
      <c r="K726">
        <v>10</v>
      </c>
      <c r="L726">
        <v>21</v>
      </c>
      <c r="M726">
        <v>17</v>
      </c>
      <c r="N726" s="7">
        <f t="shared" si="77"/>
        <v>68</v>
      </c>
      <c r="O726" s="7" t="str">
        <f t="shared" si="80"/>
        <v>Popular</v>
      </c>
      <c r="P726" s="7" t="str">
        <f t="shared" si="78"/>
        <v>No</v>
      </c>
      <c r="Q726" s="7" t="str">
        <f t="shared" si="79"/>
        <v>Wide Reach</v>
      </c>
      <c r="R726" s="7" t="str">
        <f t="shared" si="81"/>
        <v>Afternoon</v>
      </c>
      <c r="S726" s="7" t="str">
        <f t="shared" si="82"/>
        <v>North America</v>
      </c>
      <c r="T726" s="30">
        <f t="shared" si="83"/>
        <v>1.9565217391304348</v>
      </c>
      <c r="U726" s="6"/>
      <c r="V726" s="6"/>
    </row>
    <row r="727" spans="1:22" x14ac:dyDescent="0.3">
      <c r="A727" t="s">
        <v>1614</v>
      </c>
      <c r="B727" t="s">
        <v>2321</v>
      </c>
      <c r="C727" t="s">
        <v>953</v>
      </c>
      <c r="D727" s="1">
        <v>45221.864583333336</v>
      </c>
      <c r="E727" t="s">
        <v>762</v>
      </c>
      <c r="F727" t="s">
        <v>714</v>
      </c>
      <c r="G727">
        <v>22</v>
      </c>
      <c r="H727">
        <v>43</v>
      </c>
      <c r="I727" t="s">
        <v>722</v>
      </c>
      <c r="J727">
        <v>2023</v>
      </c>
      <c r="K727">
        <v>10</v>
      </c>
      <c r="L727">
        <v>22</v>
      </c>
      <c r="M727">
        <v>20</v>
      </c>
      <c r="N727" s="7">
        <f t="shared" si="77"/>
        <v>65</v>
      </c>
      <c r="O727" s="7" t="str">
        <f t="shared" si="80"/>
        <v>Popular</v>
      </c>
      <c r="P727" s="7" t="str">
        <f t="shared" si="78"/>
        <v>No</v>
      </c>
      <c r="Q727" s="7" t="str">
        <f t="shared" si="79"/>
        <v>Wide Reach</v>
      </c>
      <c r="R727" s="7" t="str">
        <f t="shared" si="81"/>
        <v>Evening</v>
      </c>
      <c r="S727" s="7" t="str">
        <f t="shared" si="82"/>
        <v>Europe</v>
      </c>
      <c r="T727" s="30">
        <f t="shared" si="83"/>
        <v>1.9545454545454546</v>
      </c>
      <c r="U727" s="6"/>
      <c r="V727" s="6"/>
    </row>
    <row r="728" spans="1:22" x14ac:dyDescent="0.3">
      <c r="A728" t="s">
        <v>1615</v>
      </c>
      <c r="B728" t="s">
        <v>2322</v>
      </c>
      <c r="C728" t="s">
        <v>953</v>
      </c>
      <c r="D728" s="1">
        <v>42318.697916666664</v>
      </c>
      <c r="E728" t="s">
        <v>762</v>
      </c>
      <c r="F728" t="s">
        <v>715</v>
      </c>
      <c r="G728">
        <v>23</v>
      </c>
      <c r="H728">
        <v>44</v>
      </c>
      <c r="I728" t="s">
        <v>30</v>
      </c>
      <c r="J728">
        <v>2015</v>
      </c>
      <c r="K728">
        <v>11</v>
      </c>
      <c r="L728">
        <v>10</v>
      </c>
      <c r="M728">
        <v>16</v>
      </c>
      <c r="N728" s="7">
        <f t="shared" si="77"/>
        <v>67</v>
      </c>
      <c r="O728" s="7" t="str">
        <f t="shared" si="80"/>
        <v>Popular</v>
      </c>
      <c r="P728" s="7" t="str">
        <f t="shared" si="78"/>
        <v>No</v>
      </c>
      <c r="Q728" s="7" t="str">
        <f t="shared" si="79"/>
        <v>Wide Reach</v>
      </c>
      <c r="R728" s="7" t="str">
        <f t="shared" si="81"/>
        <v>Afternoon</v>
      </c>
      <c r="S728" s="7" t="str">
        <f t="shared" si="82"/>
        <v>North America</v>
      </c>
      <c r="T728" s="30">
        <f t="shared" si="83"/>
        <v>1.9130434782608696</v>
      </c>
      <c r="U728" s="6"/>
      <c r="V728" s="6"/>
    </row>
    <row r="729" spans="1:22" x14ac:dyDescent="0.3">
      <c r="A729" t="s">
        <v>1616</v>
      </c>
      <c r="B729" t="s">
        <v>2323</v>
      </c>
      <c r="C729" t="s">
        <v>953</v>
      </c>
      <c r="D729" s="1">
        <v>42627.520833333336</v>
      </c>
      <c r="E729" t="s">
        <v>761</v>
      </c>
      <c r="F729" t="s">
        <v>716</v>
      </c>
      <c r="G729">
        <v>26</v>
      </c>
      <c r="H729">
        <v>51</v>
      </c>
      <c r="I729" t="s">
        <v>720</v>
      </c>
      <c r="J729">
        <v>2016</v>
      </c>
      <c r="K729">
        <v>9</v>
      </c>
      <c r="L729">
        <v>14</v>
      </c>
      <c r="M729">
        <v>12</v>
      </c>
      <c r="N729" s="7">
        <f t="shared" si="77"/>
        <v>77</v>
      </c>
      <c r="O729" s="7" t="str">
        <f t="shared" si="80"/>
        <v>Popular</v>
      </c>
      <c r="P729" s="7" t="str">
        <f t="shared" si="78"/>
        <v>Yes</v>
      </c>
      <c r="Q729" s="7" t="str">
        <f t="shared" si="79"/>
        <v>Wide Reach</v>
      </c>
      <c r="R729" s="7" t="str">
        <f t="shared" si="81"/>
        <v>Afternoon</v>
      </c>
      <c r="S729" s="7" t="str">
        <f t="shared" si="82"/>
        <v>North America</v>
      </c>
      <c r="T729" s="30">
        <f t="shared" si="83"/>
        <v>1.9615384615384615</v>
      </c>
      <c r="U729" s="6"/>
      <c r="V729" s="6"/>
    </row>
    <row r="730" spans="1:22" x14ac:dyDescent="0.3">
      <c r="A730" t="s">
        <v>1617</v>
      </c>
      <c r="B730" t="s">
        <v>2324</v>
      </c>
      <c r="C730" t="s">
        <v>953</v>
      </c>
      <c r="D730" s="1">
        <v>42965.763888888891</v>
      </c>
      <c r="E730" t="s">
        <v>763</v>
      </c>
      <c r="F730" t="s">
        <v>717</v>
      </c>
      <c r="G730">
        <v>20</v>
      </c>
      <c r="H730">
        <v>39</v>
      </c>
      <c r="I730" t="s">
        <v>722</v>
      </c>
      <c r="J730">
        <v>2017</v>
      </c>
      <c r="K730">
        <v>8</v>
      </c>
      <c r="L730">
        <v>18</v>
      </c>
      <c r="M730">
        <v>18</v>
      </c>
      <c r="N730" s="7">
        <f t="shared" si="77"/>
        <v>59</v>
      </c>
      <c r="O730" s="7" t="str">
        <f t="shared" si="80"/>
        <v>Normal</v>
      </c>
      <c r="P730" s="7" t="str">
        <f t="shared" si="78"/>
        <v>No</v>
      </c>
      <c r="Q730" s="7" t="str">
        <f t="shared" si="79"/>
        <v>Standard</v>
      </c>
      <c r="R730" s="7" t="str">
        <f t="shared" si="81"/>
        <v>Evening</v>
      </c>
      <c r="S730" s="7" t="str">
        <f t="shared" si="82"/>
        <v>Europe</v>
      </c>
      <c r="T730" s="30">
        <f t="shared" si="83"/>
        <v>1.95</v>
      </c>
      <c r="U730" s="6"/>
      <c r="V730" s="6"/>
    </row>
    <row r="731" spans="1:22" x14ac:dyDescent="0.3">
      <c r="A731" t="s">
        <v>1618</v>
      </c>
      <c r="B731" t="s">
        <v>2325</v>
      </c>
      <c r="C731" t="s">
        <v>953</v>
      </c>
      <c r="D731" s="1">
        <v>43273.59375</v>
      </c>
      <c r="E731" t="s">
        <v>762</v>
      </c>
      <c r="F731" t="s">
        <v>718</v>
      </c>
      <c r="G731">
        <v>25</v>
      </c>
      <c r="H731">
        <v>48</v>
      </c>
      <c r="I731" t="s">
        <v>30</v>
      </c>
      <c r="J731">
        <v>2018</v>
      </c>
      <c r="K731">
        <v>6</v>
      </c>
      <c r="L731">
        <v>22</v>
      </c>
      <c r="M731">
        <v>14</v>
      </c>
      <c r="N731" s="7">
        <f t="shared" si="77"/>
        <v>73</v>
      </c>
      <c r="O731" s="7" t="str">
        <f t="shared" si="80"/>
        <v>Popular</v>
      </c>
      <c r="P731" s="7" t="str">
        <f t="shared" si="78"/>
        <v>No</v>
      </c>
      <c r="Q731" s="7" t="str">
        <f t="shared" si="79"/>
        <v>Wide Reach</v>
      </c>
      <c r="R731" s="7" t="str">
        <f t="shared" si="81"/>
        <v>Afternoon</v>
      </c>
      <c r="S731" s="7" t="str">
        <f t="shared" si="82"/>
        <v>North America</v>
      </c>
      <c r="T731" s="30">
        <f t="shared" si="83"/>
        <v>1.92</v>
      </c>
      <c r="U731" s="6"/>
      <c r="V731" s="6"/>
    </row>
    <row r="732" spans="1:22" x14ac:dyDescent="0.3">
      <c r="A732" t="s">
        <v>1619</v>
      </c>
      <c r="B732" t="s">
        <v>2326</v>
      </c>
      <c r="C732" t="s">
        <v>953</v>
      </c>
      <c r="D732" s="1">
        <v>43560.729166666664</v>
      </c>
      <c r="E732" t="s">
        <v>761</v>
      </c>
      <c r="F732" t="s">
        <v>719</v>
      </c>
      <c r="G732">
        <v>22</v>
      </c>
      <c r="H732">
        <v>42</v>
      </c>
      <c r="I732" t="s">
        <v>720</v>
      </c>
      <c r="J732">
        <v>2019</v>
      </c>
      <c r="K732">
        <v>4</v>
      </c>
      <c r="L732">
        <v>5</v>
      </c>
      <c r="M732">
        <v>17</v>
      </c>
      <c r="N732" s="7">
        <f t="shared" si="77"/>
        <v>64</v>
      </c>
      <c r="O732" s="7" t="str">
        <f t="shared" si="80"/>
        <v>Popular</v>
      </c>
      <c r="P732" s="7" t="str">
        <f t="shared" si="78"/>
        <v>No</v>
      </c>
      <c r="Q732" s="7" t="str">
        <f t="shared" si="79"/>
        <v>Wide Reach</v>
      </c>
      <c r="R732" s="7" t="str">
        <f t="shared" si="81"/>
        <v>Afternoon</v>
      </c>
      <c r="S732" s="7" t="str">
        <f t="shared" si="82"/>
        <v>North America</v>
      </c>
      <c r="T732" s="30">
        <f t="shared" si="83"/>
        <v>1.9090909090909092</v>
      </c>
      <c r="U732" s="6"/>
      <c r="V732" s="6"/>
    </row>
    <row r="733" spans="1:22" x14ac:dyDescent="0.3">
      <c r="A733" t="s">
        <v>1620</v>
      </c>
      <c r="B733" t="s">
        <v>2327</v>
      </c>
      <c r="C733" t="s">
        <v>953</v>
      </c>
      <c r="D733" s="1">
        <v>43890.864583333336</v>
      </c>
      <c r="E733" t="s">
        <v>763</v>
      </c>
      <c r="F733" t="s">
        <v>721</v>
      </c>
      <c r="G733">
        <v>21</v>
      </c>
      <c r="H733">
        <v>43</v>
      </c>
      <c r="I733" t="s">
        <v>722</v>
      </c>
      <c r="J733">
        <v>2020</v>
      </c>
      <c r="K733">
        <v>2</v>
      </c>
      <c r="L733">
        <v>29</v>
      </c>
      <c r="M733">
        <v>20</v>
      </c>
      <c r="N733" s="7">
        <f t="shared" si="77"/>
        <v>64</v>
      </c>
      <c r="O733" s="7" t="str">
        <f t="shared" si="80"/>
        <v>Popular</v>
      </c>
      <c r="P733" s="7" t="str">
        <f t="shared" si="78"/>
        <v>No</v>
      </c>
      <c r="Q733" s="7" t="str">
        <f t="shared" si="79"/>
        <v>Wide Reach</v>
      </c>
      <c r="R733" s="7" t="str">
        <f t="shared" si="81"/>
        <v>Evening</v>
      </c>
      <c r="S733" s="7" t="str">
        <f t="shared" si="82"/>
        <v>Europe</v>
      </c>
      <c r="T733" s="30">
        <f t="shared" si="83"/>
        <v>2.0476190476190474</v>
      </c>
      <c r="U733" s="6"/>
      <c r="V733" s="6"/>
    </row>
    <row r="734" spans="1:22" x14ac:dyDescent="0.3">
      <c r="A734" t="s">
        <v>1621</v>
      </c>
      <c r="B734" t="s">
        <v>2328</v>
      </c>
      <c r="C734" t="s">
        <v>953</v>
      </c>
      <c r="D734" s="1">
        <v>44150.635416666664</v>
      </c>
      <c r="E734" t="s">
        <v>762</v>
      </c>
      <c r="F734" t="s">
        <v>723</v>
      </c>
      <c r="G734">
        <v>24</v>
      </c>
      <c r="H734">
        <v>47</v>
      </c>
      <c r="I734" t="s">
        <v>30</v>
      </c>
      <c r="J734">
        <v>2020</v>
      </c>
      <c r="K734">
        <v>11</v>
      </c>
      <c r="L734">
        <v>15</v>
      </c>
      <c r="M734">
        <v>15</v>
      </c>
      <c r="N734" s="7">
        <f t="shared" si="77"/>
        <v>71</v>
      </c>
      <c r="O734" s="7" t="str">
        <f t="shared" si="80"/>
        <v>Popular</v>
      </c>
      <c r="P734" s="7" t="str">
        <f t="shared" si="78"/>
        <v>No</v>
      </c>
      <c r="Q734" s="7" t="str">
        <f t="shared" si="79"/>
        <v>Wide Reach</v>
      </c>
      <c r="R734" s="7" t="str">
        <f t="shared" si="81"/>
        <v>Afternoon</v>
      </c>
      <c r="S734" s="7" t="str">
        <f t="shared" si="82"/>
        <v>North America</v>
      </c>
      <c r="T734" s="30">
        <f t="shared" si="83"/>
        <v>1.9583333333333333</v>
      </c>
      <c r="U734" s="6"/>
      <c r="V734" s="6"/>
    </row>
  </sheetData>
  <mergeCells count="5">
    <mergeCell ref="W46:X46"/>
    <mergeCell ref="W3:X3"/>
    <mergeCell ref="W12:X12"/>
    <mergeCell ref="N1:T1"/>
    <mergeCell ref="W32:Y32"/>
  </mergeCells>
  <dataValidations count="1">
    <dataValidation type="list" allowBlank="1" showInputMessage="1" showErrorMessage="1" sqref="X4 X13" xr:uid="{00000000-0002-0000-0000-000000000000}">
      <formula1>$A$3:$A$734</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6934-8BE1-437D-A3BB-431E2DC5A88F}">
  <dimension ref="B3:L28"/>
  <sheetViews>
    <sheetView zoomScale="96" workbookViewId="0">
      <selection activeCell="L15" sqref="L15"/>
    </sheetView>
  </sheetViews>
  <sheetFormatPr defaultRowHeight="14.4" x14ac:dyDescent="0.3"/>
  <cols>
    <col min="2" max="2" width="12.5546875" bestFit="1" customWidth="1"/>
    <col min="3" max="3" width="24.5546875" customWidth="1"/>
    <col min="4" max="4" width="30.33203125" customWidth="1"/>
    <col min="5" max="5" width="28.6640625" bestFit="1" customWidth="1"/>
    <col min="9" max="9" width="12.5546875" bestFit="1" customWidth="1"/>
    <col min="10" max="10" width="13.6640625" bestFit="1" customWidth="1"/>
    <col min="11" max="11" width="21.6640625" customWidth="1"/>
    <col min="12" max="12" width="19.44140625" bestFit="1" customWidth="1"/>
    <col min="13" max="15" width="18" bestFit="1" customWidth="1"/>
  </cols>
  <sheetData>
    <row r="3" spans="2:12" x14ac:dyDescent="0.3">
      <c r="B3" s="10" t="s">
        <v>2329</v>
      </c>
      <c r="C3" t="s">
        <v>2366</v>
      </c>
      <c r="D3" t="s">
        <v>2364</v>
      </c>
      <c r="E3" t="s">
        <v>2365</v>
      </c>
      <c r="I3" s="10" t="s">
        <v>2329</v>
      </c>
      <c r="J3" t="s">
        <v>2367</v>
      </c>
      <c r="K3" t="s">
        <v>2368</v>
      </c>
      <c r="L3" t="s">
        <v>2369</v>
      </c>
    </row>
    <row r="4" spans="2:12" x14ac:dyDescent="0.3">
      <c r="B4" s="3" t="s">
        <v>763</v>
      </c>
      <c r="C4" s="6">
        <v>62.839826839826841</v>
      </c>
      <c r="D4">
        <v>40</v>
      </c>
      <c r="E4">
        <v>1</v>
      </c>
      <c r="I4" s="3" t="s">
        <v>763</v>
      </c>
      <c r="J4" s="5">
        <v>6.9264069264069264E-2</v>
      </c>
      <c r="K4">
        <v>0.6</v>
      </c>
      <c r="L4">
        <v>-1</v>
      </c>
    </row>
    <row r="5" spans="2:12" x14ac:dyDescent="0.3">
      <c r="B5" s="3" t="s">
        <v>762</v>
      </c>
      <c r="C5" s="6">
        <v>67.689922480620154</v>
      </c>
      <c r="D5">
        <v>40</v>
      </c>
      <c r="E5">
        <v>1</v>
      </c>
      <c r="I5" s="3" t="s">
        <v>762</v>
      </c>
      <c r="J5" s="5">
        <v>6.2015503875968991E-2</v>
      </c>
      <c r="K5">
        <v>0.6</v>
      </c>
      <c r="L5">
        <v>-1</v>
      </c>
    </row>
    <row r="6" spans="2:12" x14ac:dyDescent="0.3">
      <c r="B6" s="3" t="s">
        <v>761</v>
      </c>
      <c r="C6" s="6">
        <v>62.419753086419753</v>
      </c>
      <c r="D6">
        <v>40</v>
      </c>
      <c r="E6">
        <v>1</v>
      </c>
      <c r="I6" s="3" t="s">
        <v>761</v>
      </c>
      <c r="J6" s="5">
        <v>5.3497942386831275E-2</v>
      </c>
      <c r="K6">
        <v>0.6</v>
      </c>
      <c r="L6">
        <v>-1</v>
      </c>
    </row>
    <row r="7" spans="2:12" x14ac:dyDescent="0.3">
      <c r="B7" s="3" t="s">
        <v>2330</v>
      </c>
      <c r="C7" s="6">
        <v>64.409836065573771</v>
      </c>
      <c r="D7">
        <v>40</v>
      </c>
      <c r="E7">
        <v>1</v>
      </c>
      <c r="I7" s="3" t="s">
        <v>2330</v>
      </c>
      <c r="J7" s="5">
        <v>6.1475409836065573E-2</v>
      </c>
      <c r="K7">
        <v>0.6</v>
      </c>
      <c r="L7">
        <v>-1</v>
      </c>
    </row>
    <row r="15" spans="2:12" x14ac:dyDescent="0.3">
      <c r="B15" s="10" t="s">
        <v>2329</v>
      </c>
      <c r="C15" t="s">
        <v>2366</v>
      </c>
      <c r="D15" t="s">
        <v>2364</v>
      </c>
      <c r="E15" t="s">
        <v>2365</v>
      </c>
    </row>
    <row r="16" spans="2:12" x14ac:dyDescent="0.3">
      <c r="B16" s="3">
        <v>1</v>
      </c>
      <c r="C16" s="6">
        <v>57.731707317073173</v>
      </c>
      <c r="D16">
        <v>40</v>
      </c>
      <c r="E16">
        <v>1</v>
      </c>
    </row>
    <row r="17" spans="2:6" x14ac:dyDescent="0.3">
      <c r="B17" s="3">
        <v>2</v>
      </c>
      <c r="C17" s="6">
        <v>61.858823529411765</v>
      </c>
      <c r="D17">
        <v>40</v>
      </c>
      <c r="E17">
        <v>1</v>
      </c>
    </row>
    <row r="18" spans="2:6" x14ac:dyDescent="0.3">
      <c r="B18" s="3">
        <v>3</v>
      </c>
      <c r="C18" s="6">
        <v>63.909090909090907</v>
      </c>
      <c r="D18">
        <v>40</v>
      </c>
      <c r="E18">
        <v>1</v>
      </c>
    </row>
    <row r="19" spans="2:6" x14ac:dyDescent="0.3">
      <c r="B19" s="3">
        <v>4</v>
      </c>
      <c r="C19" s="6">
        <v>63.96078431372549</v>
      </c>
      <c r="D19">
        <v>40</v>
      </c>
      <c r="E19">
        <v>1</v>
      </c>
    </row>
    <row r="20" spans="2:6" x14ac:dyDescent="0.3">
      <c r="B20" s="3">
        <v>5</v>
      </c>
      <c r="C20" s="6">
        <v>62.760869565217391</v>
      </c>
      <c r="D20">
        <v>40</v>
      </c>
      <c r="E20">
        <v>1</v>
      </c>
    </row>
    <row r="21" spans="2:6" x14ac:dyDescent="0.3">
      <c r="B21" s="3">
        <v>6</v>
      </c>
      <c r="C21" s="6">
        <v>71</v>
      </c>
      <c r="D21">
        <v>40</v>
      </c>
      <c r="E21">
        <v>1</v>
      </c>
    </row>
    <row r="22" spans="2:6" x14ac:dyDescent="0.3">
      <c r="B22" s="3">
        <v>7</v>
      </c>
      <c r="C22" s="6">
        <v>73.693548387096769</v>
      </c>
      <c r="D22">
        <v>40</v>
      </c>
      <c r="E22">
        <v>1</v>
      </c>
    </row>
    <row r="23" spans="2:6" x14ac:dyDescent="0.3">
      <c r="B23" s="3">
        <v>8</v>
      </c>
      <c r="C23" s="6">
        <v>65.756410256410263</v>
      </c>
      <c r="D23">
        <v>40</v>
      </c>
      <c r="E23">
        <v>1</v>
      </c>
    </row>
    <row r="24" spans="2:6" x14ac:dyDescent="0.3">
      <c r="B24" s="3">
        <v>9</v>
      </c>
      <c r="C24" s="6">
        <v>62.18181818181818</v>
      </c>
      <c r="D24">
        <v>40</v>
      </c>
      <c r="E24">
        <v>1</v>
      </c>
      <c r="F24" t="s">
        <v>1625</v>
      </c>
    </row>
    <row r="25" spans="2:6" x14ac:dyDescent="0.3">
      <c r="B25" s="3">
        <v>10</v>
      </c>
      <c r="C25" s="6">
        <v>62.520833333333336</v>
      </c>
      <c r="D25">
        <v>40</v>
      </c>
      <c r="E25">
        <v>1</v>
      </c>
    </row>
    <row r="26" spans="2:6" x14ac:dyDescent="0.3">
      <c r="B26" s="3">
        <v>11</v>
      </c>
      <c r="C26" s="6">
        <v>65.693877551020407</v>
      </c>
      <c r="D26">
        <v>40</v>
      </c>
      <c r="E26">
        <v>1</v>
      </c>
    </row>
    <row r="27" spans="2:6" x14ac:dyDescent="0.3">
      <c r="B27" s="3">
        <v>12</v>
      </c>
      <c r="C27" s="6">
        <v>62.769230769230766</v>
      </c>
      <c r="D27">
        <v>40</v>
      </c>
      <c r="E27">
        <v>1</v>
      </c>
    </row>
    <row r="28" spans="2:6" x14ac:dyDescent="0.3">
      <c r="B28" s="3" t="s">
        <v>2330</v>
      </c>
      <c r="C28" s="6">
        <v>64.409836065573771</v>
      </c>
      <c r="D28">
        <v>40</v>
      </c>
      <c r="E28">
        <v>1</v>
      </c>
    </row>
  </sheetData>
  <conditionalFormatting pivot="1" sqref="E4:E7">
    <cfRule type="iconSet" priority="4">
      <iconSet showValue="0">
        <cfvo type="num" val="-1"/>
        <cfvo type="num" val="-0.5"/>
        <cfvo type="num" val="0.5"/>
      </iconSet>
    </cfRule>
  </conditionalFormatting>
  <conditionalFormatting pivot="1" sqref="E16:E28">
    <cfRule type="iconSet" priority="3">
      <iconSet showValue="0">
        <cfvo type="num" val="-1"/>
        <cfvo type="num" val="-0.5"/>
        <cfvo type="num" val="0.5"/>
      </iconSet>
    </cfRule>
  </conditionalFormatting>
  <conditionalFormatting pivot="1" sqref="L4:L7">
    <cfRule type="iconSet" priority="1">
      <iconSet showValue="0">
        <cfvo type="num" val="-1"/>
        <cfvo type="num" val="-0.5"/>
        <cfvo type="num" val="0.5"/>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C81C-4085-4844-9511-7E06D4A3444F}">
  <sheetPr>
    <outlinePr summaryBelow="0"/>
  </sheetPr>
  <dimension ref="B1:G12"/>
  <sheetViews>
    <sheetView showGridLines="0" workbookViewId="0">
      <selection activeCell="E17" sqref="E17"/>
    </sheetView>
  </sheetViews>
  <sheetFormatPr defaultRowHeight="14.4" outlineLevelRow="1" outlineLevelCol="1" x14ac:dyDescent="0.3"/>
  <cols>
    <col min="3" max="3" width="6.109375" bestFit="1" customWidth="1"/>
    <col min="4" max="7" width="13.109375" bestFit="1" customWidth="1" outlineLevel="1"/>
  </cols>
  <sheetData>
    <row r="1" spans="2:7" ht="15" thickBot="1" x14ac:dyDescent="0.35"/>
    <row r="2" spans="2:7" ht="15.6" x14ac:dyDescent="0.3">
      <c r="B2" s="15" t="s">
        <v>2383</v>
      </c>
      <c r="C2" s="15"/>
      <c r="D2" s="20"/>
      <c r="E2" s="20"/>
      <c r="F2" s="20"/>
      <c r="G2" s="20"/>
    </row>
    <row r="3" spans="2:7" ht="15.6" collapsed="1" x14ac:dyDescent="0.3">
      <c r="B3" s="14"/>
      <c r="C3" s="14"/>
      <c r="D3" s="21" t="s">
        <v>2385</v>
      </c>
      <c r="E3" s="21" t="s">
        <v>2379</v>
      </c>
      <c r="F3" s="21" t="s">
        <v>2381</v>
      </c>
      <c r="G3" s="21" t="s">
        <v>2382</v>
      </c>
    </row>
    <row r="4" spans="2:7" ht="20.399999999999999" hidden="1" outlineLevel="1" x14ac:dyDescent="0.3">
      <c r="B4" s="17"/>
      <c r="C4" s="17"/>
      <c r="E4" s="23" t="s">
        <v>2380</v>
      </c>
      <c r="F4" s="23"/>
      <c r="G4" s="23"/>
    </row>
    <row r="5" spans="2:7" x14ac:dyDescent="0.3">
      <c r="B5" s="18" t="s">
        <v>2384</v>
      </c>
      <c r="C5" s="18"/>
      <c r="D5" s="16"/>
      <c r="E5" s="16"/>
      <c r="F5" s="16"/>
      <c r="G5" s="16"/>
    </row>
    <row r="6" spans="2:7" outlineLevel="1" x14ac:dyDescent="0.3">
      <c r="B6" s="17"/>
      <c r="C6" s="17" t="s">
        <v>2376</v>
      </c>
      <c r="D6">
        <v>30</v>
      </c>
      <c r="E6" s="22">
        <v>30</v>
      </c>
      <c r="F6" s="22">
        <v>80</v>
      </c>
      <c r="G6" s="22">
        <v>10</v>
      </c>
    </row>
    <row r="7" spans="2:7" outlineLevel="1" x14ac:dyDescent="0.3">
      <c r="B7" s="17"/>
      <c r="C7" s="17" t="s">
        <v>2377</v>
      </c>
      <c r="D7">
        <v>14</v>
      </c>
      <c r="E7" s="22">
        <v>14</v>
      </c>
      <c r="F7" s="22">
        <v>40</v>
      </c>
      <c r="G7" s="22">
        <v>5</v>
      </c>
    </row>
    <row r="8" spans="2:7" x14ac:dyDescent="0.3">
      <c r="B8" s="18" t="s">
        <v>2386</v>
      </c>
      <c r="C8" s="18"/>
      <c r="D8" s="16"/>
      <c r="E8" s="16"/>
      <c r="F8" s="16"/>
      <c r="G8" s="16"/>
    </row>
    <row r="9" spans="2:7" ht="15" outlineLevel="1" thickBot="1" x14ac:dyDescent="0.35">
      <c r="B9" s="19"/>
      <c r="C9" s="19" t="s">
        <v>2378</v>
      </c>
      <c r="D9" s="13">
        <v>44</v>
      </c>
      <c r="E9" s="13">
        <v>44</v>
      </c>
      <c r="F9" s="13">
        <v>120</v>
      </c>
      <c r="G9" s="13">
        <v>15</v>
      </c>
    </row>
    <row r="10" spans="2:7" x14ac:dyDescent="0.3">
      <c r="B10" t="s">
        <v>2387</v>
      </c>
    </row>
    <row r="11" spans="2:7" x14ac:dyDescent="0.3">
      <c r="B11" t="s">
        <v>2388</v>
      </c>
    </row>
    <row r="12" spans="2:7" x14ac:dyDescent="0.3">
      <c r="B12" t="s">
        <v>2389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4B62-82A2-4119-9EC0-8E01A9EA1BC6}">
  <dimension ref="A2:E1027"/>
  <sheetViews>
    <sheetView workbookViewId="0">
      <selection activeCell="G27" sqref="G27"/>
    </sheetView>
  </sheetViews>
  <sheetFormatPr defaultRowHeight="14.4" x14ac:dyDescent="0.3"/>
  <cols>
    <col min="1" max="1" width="14.33203125" customWidth="1"/>
    <col min="2" max="2" width="11.109375" customWidth="1"/>
    <col min="3" max="3" width="10.6640625" customWidth="1"/>
    <col min="4" max="4" width="13.88671875" customWidth="1"/>
    <col min="5" max="5" width="17.109375" customWidth="1"/>
  </cols>
  <sheetData>
    <row r="2" spans="1:4" ht="15.6" x14ac:dyDescent="0.3">
      <c r="A2" s="36" t="s">
        <v>2394</v>
      </c>
      <c r="B2" s="36"/>
      <c r="C2" s="36"/>
    </row>
    <row r="3" spans="1:4" x14ac:dyDescent="0.3">
      <c r="A3" t="s">
        <v>2370</v>
      </c>
      <c r="B3">
        <v>439.2</v>
      </c>
    </row>
    <row r="4" spans="1:4" x14ac:dyDescent="0.3">
      <c r="A4" t="s">
        <v>2371</v>
      </c>
      <c r="B4">
        <v>732</v>
      </c>
    </row>
    <row r="5" spans="1:4" x14ac:dyDescent="0.3">
      <c r="A5" t="s">
        <v>2372</v>
      </c>
      <c r="B5" s="5">
        <f>B3/B4</f>
        <v>0.6</v>
      </c>
    </row>
    <row r="11" spans="1:4" ht="15.6" x14ac:dyDescent="0.3">
      <c r="A11" s="36" t="s">
        <v>2395</v>
      </c>
      <c r="B11" s="36"/>
      <c r="C11" s="36"/>
      <c r="D11" s="36"/>
    </row>
    <row r="12" spans="1:4" x14ac:dyDescent="0.3">
      <c r="A12" t="s">
        <v>2373</v>
      </c>
      <c r="B12">
        <v>30</v>
      </c>
    </row>
    <row r="13" spans="1:4" x14ac:dyDescent="0.3">
      <c r="A13" t="s">
        <v>2374</v>
      </c>
      <c r="B13">
        <v>14</v>
      </c>
    </row>
    <row r="14" spans="1:4" x14ac:dyDescent="0.3">
      <c r="A14" t="s">
        <v>2375</v>
      </c>
      <c r="B14">
        <f>B12+  B13</f>
        <v>44</v>
      </c>
    </row>
    <row r="17" spans="1:5" x14ac:dyDescent="0.3">
      <c r="A17" s="37" t="s">
        <v>2396</v>
      </c>
      <c r="B17" s="37"/>
      <c r="C17" s="37"/>
      <c r="D17" s="37"/>
    </row>
    <row r="18" spans="1:5" x14ac:dyDescent="0.3">
      <c r="A18" s="26">
        <f>B14</f>
        <v>44</v>
      </c>
      <c r="B18" s="26">
        <v>5</v>
      </c>
      <c r="C18" s="26">
        <v>10</v>
      </c>
      <c r="D18" s="26">
        <v>20</v>
      </c>
    </row>
    <row r="19" spans="1:5" x14ac:dyDescent="0.3">
      <c r="A19" s="27">
        <v>10</v>
      </c>
      <c r="B19" s="28">
        <f t="dataTable" ref="B19:D21" dt2D="1" dtr="1" r1="B13" r2="B12"/>
        <v>15</v>
      </c>
      <c r="C19" s="28">
        <v>20</v>
      </c>
      <c r="D19" s="28">
        <v>30</v>
      </c>
    </row>
    <row r="20" spans="1:5" x14ac:dyDescent="0.3">
      <c r="A20" s="27">
        <v>20</v>
      </c>
      <c r="B20" s="28">
        <v>25</v>
      </c>
      <c r="C20" s="28">
        <v>30</v>
      </c>
      <c r="D20" s="28">
        <v>40</v>
      </c>
    </row>
    <row r="21" spans="1:5" x14ac:dyDescent="0.3">
      <c r="A21" s="27">
        <v>30</v>
      </c>
      <c r="B21" s="28">
        <v>35</v>
      </c>
      <c r="C21" s="28">
        <v>40</v>
      </c>
      <c r="D21" s="28">
        <v>50</v>
      </c>
    </row>
    <row r="25" spans="1:5" x14ac:dyDescent="0.3">
      <c r="A25" s="35" t="s">
        <v>2393</v>
      </c>
      <c r="B25" s="35"/>
      <c r="C25" s="35"/>
      <c r="D25" s="35"/>
      <c r="E25" s="35"/>
    </row>
    <row r="26" spans="1:5" x14ac:dyDescent="0.3">
      <c r="A26" s="25" t="s">
        <v>2390</v>
      </c>
      <c r="B26" s="25" t="s">
        <v>6</v>
      </c>
      <c r="C26" s="25" t="s">
        <v>5</v>
      </c>
      <c r="D26" s="25" t="s">
        <v>12</v>
      </c>
      <c r="E26" s="25" t="s">
        <v>2391</v>
      </c>
    </row>
    <row r="27" spans="1:5" x14ac:dyDescent="0.3">
      <c r="A27">
        <v>1</v>
      </c>
      <c r="B27">
        <f ca="1">RANDBETWEEN(5,60)</f>
        <v>19</v>
      </c>
      <c r="C27">
        <f ca="1">RANDBETWEEN(2,40)</f>
        <v>38</v>
      </c>
      <c r="D27">
        <f ca="1">B27+C27</f>
        <v>57</v>
      </c>
      <c r="E27">
        <f ca="1">IF(D27&gt;=40,1,0)</f>
        <v>1</v>
      </c>
    </row>
    <row r="28" spans="1:5" x14ac:dyDescent="0.3">
      <c r="A28">
        <v>2</v>
      </c>
      <c r="B28">
        <f t="shared" ref="B28:B91" ca="1" si="0">RANDBETWEEN(5,60)</f>
        <v>6</v>
      </c>
      <c r="C28">
        <f t="shared" ref="C28:C91" ca="1" si="1">RANDBETWEEN(2,40)</f>
        <v>26</v>
      </c>
      <c r="D28">
        <f t="shared" ref="D28:D40" ca="1" si="2">B28+C28</f>
        <v>32</v>
      </c>
      <c r="E28">
        <f t="shared" ref="E28:E91" ca="1" si="3">IF(D28&gt;=40,1,0)</f>
        <v>0</v>
      </c>
    </row>
    <row r="29" spans="1:5" x14ac:dyDescent="0.3">
      <c r="A29">
        <v>3</v>
      </c>
      <c r="B29">
        <f t="shared" ca="1" si="0"/>
        <v>18</v>
      </c>
      <c r="C29">
        <f t="shared" ca="1" si="1"/>
        <v>6</v>
      </c>
      <c r="D29">
        <f t="shared" ca="1" si="2"/>
        <v>24</v>
      </c>
      <c r="E29">
        <f t="shared" ca="1" si="3"/>
        <v>0</v>
      </c>
    </row>
    <row r="30" spans="1:5" x14ac:dyDescent="0.3">
      <c r="A30">
        <v>4</v>
      </c>
      <c r="B30">
        <f t="shared" ca="1" si="0"/>
        <v>5</v>
      </c>
      <c r="C30">
        <f t="shared" ca="1" si="1"/>
        <v>11</v>
      </c>
      <c r="D30">
        <f t="shared" ca="1" si="2"/>
        <v>16</v>
      </c>
      <c r="E30">
        <f t="shared" ca="1" si="3"/>
        <v>0</v>
      </c>
    </row>
    <row r="31" spans="1:5" x14ac:dyDescent="0.3">
      <c r="A31">
        <v>5</v>
      </c>
      <c r="B31">
        <f t="shared" ca="1" si="0"/>
        <v>40</v>
      </c>
      <c r="C31">
        <f t="shared" ca="1" si="1"/>
        <v>38</v>
      </c>
      <c r="D31">
        <f t="shared" ca="1" si="2"/>
        <v>78</v>
      </c>
      <c r="E31">
        <f t="shared" ca="1" si="3"/>
        <v>1</v>
      </c>
    </row>
    <row r="32" spans="1:5" x14ac:dyDescent="0.3">
      <c r="A32">
        <v>6</v>
      </c>
      <c r="B32">
        <f t="shared" ca="1" si="0"/>
        <v>25</v>
      </c>
      <c r="C32">
        <f t="shared" ca="1" si="1"/>
        <v>34</v>
      </c>
      <c r="D32">
        <f t="shared" ca="1" si="2"/>
        <v>59</v>
      </c>
      <c r="E32">
        <f t="shared" ca="1" si="3"/>
        <v>1</v>
      </c>
    </row>
    <row r="33" spans="1:5" x14ac:dyDescent="0.3">
      <c r="A33">
        <v>7</v>
      </c>
      <c r="B33">
        <f t="shared" ca="1" si="0"/>
        <v>28</v>
      </c>
      <c r="C33">
        <f t="shared" ca="1" si="1"/>
        <v>18</v>
      </c>
      <c r="D33">
        <f t="shared" ca="1" si="2"/>
        <v>46</v>
      </c>
      <c r="E33">
        <f t="shared" ca="1" si="3"/>
        <v>1</v>
      </c>
    </row>
    <row r="34" spans="1:5" x14ac:dyDescent="0.3">
      <c r="A34">
        <v>8</v>
      </c>
      <c r="B34">
        <f t="shared" ca="1" si="0"/>
        <v>49</v>
      </c>
      <c r="C34">
        <f t="shared" ca="1" si="1"/>
        <v>36</v>
      </c>
      <c r="D34">
        <f t="shared" ca="1" si="2"/>
        <v>85</v>
      </c>
      <c r="E34">
        <f t="shared" ca="1" si="3"/>
        <v>1</v>
      </c>
    </row>
    <row r="35" spans="1:5" x14ac:dyDescent="0.3">
      <c r="A35">
        <v>9</v>
      </c>
      <c r="B35">
        <f t="shared" ca="1" si="0"/>
        <v>27</v>
      </c>
      <c r="C35">
        <f t="shared" ca="1" si="1"/>
        <v>34</v>
      </c>
      <c r="D35">
        <f t="shared" ca="1" si="2"/>
        <v>61</v>
      </c>
      <c r="E35">
        <f t="shared" ca="1" si="3"/>
        <v>1</v>
      </c>
    </row>
    <row r="36" spans="1:5" x14ac:dyDescent="0.3">
      <c r="A36">
        <v>10</v>
      </c>
      <c r="B36">
        <f t="shared" ca="1" si="0"/>
        <v>12</v>
      </c>
      <c r="C36">
        <f t="shared" ca="1" si="1"/>
        <v>4</v>
      </c>
      <c r="D36">
        <f t="shared" ca="1" si="2"/>
        <v>16</v>
      </c>
      <c r="E36">
        <f t="shared" ca="1" si="3"/>
        <v>0</v>
      </c>
    </row>
    <row r="37" spans="1:5" x14ac:dyDescent="0.3">
      <c r="A37">
        <v>11</v>
      </c>
      <c r="B37">
        <f t="shared" ca="1" si="0"/>
        <v>59</v>
      </c>
      <c r="C37">
        <f t="shared" ca="1" si="1"/>
        <v>16</v>
      </c>
      <c r="D37">
        <f t="shared" ca="1" si="2"/>
        <v>75</v>
      </c>
      <c r="E37">
        <f t="shared" ca="1" si="3"/>
        <v>1</v>
      </c>
    </row>
    <row r="38" spans="1:5" x14ac:dyDescent="0.3">
      <c r="A38">
        <v>12</v>
      </c>
      <c r="B38">
        <f t="shared" ca="1" si="0"/>
        <v>28</v>
      </c>
      <c r="C38">
        <f t="shared" ca="1" si="1"/>
        <v>8</v>
      </c>
      <c r="D38">
        <f t="shared" ca="1" si="2"/>
        <v>36</v>
      </c>
      <c r="E38">
        <f t="shared" ca="1" si="3"/>
        <v>0</v>
      </c>
    </row>
    <row r="39" spans="1:5" x14ac:dyDescent="0.3">
      <c r="A39">
        <v>13</v>
      </c>
      <c r="B39">
        <f t="shared" ca="1" si="0"/>
        <v>44</v>
      </c>
      <c r="C39">
        <f t="shared" ca="1" si="1"/>
        <v>5</v>
      </c>
      <c r="D39">
        <f t="shared" ca="1" si="2"/>
        <v>49</v>
      </c>
      <c r="E39">
        <f t="shared" ca="1" si="3"/>
        <v>1</v>
      </c>
    </row>
    <row r="40" spans="1:5" x14ac:dyDescent="0.3">
      <c r="A40">
        <v>14</v>
      </c>
      <c r="B40">
        <f t="shared" ca="1" si="0"/>
        <v>47</v>
      </c>
      <c r="C40">
        <f t="shared" ca="1" si="1"/>
        <v>24</v>
      </c>
      <c r="D40">
        <f t="shared" ca="1" si="2"/>
        <v>71</v>
      </c>
      <c r="E40">
        <f t="shared" ca="1" si="3"/>
        <v>1</v>
      </c>
    </row>
    <row r="41" spans="1:5" x14ac:dyDescent="0.3">
      <c r="A41">
        <v>15</v>
      </c>
      <c r="B41">
        <f t="shared" ca="1" si="0"/>
        <v>20</v>
      </c>
      <c r="C41">
        <f t="shared" ca="1" si="1"/>
        <v>40</v>
      </c>
      <c r="D41">
        <f t="shared" ref="D41:D104" ca="1" si="4">B41+C41</f>
        <v>60</v>
      </c>
      <c r="E41">
        <f t="shared" ca="1" si="3"/>
        <v>1</v>
      </c>
    </row>
    <row r="42" spans="1:5" x14ac:dyDescent="0.3">
      <c r="A42">
        <v>16</v>
      </c>
      <c r="B42">
        <f t="shared" ca="1" si="0"/>
        <v>58</v>
      </c>
      <c r="C42">
        <f t="shared" ca="1" si="1"/>
        <v>37</v>
      </c>
      <c r="D42">
        <f t="shared" ca="1" si="4"/>
        <v>95</v>
      </c>
      <c r="E42">
        <f t="shared" ca="1" si="3"/>
        <v>1</v>
      </c>
    </row>
    <row r="43" spans="1:5" x14ac:dyDescent="0.3">
      <c r="A43">
        <v>17</v>
      </c>
      <c r="B43">
        <f t="shared" ca="1" si="0"/>
        <v>33</v>
      </c>
      <c r="C43">
        <f t="shared" ca="1" si="1"/>
        <v>22</v>
      </c>
      <c r="D43">
        <f t="shared" ca="1" si="4"/>
        <v>55</v>
      </c>
      <c r="E43">
        <f t="shared" ca="1" si="3"/>
        <v>1</v>
      </c>
    </row>
    <row r="44" spans="1:5" x14ac:dyDescent="0.3">
      <c r="A44">
        <v>18</v>
      </c>
      <c r="B44">
        <f t="shared" ca="1" si="0"/>
        <v>20</v>
      </c>
      <c r="C44">
        <f t="shared" ca="1" si="1"/>
        <v>35</v>
      </c>
      <c r="D44">
        <f t="shared" ca="1" si="4"/>
        <v>55</v>
      </c>
      <c r="E44">
        <f t="shared" ca="1" si="3"/>
        <v>1</v>
      </c>
    </row>
    <row r="45" spans="1:5" x14ac:dyDescent="0.3">
      <c r="A45">
        <v>19</v>
      </c>
      <c r="B45">
        <f t="shared" ca="1" si="0"/>
        <v>14</v>
      </c>
      <c r="C45">
        <f t="shared" ca="1" si="1"/>
        <v>3</v>
      </c>
      <c r="D45">
        <f t="shared" ca="1" si="4"/>
        <v>17</v>
      </c>
      <c r="E45">
        <f t="shared" ca="1" si="3"/>
        <v>0</v>
      </c>
    </row>
    <row r="46" spans="1:5" x14ac:dyDescent="0.3">
      <c r="A46">
        <v>20</v>
      </c>
      <c r="B46">
        <f t="shared" ca="1" si="0"/>
        <v>43</v>
      </c>
      <c r="C46">
        <f t="shared" ca="1" si="1"/>
        <v>32</v>
      </c>
      <c r="D46">
        <f t="shared" ca="1" si="4"/>
        <v>75</v>
      </c>
      <c r="E46">
        <f t="shared" ca="1" si="3"/>
        <v>1</v>
      </c>
    </row>
    <row r="47" spans="1:5" x14ac:dyDescent="0.3">
      <c r="A47">
        <v>21</v>
      </c>
      <c r="B47">
        <f t="shared" ca="1" si="0"/>
        <v>21</v>
      </c>
      <c r="C47">
        <f t="shared" ca="1" si="1"/>
        <v>16</v>
      </c>
      <c r="D47">
        <f t="shared" ca="1" si="4"/>
        <v>37</v>
      </c>
      <c r="E47">
        <f t="shared" ca="1" si="3"/>
        <v>0</v>
      </c>
    </row>
    <row r="48" spans="1:5" x14ac:dyDescent="0.3">
      <c r="A48">
        <v>22</v>
      </c>
      <c r="B48">
        <f t="shared" ca="1" si="0"/>
        <v>30</v>
      </c>
      <c r="C48">
        <f t="shared" ca="1" si="1"/>
        <v>6</v>
      </c>
      <c r="D48">
        <f t="shared" ca="1" si="4"/>
        <v>36</v>
      </c>
      <c r="E48">
        <f t="shared" ca="1" si="3"/>
        <v>0</v>
      </c>
    </row>
    <row r="49" spans="1:5" x14ac:dyDescent="0.3">
      <c r="A49">
        <v>23</v>
      </c>
      <c r="B49">
        <f t="shared" ca="1" si="0"/>
        <v>30</v>
      </c>
      <c r="C49">
        <f t="shared" ca="1" si="1"/>
        <v>32</v>
      </c>
      <c r="D49">
        <f t="shared" ca="1" si="4"/>
        <v>62</v>
      </c>
      <c r="E49">
        <f t="shared" ca="1" si="3"/>
        <v>1</v>
      </c>
    </row>
    <row r="50" spans="1:5" x14ac:dyDescent="0.3">
      <c r="A50">
        <v>24</v>
      </c>
      <c r="B50">
        <f t="shared" ca="1" si="0"/>
        <v>26</v>
      </c>
      <c r="C50">
        <f t="shared" ca="1" si="1"/>
        <v>27</v>
      </c>
      <c r="D50">
        <f t="shared" ca="1" si="4"/>
        <v>53</v>
      </c>
      <c r="E50">
        <f t="shared" ca="1" si="3"/>
        <v>1</v>
      </c>
    </row>
    <row r="51" spans="1:5" x14ac:dyDescent="0.3">
      <c r="A51">
        <v>25</v>
      </c>
      <c r="B51">
        <f t="shared" ca="1" si="0"/>
        <v>19</v>
      </c>
      <c r="C51">
        <f t="shared" ca="1" si="1"/>
        <v>22</v>
      </c>
      <c r="D51">
        <f t="shared" ca="1" si="4"/>
        <v>41</v>
      </c>
      <c r="E51">
        <f t="shared" ca="1" si="3"/>
        <v>1</v>
      </c>
    </row>
    <row r="52" spans="1:5" x14ac:dyDescent="0.3">
      <c r="A52">
        <v>26</v>
      </c>
      <c r="B52">
        <f t="shared" ca="1" si="0"/>
        <v>21</v>
      </c>
      <c r="C52">
        <f t="shared" ca="1" si="1"/>
        <v>19</v>
      </c>
      <c r="D52">
        <f t="shared" ca="1" si="4"/>
        <v>40</v>
      </c>
      <c r="E52">
        <f t="shared" ca="1" si="3"/>
        <v>1</v>
      </c>
    </row>
    <row r="53" spans="1:5" x14ac:dyDescent="0.3">
      <c r="A53">
        <v>27</v>
      </c>
      <c r="B53">
        <f t="shared" ca="1" si="0"/>
        <v>30</v>
      </c>
      <c r="C53">
        <f t="shared" ca="1" si="1"/>
        <v>37</v>
      </c>
      <c r="D53">
        <f t="shared" ca="1" si="4"/>
        <v>67</v>
      </c>
      <c r="E53">
        <f t="shared" ca="1" si="3"/>
        <v>1</v>
      </c>
    </row>
    <row r="54" spans="1:5" x14ac:dyDescent="0.3">
      <c r="A54">
        <v>28</v>
      </c>
      <c r="B54">
        <f t="shared" ca="1" si="0"/>
        <v>24</v>
      </c>
      <c r="C54">
        <f t="shared" ca="1" si="1"/>
        <v>19</v>
      </c>
      <c r="D54">
        <f t="shared" ca="1" si="4"/>
        <v>43</v>
      </c>
      <c r="E54">
        <f t="shared" ca="1" si="3"/>
        <v>1</v>
      </c>
    </row>
    <row r="55" spans="1:5" x14ac:dyDescent="0.3">
      <c r="A55">
        <v>29</v>
      </c>
      <c r="B55">
        <f t="shared" ca="1" si="0"/>
        <v>17</v>
      </c>
      <c r="C55">
        <f t="shared" ca="1" si="1"/>
        <v>20</v>
      </c>
      <c r="D55">
        <f t="shared" ca="1" si="4"/>
        <v>37</v>
      </c>
      <c r="E55">
        <f t="shared" ca="1" si="3"/>
        <v>0</v>
      </c>
    </row>
    <row r="56" spans="1:5" x14ac:dyDescent="0.3">
      <c r="A56">
        <v>30</v>
      </c>
      <c r="B56">
        <f t="shared" ca="1" si="0"/>
        <v>47</v>
      </c>
      <c r="C56">
        <f t="shared" ca="1" si="1"/>
        <v>22</v>
      </c>
      <c r="D56">
        <f t="shared" ca="1" si="4"/>
        <v>69</v>
      </c>
      <c r="E56">
        <f t="shared" ca="1" si="3"/>
        <v>1</v>
      </c>
    </row>
    <row r="57" spans="1:5" x14ac:dyDescent="0.3">
      <c r="A57">
        <v>31</v>
      </c>
      <c r="B57">
        <f t="shared" ca="1" si="0"/>
        <v>54</v>
      </c>
      <c r="C57">
        <f t="shared" ca="1" si="1"/>
        <v>36</v>
      </c>
      <c r="D57">
        <f t="shared" ca="1" si="4"/>
        <v>90</v>
      </c>
      <c r="E57">
        <f t="shared" ca="1" si="3"/>
        <v>1</v>
      </c>
    </row>
    <row r="58" spans="1:5" x14ac:dyDescent="0.3">
      <c r="A58">
        <v>32</v>
      </c>
      <c r="B58">
        <f t="shared" ca="1" si="0"/>
        <v>32</v>
      </c>
      <c r="C58">
        <f t="shared" ca="1" si="1"/>
        <v>16</v>
      </c>
      <c r="D58">
        <f t="shared" ca="1" si="4"/>
        <v>48</v>
      </c>
      <c r="E58">
        <f t="shared" ca="1" si="3"/>
        <v>1</v>
      </c>
    </row>
    <row r="59" spans="1:5" x14ac:dyDescent="0.3">
      <c r="A59">
        <v>33</v>
      </c>
      <c r="B59">
        <f t="shared" ca="1" si="0"/>
        <v>41</v>
      </c>
      <c r="C59">
        <f t="shared" ca="1" si="1"/>
        <v>3</v>
      </c>
      <c r="D59">
        <f t="shared" ca="1" si="4"/>
        <v>44</v>
      </c>
      <c r="E59">
        <f t="shared" ca="1" si="3"/>
        <v>1</v>
      </c>
    </row>
    <row r="60" spans="1:5" x14ac:dyDescent="0.3">
      <c r="A60">
        <v>34</v>
      </c>
      <c r="B60">
        <f t="shared" ca="1" si="0"/>
        <v>46</v>
      </c>
      <c r="C60">
        <f t="shared" ca="1" si="1"/>
        <v>32</v>
      </c>
      <c r="D60">
        <f t="shared" ca="1" si="4"/>
        <v>78</v>
      </c>
      <c r="E60">
        <f t="shared" ca="1" si="3"/>
        <v>1</v>
      </c>
    </row>
    <row r="61" spans="1:5" x14ac:dyDescent="0.3">
      <c r="A61">
        <v>35</v>
      </c>
      <c r="B61">
        <f t="shared" ca="1" si="0"/>
        <v>55</v>
      </c>
      <c r="C61">
        <f t="shared" ca="1" si="1"/>
        <v>33</v>
      </c>
      <c r="D61">
        <f t="shared" ca="1" si="4"/>
        <v>88</v>
      </c>
      <c r="E61">
        <f t="shared" ca="1" si="3"/>
        <v>1</v>
      </c>
    </row>
    <row r="62" spans="1:5" x14ac:dyDescent="0.3">
      <c r="A62">
        <v>36</v>
      </c>
      <c r="B62">
        <f t="shared" ca="1" si="0"/>
        <v>25</v>
      </c>
      <c r="C62">
        <f t="shared" ca="1" si="1"/>
        <v>16</v>
      </c>
      <c r="D62">
        <f t="shared" ca="1" si="4"/>
        <v>41</v>
      </c>
      <c r="E62">
        <f t="shared" ca="1" si="3"/>
        <v>1</v>
      </c>
    </row>
    <row r="63" spans="1:5" x14ac:dyDescent="0.3">
      <c r="A63">
        <v>37</v>
      </c>
      <c r="B63">
        <f t="shared" ca="1" si="0"/>
        <v>15</v>
      </c>
      <c r="C63">
        <f t="shared" ca="1" si="1"/>
        <v>19</v>
      </c>
      <c r="D63">
        <f t="shared" ca="1" si="4"/>
        <v>34</v>
      </c>
      <c r="E63">
        <f t="shared" ca="1" si="3"/>
        <v>0</v>
      </c>
    </row>
    <row r="64" spans="1:5" x14ac:dyDescent="0.3">
      <c r="A64">
        <v>38</v>
      </c>
      <c r="B64">
        <f t="shared" ca="1" si="0"/>
        <v>7</v>
      </c>
      <c r="C64">
        <f t="shared" ca="1" si="1"/>
        <v>33</v>
      </c>
      <c r="D64">
        <f t="shared" ca="1" si="4"/>
        <v>40</v>
      </c>
      <c r="E64">
        <f t="shared" ca="1" si="3"/>
        <v>1</v>
      </c>
    </row>
    <row r="65" spans="1:5" x14ac:dyDescent="0.3">
      <c r="A65">
        <v>39</v>
      </c>
      <c r="B65">
        <f t="shared" ca="1" si="0"/>
        <v>19</v>
      </c>
      <c r="C65">
        <f t="shared" ca="1" si="1"/>
        <v>5</v>
      </c>
      <c r="D65">
        <f t="shared" ca="1" si="4"/>
        <v>24</v>
      </c>
      <c r="E65">
        <f t="shared" ca="1" si="3"/>
        <v>0</v>
      </c>
    </row>
    <row r="66" spans="1:5" x14ac:dyDescent="0.3">
      <c r="A66">
        <v>40</v>
      </c>
      <c r="B66">
        <f t="shared" ca="1" si="0"/>
        <v>6</v>
      </c>
      <c r="C66">
        <f t="shared" ca="1" si="1"/>
        <v>10</v>
      </c>
      <c r="D66">
        <f t="shared" ca="1" si="4"/>
        <v>16</v>
      </c>
      <c r="E66">
        <f t="shared" ca="1" si="3"/>
        <v>0</v>
      </c>
    </row>
    <row r="67" spans="1:5" x14ac:dyDescent="0.3">
      <c r="A67">
        <v>41</v>
      </c>
      <c r="B67">
        <f t="shared" ca="1" si="0"/>
        <v>38</v>
      </c>
      <c r="C67">
        <f t="shared" ca="1" si="1"/>
        <v>17</v>
      </c>
      <c r="D67">
        <f t="shared" ca="1" si="4"/>
        <v>55</v>
      </c>
      <c r="E67">
        <f t="shared" ca="1" si="3"/>
        <v>1</v>
      </c>
    </row>
    <row r="68" spans="1:5" x14ac:dyDescent="0.3">
      <c r="A68">
        <v>42</v>
      </c>
      <c r="B68">
        <f t="shared" ca="1" si="0"/>
        <v>5</v>
      </c>
      <c r="C68">
        <f t="shared" ca="1" si="1"/>
        <v>5</v>
      </c>
      <c r="D68">
        <f t="shared" ca="1" si="4"/>
        <v>10</v>
      </c>
      <c r="E68">
        <f t="shared" ca="1" si="3"/>
        <v>0</v>
      </c>
    </row>
    <row r="69" spans="1:5" x14ac:dyDescent="0.3">
      <c r="A69">
        <v>43</v>
      </c>
      <c r="B69">
        <f t="shared" ca="1" si="0"/>
        <v>41</v>
      </c>
      <c r="C69">
        <f t="shared" ca="1" si="1"/>
        <v>30</v>
      </c>
      <c r="D69">
        <f t="shared" ca="1" si="4"/>
        <v>71</v>
      </c>
      <c r="E69">
        <f t="shared" ca="1" si="3"/>
        <v>1</v>
      </c>
    </row>
    <row r="70" spans="1:5" x14ac:dyDescent="0.3">
      <c r="A70">
        <v>44</v>
      </c>
      <c r="B70">
        <f t="shared" ca="1" si="0"/>
        <v>38</v>
      </c>
      <c r="C70">
        <f t="shared" ca="1" si="1"/>
        <v>31</v>
      </c>
      <c r="D70">
        <f t="shared" ca="1" si="4"/>
        <v>69</v>
      </c>
      <c r="E70">
        <f t="shared" ca="1" si="3"/>
        <v>1</v>
      </c>
    </row>
    <row r="71" spans="1:5" x14ac:dyDescent="0.3">
      <c r="A71">
        <v>45</v>
      </c>
      <c r="B71">
        <f t="shared" ca="1" si="0"/>
        <v>43</v>
      </c>
      <c r="C71">
        <f t="shared" ca="1" si="1"/>
        <v>18</v>
      </c>
      <c r="D71">
        <f t="shared" ca="1" si="4"/>
        <v>61</v>
      </c>
      <c r="E71">
        <f t="shared" ca="1" si="3"/>
        <v>1</v>
      </c>
    </row>
    <row r="72" spans="1:5" x14ac:dyDescent="0.3">
      <c r="A72">
        <v>46</v>
      </c>
      <c r="B72">
        <f t="shared" ca="1" si="0"/>
        <v>5</v>
      </c>
      <c r="C72">
        <f t="shared" ca="1" si="1"/>
        <v>36</v>
      </c>
      <c r="D72">
        <f t="shared" ca="1" si="4"/>
        <v>41</v>
      </c>
      <c r="E72">
        <f t="shared" ca="1" si="3"/>
        <v>1</v>
      </c>
    </row>
    <row r="73" spans="1:5" x14ac:dyDescent="0.3">
      <c r="A73">
        <v>47</v>
      </c>
      <c r="B73">
        <f t="shared" ca="1" si="0"/>
        <v>17</v>
      </c>
      <c r="C73">
        <f t="shared" ca="1" si="1"/>
        <v>2</v>
      </c>
      <c r="D73">
        <f t="shared" ca="1" si="4"/>
        <v>19</v>
      </c>
      <c r="E73">
        <f t="shared" ca="1" si="3"/>
        <v>0</v>
      </c>
    </row>
    <row r="74" spans="1:5" x14ac:dyDescent="0.3">
      <c r="A74">
        <v>48</v>
      </c>
      <c r="B74">
        <f t="shared" ca="1" si="0"/>
        <v>7</v>
      </c>
      <c r="C74">
        <f t="shared" ca="1" si="1"/>
        <v>11</v>
      </c>
      <c r="D74">
        <f t="shared" ca="1" si="4"/>
        <v>18</v>
      </c>
      <c r="E74">
        <f t="shared" ca="1" si="3"/>
        <v>0</v>
      </c>
    </row>
    <row r="75" spans="1:5" x14ac:dyDescent="0.3">
      <c r="A75">
        <v>49</v>
      </c>
      <c r="B75">
        <f t="shared" ca="1" si="0"/>
        <v>16</v>
      </c>
      <c r="C75">
        <f t="shared" ca="1" si="1"/>
        <v>25</v>
      </c>
      <c r="D75">
        <f t="shared" ca="1" si="4"/>
        <v>41</v>
      </c>
      <c r="E75">
        <f t="shared" ca="1" si="3"/>
        <v>1</v>
      </c>
    </row>
    <row r="76" spans="1:5" x14ac:dyDescent="0.3">
      <c r="A76">
        <v>50</v>
      </c>
      <c r="B76">
        <f t="shared" ca="1" si="0"/>
        <v>45</v>
      </c>
      <c r="C76">
        <f t="shared" ca="1" si="1"/>
        <v>18</v>
      </c>
      <c r="D76">
        <f t="shared" ca="1" si="4"/>
        <v>63</v>
      </c>
      <c r="E76">
        <f t="shared" ca="1" si="3"/>
        <v>1</v>
      </c>
    </row>
    <row r="77" spans="1:5" x14ac:dyDescent="0.3">
      <c r="A77">
        <v>51</v>
      </c>
      <c r="B77">
        <f t="shared" ca="1" si="0"/>
        <v>39</v>
      </c>
      <c r="C77">
        <f t="shared" ca="1" si="1"/>
        <v>22</v>
      </c>
      <c r="D77">
        <f t="shared" ca="1" si="4"/>
        <v>61</v>
      </c>
      <c r="E77">
        <f t="shared" ca="1" si="3"/>
        <v>1</v>
      </c>
    </row>
    <row r="78" spans="1:5" x14ac:dyDescent="0.3">
      <c r="A78">
        <v>52</v>
      </c>
      <c r="B78">
        <f t="shared" ca="1" si="0"/>
        <v>14</v>
      </c>
      <c r="C78">
        <f t="shared" ca="1" si="1"/>
        <v>33</v>
      </c>
      <c r="D78">
        <f t="shared" ca="1" si="4"/>
        <v>47</v>
      </c>
      <c r="E78">
        <f t="shared" ca="1" si="3"/>
        <v>1</v>
      </c>
    </row>
    <row r="79" spans="1:5" x14ac:dyDescent="0.3">
      <c r="A79">
        <v>53</v>
      </c>
      <c r="B79">
        <f t="shared" ca="1" si="0"/>
        <v>17</v>
      </c>
      <c r="C79">
        <f t="shared" ca="1" si="1"/>
        <v>20</v>
      </c>
      <c r="D79">
        <f t="shared" ca="1" si="4"/>
        <v>37</v>
      </c>
      <c r="E79">
        <f t="shared" ca="1" si="3"/>
        <v>0</v>
      </c>
    </row>
    <row r="80" spans="1:5" x14ac:dyDescent="0.3">
      <c r="A80">
        <v>54</v>
      </c>
      <c r="B80">
        <f t="shared" ca="1" si="0"/>
        <v>9</v>
      </c>
      <c r="C80">
        <f t="shared" ca="1" si="1"/>
        <v>38</v>
      </c>
      <c r="D80">
        <f t="shared" ca="1" si="4"/>
        <v>47</v>
      </c>
      <c r="E80">
        <f t="shared" ca="1" si="3"/>
        <v>1</v>
      </c>
    </row>
    <row r="81" spans="1:5" x14ac:dyDescent="0.3">
      <c r="A81">
        <v>55</v>
      </c>
      <c r="B81">
        <f t="shared" ca="1" si="0"/>
        <v>40</v>
      </c>
      <c r="C81">
        <f t="shared" ca="1" si="1"/>
        <v>18</v>
      </c>
      <c r="D81">
        <f t="shared" ca="1" si="4"/>
        <v>58</v>
      </c>
      <c r="E81">
        <f t="shared" ca="1" si="3"/>
        <v>1</v>
      </c>
    </row>
    <row r="82" spans="1:5" x14ac:dyDescent="0.3">
      <c r="A82">
        <v>56</v>
      </c>
      <c r="B82">
        <f t="shared" ca="1" si="0"/>
        <v>41</v>
      </c>
      <c r="C82">
        <f t="shared" ca="1" si="1"/>
        <v>38</v>
      </c>
      <c r="D82">
        <f t="shared" ca="1" si="4"/>
        <v>79</v>
      </c>
      <c r="E82">
        <f t="shared" ca="1" si="3"/>
        <v>1</v>
      </c>
    </row>
    <row r="83" spans="1:5" x14ac:dyDescent="0.3">
      <c r="A83">
        <v>57</v>
      </c>
      <c r="B83">
        <f t="shared" ca="1" si="0"/>
        <v>21</v>
      </c>
      <c r="C83">
        <f t="shared" ca="1" si="1"/>
        <v>4</v>
      </c>
      <c r="D83">
        <f t="shared" ca="1" si="4"/>
        <v>25</v>
      </c>
      <c r="E83">
        <f t="shared" ca="1" si="3"/>
        <v>0</v>
      </c>
    </row>
    <row r="84" spans="1:5" x14ac:dyDescent="0.3">
      <c r="A84">
        <v>58</v>
      </c>
      <c r="B84">
        <f t="shared" ca="1" si="0"/>
        <v>5</v>
      </c>
      <c r="C84">
        <f t="shared" ca="1" si="1"/>
        <v>17</v>
      </c>
      <c r="D84">
        <f t="shared" ca="1" si="4"/>
        <v>22</v>
      </c>
      <c r="E84">
        <f t="shared" ca="1" si="3"/>
        <v>0</v>
      </c>
    </row>
    <row r="85" spans="1:5" x14ac:dyDescent="0.3">
      <c r="A85">
        <v>59</v>
      </c>
      <c r="B85">
        <f t="shared" ca="1" si="0"/>
        <v>45</v>
      </c>
      <c r="C85">
        <f t="shared" ca="1" si="1"/>
        <v>24</v>
      </c>
      <c r="D85">
        <f t="shared" ca="1" si="4"/>
        <v>69</v>
      </c>
      <c r="E85">
        <f t="shared" ca="1" si="3"/>
        <v>1</v>
      </c>
    </row>
    <row r="86" spans="1:5" x14ac:dyDescent="0.3">
      <c r="A86">
        <v>60</v>
      </c>
      <c r="B86">
        <f t="shared" ca="1" si="0"/>
        <v>60</v>
      </c>
      <c r="C86">
        <f t="shared" ca="1" si="1"/>
        <v>18</v>
      </c>
      <c r="D86">
        <f t="shared" ca="1" si="4"/>
        <v>78</v>
      </c>
      <c r="E86">
        <f t="shared" ca="1" si="3"/>
        <v>1</v>
      </c>
    </row>
    <row r="87" spans="1:5" x14ac:dyDescent="0.3">
      <c r="A87">
        <v>61</v>
      </c>
      <c r="B87">
        <f t="shared" ca="1" si="0"/>
        <v>42</v>
      </c>
      <c r="C87">
        <f t="shared" ca="1" si="1"/>
        <v>23</v>
      </c>
      <c r="D87">
        <f t="shared" ca="1" si="4"/>
        <v>65</v>
      </c>
      <c r="E87">
        <f t="shared" ca="1" si="3"/>
        <v>1</v>
      </c>
    </row>
    <row r="88" spans="1:5" x14ac:dyDescent="0.3">
      <c r="A88">
        <v>62</v>
      </c>
      <c r="B88">
        <f t="shared" ca="1" si="0"/>
        <v>42</v>
      </c>
      <c r="C88">
        <f t="shared" ca="1" si="1"/>
        <v>24</v>
      </c>
      <c r="D88">
        <f t="shared" ca="1" si="4"/>
        <v>66</v>
      </c>
      <c r="E88">
        <f t="shared" ca="1" si="3"/>
        <v>1</v>
      </c>
    </row>
    <row r="89" spans="1:5" x14ac:dyDescent="0.3">
      <c r="A89">
        <v>63</v>
      </c>
      <c r="B89">
        <f t="shared" ca="1" si="0"/>
        <v>53</v>
      </c>
      <c r="C89">
        <f t="shared" ca="1" si="1"/>
        <v>33</v>
      </c>
      <c r="D89">
        <f t="shared" ca="1" si="4"/>
        <v>86</v>
      </c>
      <c r="E89">
        <f t="shared" ca="1" si="3"/>
        <v>1</v>
      </c>
    </row>
    <row r="90" spans="1:5" x14ac:dyDescent="0.3">
      <c r="A90">
        <v>64</v>
      </c>
      <c r="B90">
        <f t="shared" ca="1" si="0"/>
        <v>19</v>
      </c>
      <c r="C90">
        <f t="shared" ca="1" si="1"/>
        <v>29</v>
      </c>
      <c r="D90">
        <f t="shared" ca="1" si="4"/>
        <v>48</v>
      </c>
      <c r="E90">
        <f t="shared" ca="1" si="3"/>
        <v>1</v>
      </c>
    </row>
    <row r="91" spans="1:5" x14ac:dyDescent="0.3">
      <c r="A91">
        <v>65</v>
      </c>
      <c r="B91">
        <f t="shared" ca="1" si="0"/>
        <v>11</v>
      </c>
      <c r="C91">
        <f t="shared" ca="1" si="1"/>
        <v>39</v>
      </c>
      <c r="D91">
        <f t="shared" ca="1" si="4"/>
        <v>50</v>
      </c>
      <c r="E91">
        <f t="shared" ca="1" si="3"/>
        <v>1</v>
      </c>
    </row>
    <row r="92" spans="1:5" x14ac:dyDescent="0.3">
      <c r="A92">
        <v>66</v>
      </c>
      <c r="B92">
        <f t="shared" ref="B92:B155" ca="1" si="5">RANDBETWEEN(5,60)</f>
        <v>51</v>
      </c>
      <c r="C92">
        <f t="shared" ref="C92:C155" ca="1" si="6">RANDBETWEEN(2,40)</f>
        <v>27</v>
      </c>
      <c r="D92">
        <f t="shared" ca="1" si="4"/>
        <v>78</v>
      </c>
      <c r="E92">
        <f t="shared" ref="E92:E155" ca="1" si="7">IF(D92&gt;=40,1,0)</f>
        <v>1</v>
      </c>
    </row>
    <row r="93" spans="1:5" x14ac:dyDescent="0.3">
      <c r="A93">
        <v>67</v>
      </c>
      <c r="B93">
        <f t="shared" ca="1" si="5"/>
        <v>52</v>
      </c>
      <c r="C93">
        <f t="shared" ca="1" si="6"/>
        <v>26</v>
      </c>
      <c r="D93">
        <f t="shared" ca="1" si="4"/>
        <v>78</v>
      </c>
      <c r="E93">
        <f t="shared" ca="1" si="7"/>
        <v>1</v>
      </c>
    </row>
    <row r="94" spans="1:5" x14ac:dyDescent="0.3">
      <c r="A94">
        <v>68</v>
      </c>
      <c r="B94">
        <f t="shared" ca="1" si="5"/>
        <v>40</v>
      </c>
      <c r="C94">
        <f t="shared" ca="1" si="6"/>
        <v>11</v>
      </c>
      <c r="D94">
        <f t="shared" ca="1" si="4"/>
        <v>51</v>
      </c>
      <c r="E94">
        <f t="shared" ca="1" si="7"/>
        <v>1</v>
      </c>
    </row>
    <row r="95" spans="1:5" x14ac:dyDescent="0.3">
      <c r="A95">
        <v>69</v>
      </c>
      <c r="B95">
        <f t="shared" ca="1" si="5"/>
        <v>12</v>
      </c>
      <c r="C95">
        <f t="shared" ca="1" si="6"/>
        <v>27</v>
      </c>
      <c r="D95">
        <f t="shared" ca="1" si="4"/>
        <v>39</v>
      </c>
      <c r="E95">
        <f t="shared" ca="1" si="7"/>
        <v>0</v>
      </c>
    </row>
    <row r="96" spans="1:5" x14ac:dyDescent="0.3">
      <c r="A96">
        <v>70</v>
      </c>
      <c r="B96">
        <f t="shared" ca="1" si="5"/>
        <v>39</v>
      </c>
      <c r="C96">
        <f t="shared" ca="1" si="6"/>
        <v>8</v>
      </c>
      <c r="D96">
        <f t="shared" ca="1" si="4"/>
        <v>47</v>
      </c>
      <c r="E96">
        <f t="shared" ca="1" si="7"/>
        <v>1</v>
      </c>
    </row>
    <row r="97" spans="1:5" x14ac:dyDescent="0.3">
      <c r="A97">
        <v>71</v>
      </c>
      <c r="B97">
        <f t="shared" ca="1" si="5"/>
        <v>37</v>
      </c>
      <c r="C97">
        <f t="shared" ca="1" si="6"/>
        <v>2</v>
      </c>
      <c r="D97">
        <f t="shared" ca="1" si="4"/>
        <v>39</v>
      </c>
      <c r="E97">
        <f t="shared" ca="1" si="7"/>
        <v>0</v>
      </c>
    </row>
    <row r="98" spans="1:5" x14ac:dyDescent="0.3">
      <c r="A98">
        <v>72</v>
      </c>
      <c r="B98">
        <f t="shared" ca="1" si="5"/>
        <v>32</v>
      </c>
      <c r="C98">
        <f t="shared" ca="1" si="6"/>
        <v>24</v>
      </c>
      <c r="D98">
        <f t="shared" ca="1" si="4"/>
        <v>56</v>
      </c>
      <c r="E98">
        <f t="shared" ca="1" si="7"/>
        <v>1</v>
      </c>
    </row>
    <row r="99" spans="1:5" x14ac:dyDescent="0.3">
      <c r="A99">
        <v>73</v>
      </c>
      <c r="B99">
        <f t="shared" ca="1" si="5"/>
        <v>22</v>
      </c>
      <c r="C99">
        <f t="shared" ca="1" si="6"/>
        <v>38</v>
      </c>
      <c r="D99">
        <f t="shared" ca="1" si="4"/>
        <v>60</v>
      </c>
      <c r="E99">
        <f t="shared" ca="1" si="7"/>
        <v>1</v>
      </c>
    </row>
    <row r="100" spans="1:5" x14ac:dyDescent="0.3">
      <c r="A100">
        <v>74</v>
      </c>
      <c r="B100">
        <f t="shared" ca="1" si="5"/>
        <v>28</v>
      </c>
      <c r="C100">
        <f t="shared" ca="1" si="6"/>
        <v>4</v>
      </c>
      <c r="D100">
        <f t="shared" ca="1" si="4"/>
        <v>32</v>
      </c>
      <c r="E100">
        <f t="shared" ca="1" si="7"/>
        <v>0</v>
      </c>
    </row>
    <row r="101" spans="1:5" x14ac:dyDescent="0.3">
      <c r="A101">
        <v>75</v>
      </c>
      <c r="B101">
        <f t="shared" ca="1" si="5"/>
        <v>24</v>
      </c>
      <c r="C101">
        <f t="shared" ca="1" si="6"/>
        <v>27</v>
      </c>
      <c r="D101">
        <f t="shared" ca="1" si="4"/>
        <v>51</v>
      </c>
      <c r="E101">
        <f t="shared" ca="1" si="7"/>
        <v>1</v>
      </c>
    </row>
    <row r="102" spans="1:5" x14ac:dyDescent="0.3">
      <c r="A102">
        <v>76</v>
      </c>
      <c r="B102">
        <f t="shared" ca="1" si="5"/>
        <v>32</v>
      </c>
      <c r="C102">
        <f t="shared" ca="1" si="6"/>
        <v>40</v>
      </c>
      <c r="D102">
        <f t="shared" ca="1" si="4"/>
        <v>72</v>
      </c>
      <c r="E102">
        <f t="shared" ca="1" si="7"/>
        <v>1</v>
      </c>
    </row>
    <row r="103" spans="1:5" x14ac:dyDescent="0.3">
      <c r="A103">
        <v>77</v>
      </c>
      <c r="B103">
        <f t="shared" ca="1" si="5"/>
        <v>35</v>
      </c>
      <c r="C103">
        <f t="shared" ca="1" si="6"/>
        <v>38</v>
      </c>
      <c r="D103">
        <f t="shared" ca="1" si="4"/>
        <v>73</v>
      </c>
      <c r="E103">
        <f t="shared" ca="1" si="7"/>
        <v>1</v>
      </c>
    </row>
    <row r="104" spans="1:5" x14ac:dyDescent="0.3">
      <c r="A104">
        <v>78</v>
      </c>
      <c r="B104">
        <f t="shared" ca="1" si="5"/>
        <v>18</v>
      </c>
      <c r="C104">
        <f t="shared" ca="1" si="6"/>
        <v>33</v>
      </c>
      <c r="D104">
        <f t="shared" ca="1" si="4"/>
        <v>51</v>
      </c>
      <c r="E104">
        <f t="shared" ca="1" si="7"/>
        <v>1</v>
      </c>
    </row>
    <row r="105" spans="1:5" x14ac:dyDescent="0.3">
      <c r="A105">
        <v>79</v>
      </c>
      <c r="B105">
        <f t="shared" ca="1" si="5"/>
        <v>47</v>
      </c>
      <c r="C105">
        <f t="shared" ca="1" si="6"/>
        <v>3</v>
      </c>
      <c r="D105">
        <f t="shared" ref="D105:D168" ca="1" si="8">B105+C105</f>
        <v>50</v>
      </c>
      <c r="E105">
        <f t="shared" ca="1" si="7"/>
        <v>1</v>
      </c>
    </row>
    <row r="106" spans="1:5" x14ac:dyDescent="0.3">
      <c r="A106">
        <v>80</v>
      </c>
      <c r="B106">
        <f t="shared" ca="1" si="5"/>
        <v>32</v>
      </c>
      <c r="C106">
        <f t="shared" ca="1" si="6"/>
        <v>9</v>
      </c>
      <c r="D106">
        <f t="shared" ca="1" si="8"/>
        <v>41</v>
      </c>
      <c r="E106">
        <f t="shared" ca="1" si="7"/>
        <v>1</v>
      </c>
    </row>
    <row r="107" spans="1:5" x14ac:dyDescent="0.3">
      <c r="A107">
        <v>81</v>
      </c>
      <c r="B107">
        <f t="shared" ca="1" si="5"/>
        <v>14</v>
      </c>
      <c r="C107">
        <f t="shared" ca="1" si="6"/>
        <v>32</v>
      </c>
      <c r="D107">
        <f t="shared" ca="1" si="8"/>
        <v>46</v>
      </c>
      <c r="E107">
        <f t="shared" ca="1" si="7"/>
        <v>1</v>
      </c>
    </row>
    <row r="108" spans="1:5" x14ac:dyDescent="0.3">
      <c r="A108">
        <v>82</v>
      </c>
      <c r="B108">
        <f t="shared" ca="1" si="5"/>
        <v>51</v>
      </c>
      <c r="C108">
        <f t="shared" ca="1" si="6"/>
        <v>26</v>
      </c>
      <c r="D108">
        <f t="shared" ca="1" si="8"/>
        <v>77</v>
      </c>
      <c r="E108">
        <f t="shared" ca="1" si="7"/>
        <v>1</v>
      </c>
    </row>
    <row r="109" spans="1:5" x14ac:dyDescent="0.3">
      <c r="A109">
        <v>83</v>
      </c>
      <c r="B109">
        <f t="shared" ca="1" si="5"/>
        <v>32</v>
      </c>
      <c r="C109">
        <f t="shared" ca="1" si="6"/>
        <v>15</v>
      </c>
      <c r="D109">
        <f t="shared" ca="1" si="8"/>
        <v>47</v>
      </c>
      <c r="E109">
        <f t="shared" ca="1" si="7"/>
        <v>1</v>
      </c>
    </row>
    <row r="110" spans="1:5" x14ac:dyDescent="0.3">
      <c r="A110">
        <v>84</v>
      </c>
      <c r="B110">
        <f t="shared" ca="1" si="5"/>
        <v>18</v>
      </c>
      <c r="C110">
        <f t="shared" ca="1" si="6"/>
        <v>27</v>
      </c>
      <c r="D110">
        <f t="shared" ca="1" si="8"/>
        <v>45</v>
      </c>
      <c r="E110">
        <f t="shared" ca="1" si="7"/>
        <v>1</v>
      </c>
    </row>
    <row r="111" spans="1:5" x14ac:dyDescent="0.3">
      <c r="A111">
        <v>85</v>
      </c>
      <c r="B111">
        <f t="shared" ca="1" si="5"/>
        <v>30</v>
      </c>
      <c r="C111">
        <f t="shared" ca="1" si="6"/>
        <v>31</v>
      </c>
      <c r="D111">
        <f t="shared" ca="1" si="8"/>
        <v>61</v>
      </c>
      <c r="E111">
        <f t="shared" ca="1" si="7"/>
        <v>1</v>
      </c>
    </row>
    <row r="112" spans="1:5" x14ac:dyDescent="0.3">
      <c r="A112">
        <v>86</v>
      </c>
      <c r="B112">
        <f t="shared" ca="1" si="5"/>
        <v>35</v>
      </c>
      <c r="C112">
        <f t="shared" ca="1" si="6"/>
        <v>32</v>
      </c>
      <c r="D112">
        <f t="shared" ca="1" si="8"/>
        <v>67</v>
      </c>
      <c r="E112">
        <f t="shared" ca="1" si="7"/>
        <v>1</v>
      </c>
    </row>
    <row r="113" spans="1:5" x14ac:dyDescent="0.3">
      <c r="A113">
        <v>87</v>
      </c>
      <c r="B113">
        <f t="shared" ca="1" si="5"/>
        <v>21</v>
      </c>
      <c r="C113">
        <f t="shared" ca="1" si="6"/>
        <v>24</v>
      </c>
      <c r="D113">
        <f t="shared" ca="1" si="8"/>
        <v>45</v>
      </c>
      <c r="E113">
        <f t="shared" ca="1" si="7"/>
        <v>1</v>
      </c>
    </row>
    <row r="114" spans="1:5" x14ac:dyDescent="0.3">
      <c r="A114">
        <v>88</v>
      </c>
      <c r="B114">
        <f t="shared" ca="1" si="5"/>
        <v>42</v>
      </c>
      <c r="C114">
        <f t="shared" ca="1" si="6"/>
        <v>26</v>
      </c>
      <c r="D114">
        <f t="shared" ca="1" si="8"/>
        <v>68</v>
      </c>
      <c r="E114">
        <f t="shared" ca="1" si="7"/>
        <v>1</v>
      </c>
    </row>
    <row r="115" spans="1:5" x14ac:dyDescent="0.3">
      <c r="A115">
        <v>89</v>
      </c>
      <c r="B115">
        <f t="shared" ca="1" si="5"/>
        <v>53</v>
      </c>
      <c r="C115">
        <f t="shared" ca="1" si="6"/>
        <v>5</v>
      </c>
      <c r="D115">
        <f t="shared" ca="1" si="8"/>
        <v>58</v>
      </c>
      <c r="E115">
        <f t="shared" ca="1" si="7"/>
        <v>1</v>
      </c>
    </row>
    <row r="116" spans="1:5" x14ac:dyDescent="0.3">
      <c r="A116">
        <v>90</v>
      </c>
      <c r="B116">
        <f t="shared" ca="1" si="5"/>
        <v>20</v>
      </c>
      <c r="C116">
        <f t="shared" ca="1" si="6"/>
        <v>20</v>
      </c>
      <c r="D116">
        <f t="shared" ca="1" si="8"/>
        <v>40</v>
      </c>
      <c r="E116">
        <f t="shared" ca="1" si="7"/>
        <v>1</v>
      </c>
    </row>
    <row r="117" spans="1:5" x14ac:dyDescent="0.3">
      <c r="A117">
        <v>91</v>
      </c>
      <c r="B117">
        <f t="shared" ca="1" si="5"/>
        <v>8</v>
      </c>
      <c r="C117">
        <f t="shared" ca="1" si="6"/>
        <v>12</v>
      </c>
      <c r="D117">
        <f t="shared" ca="1" si="8"/>
        <v>20</v>
      </c>
      <c r="E117">
        <f t="shared" ca="1" si="7"/>
        <v>0</v>
      </c>
    </row>
    <row r="118" spans="1:5" x14ac:dyDescent="0.3">
      <c r="A118">
        <v>92</v>
      </c>
      <c r="B118">
        <f t="shared" ca="1" si="5"/>
        <v>12</v>
      </c>
      <c r="C118">
        <f t="shared" ca="1" si="6"/>
        <v>35</v>
      </c>
      <c r="D118">
        <f t="shared" ca="1" si="8"/>
        <v>47</v>
      </c>
      <c r="E118">
        <f t="shared" ca="1" si="7"/>
        <v>1</v>
      </c>
    </row>
    <row r="119" spans="1:5" x14ac:dyDescent="0.3">
      <c r="A119">
        <v>93</v>
      </c>
      <c r="B119">
        <f t="shared" ca="1" si="5"/>
        <v>13</v>
      </c>
      <c r="C119">
        <f t="shared" ca="1" si="6"/>
        <v>11</v>
      </c>
      <c r="D119">
        <f t="shared" ca="1" si="8"/>
        <v>24</v>
      </c>
      <c r="E119">
        <f t="shared" ca="1" si="7"/>
        <v>0</v>
      </c>
    </row>
    <row r="120" spans="1:5" x14ac:dyDescent="0.3">
      <c r="A120">
        <v>94</v>
      </c>
      <c r="B120">
        <f t="shared" ca="1" si="5"/>
        <v>27</v>
      </c>
      <c r="C120">
        <f t="shared" ca="1" si="6"/>
        <v>33</v>
      </c>
      <c r="D120">
        <f t="shared" ca="1" si="8"/>
        <v>60</v>
      </c>
      <c r="E120">
        <f t="shared" ca="1" si="7"/>
        <v>1</v>
      </c>
    </row>
    <row r="121" spans="1:5" x14ac:dyDescent="0.3">
      <c r="A121">
        <v>95</v>
      </c>
      <c r="B121">
        <f t="shared" ca="1" si="5"/>
        <v>21</v>
      </c>
      <c r="C121">
        <f t="shared" ca="1" si="6"/>
        <v>16</v>
      </c>
      <c r="D121">
        <f t="shared" ca="1" si="8"/>
        <v>37</v>
      </c>
      <c r="E121">
        <f t="shared" ca="1" si="7"/>
        <v>0</v>
      </c>
    </row>
    <row r="122" spans="1:5" x14ac:dyDescent="0.3">
      <c r="A122">
        <v>96</v>
      </c>
      <c r="B122">
        <f t="shared" ca="1" si="5"/>
        <v>45</v>
      </c>
      <c r="C122">
        <f t="shared" ca="1" si="6"/>
        <v>39</v>
      </c>
      <c r="D122">
        <f t="shared" ca="1" si="8"/>
        <v>84</v>
      </c>
      <c r="E122">
        <f t="shared" ca="1" si="7"/>
        <v>1</v>
      </c>
    </row>
    <row r="123" spans="1:5" x14ac:dyDescent="0.3">
      <c r="A123">
        <v>97</v>
      </c>
      <c r="B123">
        <f t="shared" ca="1" si="5"/>
        <v>22</v>
      </c>
      <c r="C123">
        <f t="shared" ca="1" si="6"/>
        <v>10</v>
      </c>
      <c r="D123">
        <f t="shared" ca="1" si="8"/>
        <v>32</v>
      </c>
      <c r="E123">
        <f t="shared" ca="1" si="7"/>
        <v>0</v>
      </c>
    </row>
    <row r="124" spans="1:5" x14ac:dyDescent="0.3">
      <c r="A124">
        <v>98</v>
      </c>
      <c r="B124">
        <f t="shared" ca="1" si="5"/>
        <v>28</v>
      </c>
      <c r="C124">
        <f t="shared" ca="1" si="6"/>
        <v>7</v>
      </c>
      <c r="D124">
        <f t="shared" ca="1" si="8"/>
        <v>35</v>
      </c>
      <c r="E124">
        <f t="shared" ca="1" si="7"/>
        <v>0</v>
      </c>
    </row>
    <row r="125" spans="1:5" x14ac:dyDescent="0.3">
      <c r="A125">
        <v>99</v>
      </c>
      <c r="B125">
        <f t="shared" ca="1" si="5"/>
        <v>29</v>
      </c>
      <c r="C125">
        <f t="shared" ca="1" si="6"/>
        <v>16</v>
      </c>
      <c r="D125">
        <f t="shared" ca="1" si="8"/>
        <v>45</v>
      </c>
      <c r="E125">
        <f t="shared" ca="1" si="7"/>
        <v>1</v>
      </c>
    </row>
    <row r="126" spans="1:5" x14ac:dyDescent="0.3">
      <c r="A126">
        <v>100</v>
      </c>
      <c r="B126">
        <f t="shared" ca="1" si="5"/>
        <v>57</v>
      </c>
      <c r="C126">
        <f t="shared" ca="1" si="6"/>
        <v>6</v>
      </c>
      <c r="D126">
        <f t="shared" ca="1" si="8"/>
        <v>63</v>
      </c>
      <c r="E126">
        <f t="shared" ca="1" si="7"/>
        <v>1</v>
      </c>
    </row>
    <row r="127" spans="1:5" x14ac:dyDescent="0.3">
      <c r="A127">
        <v>101</v>
      </c>
      <c r="B127">
        <f t="shared" ca="1" si="5"/>
        <v>34</v>
      </c>
      <c r="C127">
        <f t="shared" ca="1" si="6"/>
        <v>6</v>
      </c>
      <c r="D127">
        <f t="shared" ca="1" si="8"/>
        <v>40</v>
      </c>
      <c r="E127">
        <f t="shared" ca="1" si="7"/>
        <v>1</v>
      </c>
    </row>
    <row r="128" spans="1:5" x14ac:dyDescent="0.3">
      <c r="A128">
        <v>102</v>
      </c>
      <c r="B128">
        <f t="shared" ca="1" si="5"/>
        <v>55</v>
      </c>
      <c r="C128">
        <f t="shared" ca="1" si="6"/>
        <v>36</v>
      </c>
      <c r="D128">
        <f t="shared" ca="1" si="8"/>
        <v>91</v>
      </c>
      <c r="E128">
        <f t="shared" ca="1" si="7"/>
        <v>1</v>
      </c>
    </row>
    <row r="129" spans="1:5" x14ac:dyDescent="0.3">
      <c r="A129">
        <v>103</v>
      </c>
      <c r="B129">
        <f t="shared" ca="1" si="5"/>
        <v>35</v>
      </c>
      <c r="C129">
        <f t="shared" ca="1" si="6"/>
        <v>28</v>
      </c>
      <c r="D129">
        <f t="shared" ca="1" si="8"/>
        <v>63</v>
      </c>
      <c r="E129">
        <f t="shared" ca="1" si="7"/>
        <v>1</v>
      </c>
    </row>
    <row r="130" spans="1:5" x14ac:dyDescent="0.3">
      <c r="A130">
        <v>104</v>
      </c>
      <c r="B130">
        <f t="shared" ca="1" si="5"/>
        <v>39</v>
      </c>
      <c r="C130">
        <f t="shared" ca="1" si="6"/>
        <v>36</v>
      </c>
      <c r="D130">
        <f t="shared" ca="1" si="8"/>
        <v>75</v>
      </c>
      <c r="E130">
        <f t="shared" ca="1" si="7"/>
        <v>1</v>
      </c>
    </row>
    <row r="131" spans="1:5" x14ac:dyDescent="0.3">
      <c r="A131">
        <v>105</v>
      </c>
      <c r="B131">
        <f t="shared" ca="1" si="5"/>
        <v>14</v>
      </c>
      <c r="C131">
        <f t="shared" ca="1" si="6"/>
        <v>36</v>
      </c>
      <c r="D131">
        <f t="shared" ca="1" si="8"/>
        <v>50</v>
      </c>
      <c r="E131">
        <f t="shared" ca="1" si="7"/>
        <v>1</v>
      </c>
    </row>
    <row r="132" spans="1:5" x14ac:dyDescent="0.3">
      <c r="A132">
        <v>106</v>
      </c>
      <c r="B132">
        <f t="shared" ca="1" si="5"/>
        <v>48</v>
      </c>
      <c r="C132">
        <f t="shared" ca="1" si="6"/>
        <v>7</v>
      </c>
      <c r="D132">
        <f t="shared" ca="1" si="8"/>
        <v>55</v>
      </c>
      <c r="E132">
        <f t="shared" ca="1" si="7"/>
        <v>1</v>
      </c>
    </row>
    <row r="133" spans="1:5" x14ac:dyDescent="0.3">
      <c r="A133">
        <v>107</v>
      </c>
      <c r="B133">
        <f t="shared" ca="1" si="5"/>
        <v>36</v>
      </c>
      <c r="C133">
        <f t="shared" ca="1" si="6"/>
        <v>13</v>
      </c>
      <c r="D133">
        <f t="shared" ca="1" si="8"/>
        <v>49</v>
      </c>
      <c r="E133">
        <f t="shared" ca="1" si="7"/>
        <v>1</v>
      </c>
    </row>
    <row r="134" spans="1:5" x14ac:dyDescent="0.3">
      <c r="A134">
        <v>108</v>
      </c>
      <c r="B134">
        <f t="shared" ca="1" si="5"/>
        <v>39</v>
      </c>
      <c r="C134">
        <f t="shared" ca="1" si="6"/>
        <v>24</v>
      </c>
      <c r="D134">
        <f t="shared" ca="1" si="8"/>
        <v>63</v>
      </c>
      <c r="E134">
        <f t="shared" ca="1" si="7"/>
        <v>1</v>
      </c>
    </row>
    <row r="135" spans="1:5" x14ac:dyDescent="0.3">
      <c r="A135">
        <v>109</v>
      </c>
      <c r="B135">
        <f t="shared" ca="1" si="5"/>
        <v>48</v>
      </c>
      <c r="C135">
        <f t="shared" ca="1" si="6"/>
        <v>8</v>
      </c>
      <c r="D135">
        <f t="shared" ca="1" si="8"/>
        <v>56</v>
      </c>
      <c r="E135">
        <f t="shared" ca="1" si="7"/>
        <v>1</v>
      </c>
    </row>
    <row r="136" spans="1:5" x14ac:dyDescent="0.3">
      <c r="A136">
        <v>110</v>
      </c>
      <c r="B136">
        <f t="shared" ca="1" si="5"/>
        <v>39</v>
      </c>
      <c r="C136">
        <f t="shared" ca="1" si="6"/>
        <v>39</v>
      </c>
      <c r="D136">
        <f t="shared" ca="1" si="8"/>
        <v>78</v>
      </c>
      <c r="E136">
        <f t="shared" ca="1" si="7"/>
        <v>1</v>
      </c>
    </row>
    <row r="137" spans="1:5" x14ac:dyDescent="0.3">
      <c r="A137">
        <v>111</v>
      </c>
      <c r="B137">
        <f t="shared" ca="1" si="5"/>
        <v>30</v>
      </c>
      <c r="C137">
        <f t="shared" ca="1" si="6"/>
        <v>15</v>
      </c>
      <c r="D137">
        <f t="shared" ca="1" si="8"/>
        <v>45</v>
      </c>
      <c r="E137">
        <f t="shared" ca="1" si="7"/>
        <v>1</v>
      </c>
    </row>
    <row r="138" spans="1:5" x14ac:dyDescent="0.3">
      <c r="A138">
        <v>112</v>
      </c>
      <c r="B138">
        <f t="shared" ca="1" si="5"/>
        <v>37</v>
      </c>
      <c r="C138">
        <f t="shared" ca="1" si="6"/>
        <v>5</v>
      </c>
      <c r="D138">
        <f t="shared" ca="1" si="8"/>
        <v>42</v>
      </c>
      <c r="E138">
        <f t="shared" ca="1" si="7"/>
        <v>1</v>
      </c>
    </row>
    <row r="139" spans="1:5" x14ac:dyDescent="0.3">
      <c r="A139">
        <v>113</v>
      </c>
      <c r="B139">
        <f t="shared" ca="1" si="5"/>
        <v>19</v>
      </c>
      <c r="C139">
        <f t="shared" ca="1" si="6"/>
        <v>22</v>
      </c>
      <c r="D139">
        <f t="shared" ca="1" si="8"/>
        <v>41</v>
      </c>
      <c r="E139">
        <f t="shared" ca="1" si="7"/>
        <v>1</v>
      </c>
    </row>
    <row r="140" spans="1:5" x14ac:dyDescent="0.3">
      <c r="A140">
        <v>114</v>
      </c>
      <c r="B140">
        <f t="shared" ca="1" si="5"/>
        <v>13</v>
      </c>
      <c r="C140">
        <f t="shared" ca="1" si="6"/>
        <v>20</v>
      </c>
      <c r="D140">
        <f t="shared" ca="1" si="8"/>
        <v>33</v>
      </c>
      <c r="E140">
        <f t="shared" ca="1" si="7"/>
        <v>0</v>
      </c>
    </row>
    <row r="141" spans="1:5" x14ac:dyDescent="0.3">
      <c r="A141">
        <v>115</v>
      </c>
      <c r="B141">
        <f t="shared" ca="1" si="5"/>
        <v>49</v>
      </c>
      <c r="C141">
        <f t="shared" ca="1" si="6"/>
        <v>20</v>
      </c>
      <c r="D141">
        <f t="shared" ca="1" si="8"/>
        <v>69</v>
      </c>
      <c r="E141">
        <f t="shared" ca="1" si="7"/>
        <v>1</v>
      </c>
    </row>
    <row r="142" spans="1:5" x14ac:dyDescent="0.3">
      <c r="A142">
        <v>116</v>
      </c>
      <c r="B142">
        <f t="shared" ca="1" si="5"/>
        <v>16</v>
      </c>
      <c r="C142">
        <f t="shared" ca="1" si="6"/>
        <v>12</v>
      </c>
      <c r="D142">
        <f t="shared" ca="1" si="8"/>
        <v>28</v>
      </c>
      <c r="E142">
        <f t="shared" ca="1" si="7"/>
        <v>0</v>
      </c>
    </row>
    <row r="143" spans="1:5" x14ac:dyDescent="0.3">
      <c r="A143">
        <v>117</v>
      </c>
      <c r="B143">
        <f t="shared" ca="1" si="5"/>
        <v>48</v>
      </c>
      <c r="C143">
        <f t="shared" ca="1" si="6"/>
        <v>3</v>
      </c>
      <c r="D143">
        <f t="shared" ca="1" si="8"/>
        <v>51</v>
      </c>
      <c r="E143">
        <f t="shared" ca="1" si="7"/>
        <v>1</v>
      </c>
    </row>
    <row r="144" spans="1:5" x14ac:dyDescent="0.3">
      <c r="A144">
        <v>118</v>
      </c>
      <c r="B144">
        <f t="shared" ca="1" si="5"/>
        <v>23</v>
      </c>
      <c r="C144">
        <f t="shared" ca="1" si="6"/>
        <v>4</v>
      </c>
      <c r="D144">
        <f t="shared" ca="1" si="8"/>
        <v>27</v>
      </c>
      <c r="E144">
        <f t="shared" ca="1" si="7"/>
        <v>0</v>
      </c>
    </row>
    <row r="145" spans="1:5" x14ac:dyDescent="0.3">
      <c r="A145">
        <v>119</v>
      </c>
      <c r="B145">
        <f t="shared" ca="1" si="5"/>
        <v>59</v>
      </c>
      <c r="C145">
        <f t="shared" ca="1" si="6"/>
        <v>3</v>
      </c>
      <c r="D145">
        <f t="shared" ca="1" si="8"/>
        <v>62</v>
      </c>
      <c r="E145">
        <f t="shared" ca="1" si="7"/>
        <v>1</v>
      </c>
    </row>
    <row r="146" spans="1:5" x14ac:dyDescent="0.3">
      <c r="A146">
        <v>120</v>
      </c>
      <c r="B146">
        <f t="shared" ca="1" si="5"/>
        <v>42</v>
      </c>
      <c r="C146">
        <f t="shared" ca="1" si="6"/>
        <v>13</v>
      </c>
      <c r="D146">
        <f t="shared" ca="1" si="8"/>
        <v>55</v>
      </c>
      <c r="E146">
        <f t="shared" ca="1" si="7"/>
        <v>1</v>
      </c>
    </row>
    <row r="147" spans="1:5" x14ac:dyDescent="0.3">
      <c r="A147">
        <v>121</v>
      </c>
      <c r="B147">
        <f t="shared" ca="1" si="5"/>
        <v>35</v>
      </c>
      <c r="C147">
        <f t="shared" ca="1" si="6"/>
        <v>8</v>
      </c>
      <c r="D147">
        <f t="shared" ca="1" si="8"/>
        <v>43</v>
      </c>
      <c r="E147">
        <f t="shared" ca="1" si="7"/>
        <v>1</v>
      </c>
    </row>
    <row r="148" spans="1:5" x14ac:dyDescent="0.3">
      <c r="A148">
        <v>122</v>
      </c>
      <c r="B148">
        <f t="shared" ca="1" si="5"/>
        <v>24</v>
      </c>
      <c r="C148">
        <f t="shared" ca="1" si="6"/>
        <v>5</v>
      </c>
      <c r="D148">
        <f t="shared" ca="1" si="8"/>
        <v>29</v>
      </c>
      <c r="E148">
        <f t="shared" ca="1" si="7"/>
        <v>0</v>
      </c>
    </row>
    <row r="149" spans="1:5" x14ac:dyDescent="0.3">
      <c r="A149">
        <v>123</v>
      </c>
      <c r="B149">
        <f t="shared" ca="1" si="5"/>
        <v>39</v>
      </c>
      <c r="C149">
        <f t="shared" ca="1" si="6"/>
        <v>26</v>
      </c>
      <c r="D149">
        <f t="shared" ca="1" si="8"/>
        <v>65</v>
      </c>
      <c r="E149">
        <f t="shared" ca="1" si="7"/>
        <v>1</v>
      </c>
    </row>
    <row r="150" spans="1:5" x14ac:dyDescent="0.3">
      <c r="A150">
        <v>124</v>
      </c>
      <c r="B150">
        <f t="shared" ca="1" si="5"/>
        <v>42</v>
      </c>
      <c r="C150">
        <f t="shared" ca="1" si="6"/>
        <v>40</v>
      </c>
      <c r="D150">
        <f t="shared" ca="1" si="8"/>
        <v>82</v>
      </c>
      <c r="E150">
        <f t="shared" ca="1" si="7"/>
        <v>1</v>
      </c>
    </row>
    <row r="151" spans="1:5" x14ac:dyDescent="0.3">
      <c r="A151">
        <v>125</v>
      </c>
      <c r="B151">
        <f t="shared" ca="1" si="5"/>
        <v>38</v>
      </c>
      <c r="C151">
        <f t="shared" ca="1" si="6"/>
        <v>36</v>
      </c>
      <c r="D151">
        <f t="shared" ca="1" si="8"/>
        <v>74</v>
      </c>
      <c r="E151">
        <f t="shared" ca="1" si="7"/>
        <v>1</v>
      </c>
    </row>
    <row r="152" spans="1:5" x14ac:dyDescent="0.3">
      <c r="A152">
        <v>126</v>
      </c>
      <c r="B152">
        <f t="shared" ca="1" si="5"/>
        <v>22</v>
      </c>
      <c r="C152">
        <f t="shared" ca="1" si="6"/>
        <v>25</v>
      </c>
      <c r="D152">
        <f t="shared" ca="1" si="8"/>
        <v>47</v>
      </c>
      <c r="E152">
        <f t="shared" ca="1" si="7"/>
        <v>1</v>
      </c>
    </row>
    <row r="153" spans="1:5" x14ac:dyDescent="0.3">
      <c r="A153">
        <v>127</v>
      </c>
      <c r="B153">
        <f t="shared" ca="1" si="5"/>
        <v>30</v>
      </c>
      <c r="C153">
        <f t="shared" ca="1" si="6"/>
        <v>37</v>
      </c>
      <c r="D153">
        <f t="shared" ca="1" si="8"/>
        <v>67</v>
      </c>
      <c r="E153">
        <f t="shared" ca="1" si="7"/>
        <v>1</v>
      </c>
    </row>
    <row r="154" spans="1:5" x14ac:dyDescent="0.3">
      <c r="A154">
        <v>128</v>
      </c>
      <c r="B154">
        <f t="shared" ca="1" si="5"/>
        <v>14</v>
      </c>
      <c r="C154">
        <f t="shared" ca="1" si="6"/>
        <v>24</v>
      </c>
      <c r="D154">
        <f t="shared" ca="1" si="8"/>
        <v>38</v>
      </c>
      <c r="E154">
        <f t="shared" ca="1" si="7"/>
        <v>0</v>
      </c>
    </row>
    <row r="155" spans="1:5" x14ac:dyDescent="0.3">
      <c r="A155">
        <v>129</v>
      </c>
      <c r="B155">
        <f t="shared" ca="1" si="5"/>
        <v>52</v>
      </c>
      <c r="C155">
        <f t="shared" ca="1" si="6"/>
        <v>10</v>
      </c>
      <c r="D155">
        <f t="shared" ca="1" si="8"/>
        <v>62</v>
      </c>
      <c r="E155">
        <f t="shared" ca="1" si="7"/>
        <v>1</v>
      </c>
    </row>
    <row r="156" spans="1:5" x14ac:dyDescent="0.3">
      <c r="A156">
        <v>130</v>
      </c>
      <c r="B156">
        <f t="shared" ref="B156:B219" ca="1" si="9">RANDBETWEEN(5,60)</f>
        <v>23</v>
      </c>
      <c r="C156">
        <f t="shared" ref="C156:C219" ca="1" si="10">RANDBETWEEN(2,40)</f>
        <v>17</v>
      </c>
      <c r="D156">
        <f t="shared" ca="1" si="8"/>
        <v>40</v>
      </c>
      <c r="E156">
        <f t="shared" ref="E156:E219" ca="1" si="11">IF(D156&gt;=40,1,0)</f>
        <v>1</v>
      </c>
    </row>
    <row r="157" spans="1:5" x14ac:dyDescent="0.3">
      <c r="A157">
        <v>131</v>
      </c>
      <c r="B157">
        <f t="shared" ca="1" si="9"/>
        <v>47</v>
      </c>
      <c r="C157">
        <f t="shared" ca="1" si="10"/>
        <v>32</v>
      </c>
      <c r="D157">
        <f t="shared" ca="1" si="8"/>
        <v>79</v>
      </c>
      <c r="E157">
        <f t="shared" ca="1" si="11"/>
        <v>1</v>
      </c>
    </row>
    <row r="158" spans="1:5" x14ac:dyDescent="0.3">
      <c r="A158">
        <v>132</v>
      </c>
      <c r="B158">
        <f t="shared" ca="1" si="9"/>
        <v>35</v>
      </c>
      <c r="C158">
        <f t="shared" ca="1" si="10"/>
        <v>40</v>
      </c>
      <c r="D158">
        <f t="shared" ca="1" si="8"/>
        <v>75</v>
      </c>
      <c r="E158">
        <f t="shared" ca="1" si="11"/>
        <v>1</v>
      </c>
    </row>
    <row r="159" spans="1:5" x14ac:dyDescent="0.3">
      <c r="A159">
        <v>133</v>
      </c>
      <c r="B159">
        <f t="shared" ca="1" si="9"/>
        <v>9</v>
      </c>
      <c r="C159">
        <f t="shared" ca="1" si="10"/>
        <v>36</v>
      </c>
      <c r="D159">
        <f t="shared" ca="1" si="8"/>
        <v>45</v>
      </c>
      <c r="E159">
        <f t="shared" ca="1" si="11"/>
        <v>1</v>
      </c>
    </row>
    <row r="160" spans="1:5" x14ac:dyDescent="0.3">
      <c r="A160">
        <v>134</v>
      </c>
      <c r="B160">
        <f t="shared" ca="1" si="9"/>
        <v>46</v>
      </c>
      <c r="C160">
        <f t="shared" ca="1" si="10"/>
        <v>10</v>
      </c>
      <c r="D160">
        <f t="shared" ca="1" si="8"/>
        <v>56</v>
      </c>
      <c r="E160">
        <f t="shared" ca="1" si="11"/>
        <v>1</v>
      </c>
    </row>
    <row r="161" spans="1:5" x14ac:dyDescent="0.3">
      <c r="A161">
        <v>135</v>
      </c>
      <c r="B161">
        <f t="shared" ca="1" si="9"/>
        <v>55</v>
      </c>
      <c r="C161">
        <f t="shared" ca="1" si="10"/>
        <v>18</v>
      </c>
      <c r="D161">
        <f t="shared" ca="1" si="8"/>
        <v>73</v>
      </c>
      <c r="E161">
        <f t="shared" ca="1" si="11"/>
        <v>1</v>
      </c>
    </row>
    <row r="162" spans="1:5" x14ac:dyDescent="0.3">
      <c r="A162">
        <v>136</v>
      </c>
      <c r="B162">
        <f t="shared" ca="1" si="9"/>
        <v>30</v>
      </c>
      <c r="C162">
        <f t="shared" ca="1" si="10"/>
        <v>20</v>
      </c>
      <c r="D162">
        <f t="shared" ca="1" si="8"/>
        <v>50</v>
      </c>
      <c r="E162">
        <f t="shared" ca="1" si="11"/>
        <v>1</v>
      </c>
    </row>
    <row r="163" spans="1:5" x14ac:dyDescent="0.3">
      <c r="A163">
        <v>137</v>
      </c>
      <c r="B163">
        <f t="shared" ca="1" si="9"/>
        <v>48</v>
      </c>
      <c r="C163">
        <f t="shared" ca="1" si="10"/>
        <v>5</v>
      </c>
      <c r="D163">
        <f t="shared" ca="1" si="8"/>
        <v>53</v>
      </c>
      <c r="E163">
        <f t="shared" ca="1" si="11"/>
        <v>1</v>
      </c>
    </row>
    <row r="164" spans="1:5" x14ac:dyDescent="0.3">
      <c r="A164">
        <v>138</v>
      </c>
      <c r="B164">
        <f t="shared" ca="1" si="9"/>
        <v>31</v>
      </c>
      <c r="C164">
        <f t="shared" ca="1" si="10"/>
        <v>3</v>
      </c>
      <c r="D164">
        <f t="shared" ca="1" si="8"/>
        <v>34</v>
      </c>
      <c r="E164">
        <f t="shared" ca="1" si="11"/>
        <v>0</v>
      </c>
    </row>
    <row r="165" spans="1:5" x14ac:dyDescent="0.3">
      <c r="A165">
        <v>139</v>
      </c>
      <c r="B165">
        <f t="shared" ca="1" si="9"/>
        <v>19</v>
      </c>
      <c r="C165">
        <f t="shared" ca="1" si="10"/>
        <v>33</v>
      </c>
      <c r="D165">
        <f t="shared" ca="1" si="8"/>
        <v>52</v>
      </c>
      <c r="E165">
        <f t="shared" ca="1" si="11"/>
        <v>1</v>
      </c>
    </row>
    <row r="166" spans="1:5" x14ac:dyDescent="0.3">
      <c r="A166">
        <v>140</v>
      </c>
      <c r="B166">
        <f t="shared" ca="1" si="9"/>
        <v>16</v>
      </c>
      <c r="C166">
        <f t="shared" ca="1" si="10"/>
        <v>18</v>
      </c>
      <c r="D166">
        <f t="shared" ca="1" si="8"/>
        <v>34</v>
      </c>
      <c r="E166">
        <f t="shared" ca="1" si="11"/>
        <v>0</v>
      </c>
    </row>
    <row r="167" spans="1:5" x14ac:dyDescent="0.3">
      <c r="A167">
        <v>141</v>
      </c>
      <c r="B167">
        <f t="shared" ca="1" si="9"/>
        <v>22</v>
      </c>
      <c r="C167">
        <f t="shared" ca="1" si="10"/>
        <v>11</v>
      </c>
      <c r="D167">
        <f t="shared" ca="1" si="8"/>
        <v>33</v>
      </c>
      <c r="E167">
        <f t="shared" ca="1" si="11"/>
        <v>0</v>
      </c>
    </row>
    <row r="168" spans="1:5" x14ac:dyDescent="0.3">
      <c r="A168">
        <v>142</v>
      </c>
      <c r="B168">
        <f t="shared" ca="1" si="9"/>
        <v>15</v>
      </c>
      <c r="C168">
        <f t="shared" ca="1" si="10"/>
        <v>39</v>
      </c>
      <c r="D168">
        <f t="shared" ca="1" si="8"/>
        <v>54</v>
      </c>
      <c r="E168">
        <f t="shared" ca="1" si="11"/>
        <v>1</v>
      </c>
    </row>
    <row r="169" spans="1:5" x14ac:dyDescent="0.3">
      <c r="A169">
        <v>143</v>
      </c>
      <c r="B169">
        <f t="shared" ca="1" si="9"/>
        <v>15</v>
      </c>
      <c r="C169">
        <f t="shared" ca="1" si="10"/>
        <v>10</v>
      </c>
      <c r="D169">
        <f t="shared" ref="D169:D232" ca="1" si="12">B169+C169</f>
        <v>25</v>
      </c>
      <c r="E169">
        <f t="shared" ca="1" si="11"/>
        <v>0</v>
      </c>
    </row>
    <row r="170" spans="1:5" x14ac:dyDescent="0.3">
      <c r="A170">
        <v>144</v>
      </c>
      <c r="B170">
        <f t="shared" ca="1" si="9"/>
        <v>31</v>
      </c>
      <c r="C170">
        <f t="shared" ca="1" si="10"/>
        <v>2</v>
      </c>
      <c r="D170">
        <f t="shared" ca="1" si="12"/>
        <v>33</v>
      </c>
      <c r="E170">
        <f t="shared" ca="1" si="11"/>
        <v>0</v>
      </c>
    </row>
    <row r="171" spans="1:5" x14ac:dyDescent="0.3">
      <c r="A171">
        <v>145</v>
      </c>
      <c r="B171">
        <f t="shared" ca="1" si="9"/>
        <v>59</v>
      </c>
      <c r="C171">
        <f t="shared" ca="1" si="10"/>
        <v>29</v>
      </c>
      <c r="D171">
        <f t="shared" ca="1" si="12"/>
        <v>88</v>
      </c>
      <c r="E171">
        <f t="shared" ca="1" si="11"/>
        <v>1</v>
      </c>
    </row>
    <row r="172" spans="1:5" x14ac:dyDescent="0.3">
      <c r="A172">
        <v>146</v>
      </c>
      <c r="B172">
        <f t="shared" ca="1" si="9"/>
        <v>19</v>
      </c>
      <c r="C172">
        <f t="shared" ca="1" si="10"/>
        <v>10</v>
      </c>
      <c r="D172">
        <f t="shared" ca="1" si="12"/>
        <v>29</v>
      </c>
      <c r="E172">
        <f t="shared" ca="1" si="11"/>
        <v>0</v>
      </c>
    </row>
    <row r="173" spans="1:5" x14ac:dyDescent="0.3">
      <c r="A173">
        <v>147</v>
      </c>
      <c r="B173">
        <f t="shared" ca="1" si="9"/>
        <v>7</v>
      </c>
      <c r="C173">
        <f t="shared" ca="1" si="10"/>
        <v>17</v>
      </c>
      <c r="D173">
        <f t="shared" ca="1" si="12"/>
        <v>24</v>
      </c>
      <c r="E173">
        <f t="shared" ca="1" si="11"/>
        <v>0</v>
      </c>
    </row>
    <row r="174" spans="1:5" x14ac:dyDescent="0.3">
      <c r="A174">
        <v>148</v>
      </c>
      <c r="B174">
        <f t="shared" ca="1" si="9"/>
        <v>8</v>
      </c>
      <c r="C174">
        <f t="shared" ca="1" si="10"/>
        <v>2</v>
      </c>
      <c r="D174">
        <f t="shared" ca="1" si="12"/>
        <v>10</v>
      </c>
      <c r="E174">
        <f t="shared" ca="1" si="11"/>
        <v>0</v>
      </c>
    </row>
    <row r="175" spans="1:5" x14ac:dyDescent="0.3">
      <c r="A175">
        <v>149</v>
      </c>
      <c r="B175">
        <f t="shared" ca="1" si="9"/>
        <v>5</v>
      </c>
      <c r="C175">
        <f t="shared" ca="1" si="10"/>
        <v>26</v>
      </c>
      <c r="D175">
        <f t="shared" ca="1" si="12"/>
        <v>31</v>
      </c>
      <c r="E175">
        <f t="shared" ca="1" si="11"/>
        <v>0</v>
      </c>
    </row>
    <row r="176" spans="1:5" x14ac:dyDescent="0.3">
      <c r="A176">
        <v>150</v>
      </c>
      <c r="B176">
        <f t="shared" ca="1" si="9"/>
        <v>31</v>
      </c>
      <c r="C176">
        <f t="shared" ca="1" si="10"/>
        <v>21</v>
      </c>
      <c r="D176">
        <f t="shared" ca="1" si="12"/>
        <v>52</v>
      </c>
      <c r="E176">
        <f t="shared" ca="1" si="11"/>
        <v>1</v>
      </c>
    </row>
    <row r="177" spans="1:5" x14ac:dyDescent="0.3">
      <c r="A177">
        <v>151</v>
      </c>
      <c r="B177">
        <f t="shared" ca="1" si="9"/>
        <v>18</v>
      </c>
      <c r="C177">
        <f t="shared" ca="1" si="10"/>
        <v>16</v>
      </c>
      <c r="D177">
        <f t="shared" ca="1" si="12"/>
        <v>34</v>
      </c>
      <c r="E177">
        <f t="shared" ca="1" si="11"/>
        <v>0</v>
      </c>
    </row>
    <row r="178" spans="1:5" x14ac:dyDescent="0.3">
      <c r="A178">
        <v>152</v>
      </c>
      <c r="B178">
        <f t="shared" ca="1" si="9"/>
        <v>25</v>
      </c>
      <c r="C178">
        <f t="shared" ca="1" si="10"/>
        <v>13</v>
      </c>
      <c r="D178">
        <f t="shared" ca="1" si="12"/>
        <v>38</v>
      </c>
      <c r="E178">
        <f t="shared" ca="1" si="11"/>
        <v>0</v>
      </c>
    </row>
    <row r="179" spans="1:5" x14ac:dyDescent="0.3">
      <c r="A179">
        <v>153</v>
      </c>
      <c r="B179">
        <f t="shared" ca="1" si="9"/>
        <v>25</v>
      </c>
      <c r="C179">
        <f t="shared" ca="1" si="10"/>
        <v>26</v>
      </c>
      <c r="D179">
        <f t="shared" ca="1" si="12"/>
        <v>51</v>
      </c>
      <c r="E179">
        <f t="shared" ca="1" si="11"/>
        <v>1</v>
      </c>
    </row>
    <row r="180" spans="1:5" x14ac:dyDescent="0.3">
      <c r="A180">
        <v>154</v>
      </c>
      <c r="B180">
        <f t="shared" ca="1" si="9"/>
        <v>24</v>
      </c>
      <c r="C180">
        <f t="shared" ca="1" si="10"/>
        <v>32</v>
      </c>
      <c r="D180">
        <f t="shared" ca="1" si="12"/>
        <v>56</v>
      </c>
      <c r="E180">
        <f t="shared" ca="1" si="11"/>
        <v>1</v>
      </c>
    </row>
    <row r="181" spans="1:5" x14ac:dyDescent="0.3">
      <c r="A181">
        <v>155</v>
      </c>
      <c r="B181">
        <f t="shared" ca="1" si="9"/>
        <v>42</v>
      </c>
      <c r="C181">
        <f t="shared" ca="1" si="10"/>
        <v>15</v>
      </c>
      <c r="D181">
        <f t="shared" ca="1" si="12"/>
        <v>57</v>
      </c>
      <c r="E181">
        <f t="shared" ca="1" si="11"/>
        <v>1</v>
      </c>
    </row>
    <row r="182" spans="1:5" x14ac:dyDescent="0.3">
      <c r="A182">
        <v>156</v>
      </c>
      <c r="B182">
        <f t="shared" ca="1" si="9"/>
        <v>60</v>
      </c>
      <c r="C182">
        <f t="shared" ca="1" si="10"/>
        <v>27</v>
      </c>
      <c r="D182">
        <f t="shared" ca="1" si="12"/>
        <v>87</v>
      </c>
      <c r="E182">
        <f t="shared" ca="1" si="11"/>
        <v>1</v>
      </c>
    </row>
    <row r="183" spans="1:5" x14ac:dyDescent="0.3">
      <c r="A183">
        <v>157</v>
      </c>
      <c r="B183">
        <f t="shared" ca="1" si="9"/>
        <v>27</v>
      </c>
      <c r="C183">
        <f t="shared" ca="1" si="10"/>
        <v>30</v>
      </c>
      <c r="D183">
        <f t="shared" ca="1" si="12"/>
        <v>57</v>
      </c>
      <c r="E183">
        <f t="shared" ca="1" si="11"/>
        <v>1</v>
      </c>
    </row>
    <row r="184" spans="1:5" x14ac:dyDescent="0.3">
      <c r="A184">
        <v>158</v>
      </c>
      <c r="B184">
        <f t="shared" ca="1" si="9"/>
        <v>25</v>
      </c>
      <c r="C184">
        <f t="shared" ca="1" si="10"/>
        <v>8</v>
      </c>
      <c r="D184">
        <f t="shared" ca="1" si="12"/>
        <v>33</v>
      </c>
      <c r="E184">
        <f t="shared" ca="1" si="11"/>
        <v>0</v>
      </c>
    </row>
    <row r="185" spans="1:5" x14ac:dyDescent="0.3">
      <c r="A185">
        <v>159</v>
      </c>
      <c r="B185">
        <f t="shared" ca="1" si="9"/>
        <v>35</v>
      </c>
      <c r="C185">
        <f t="shared" ca="1" si="10"/>
        <v>26</v>
      </c>
      <c r="D185">
        <f t="shared" ca="1" si="12"/>
        <v>61</v>
      </c>
      <c r="E185">
        <f t="shared" ca="1" si="11"/>
        <v>1</v>
      </c>
    </row>
    <row r="186" spans="1:5" x14ac:dyDescent="0.3">
      <c r="A186">
        <v>160</v>
      </c>
      <c r="B186">
        <f t="shared" ca="1" si="9"/>
        <v>52</v>
      </c>
      <c r="C186">
        <f t="shared" ca="1" si="10"/>
        <v>7</v>
      </c>
      <c r="D186">
        <f t="shared" ca="1" si="12"/>
        <v>59</v>
      </c>
      <c r="E186">
        <f t="shared" ca="1" si="11"/>
        <v>1</v>
      </c>
    </row>
    <row r="187" spans="1:5" x14ac:dyDescent="0.3">
      <c r="A187">
        <v>161</v>
      </c>
      <c r="B187">
        <f t="shared" ca="1" si="9"/>
        <v>34</v>
      </c>
      <c r="C187">
        <f t="shared" ca="1" si="10"/>
        <v>25</v>
      </c>
      <c r="D187">
        <f t="shared" ca="1" si="12"/>
        <v>59</v>
      </c>
      <c r="E187">
        <f t="shared" ca="1" si="11"/>
        <v>1</v>
      </c>
    </row>
    <row r="188" spans="1:5" x14ac:dyDescent="0.3">
      <c r="A188">
        <v>162</v>
      </c>
      <c r="B188">
        <f t="shared" ca="1" si="9"/>
        <v>30</v>
      </c>
      <c r="C188">
        <f t="shared" ca="1" si="10"/>
        <v>26</v>
      </c>
      <c r="D188">
        <f t="shared" ca="1" si="12"/>
        <v>56</v>
      </c>
      <c r="E188">
        <f t="shared" ca="1" si="11"/>
        <v>1</v>
      </c>
    </row>
    <row r="189" spans="1:5" x14ac:dyDescent="0.3">
      <c r="A189">
        <v>163</v>
      </c>
      <c r="B189">
        <f t="shared" ca="1" si="9"/>
        <v>11</v>
      </c>
      <c r="C189">
        <f t="shared" ca="1" si="10"/>
        <v>33</v>
      </c>
      <c r="D189">
        <f t="shared" ca="1" si="12"/>
        <v>44</v>
      </c>
      <c r="E189">
        <f t="shared" ca="1" si="11"/>
        <v>1</v>
      </c>
    </row>
    <row r="190" spans="1:5" x14ac:dyDescent="0.3">
      <c r="A190">
        <v>164</v>
      </c>
      <c r="B190">
        <f t="shared" ca="1" si="9"/>
        <v>59</v>
      </c>
      <c r="C190">
        <f t="shared" ca="1" si="10"/>
        <v>5</v>
      </c>
      <c r="D190">
        <f t="shared" ca="1" si="12"/>
        <v>64</v>
      </c>
      <c r="E190">
        <f t="shared" ca="1" si="11"/>
        <v>1</v>
      </c>
    </row>
    <row r="191" spans="1:5" x14ac:dyDescent="0.3">
      <c r="A191">
        <v>165</v>
      </c>
      <c r="B191">
        <f t="shared" ca="1" si="9"/>
        <v>19</v>
      </c>
      <c r="C191">
        <f t="shared" ca="1" si="10"/>
        <v>38</v>
      </c>
      <c r="D191">
        <f t="shared" ca="1" si="12"/>
        <v>57</v>
      </c>
      <c r="E191">
        <f t="shared" ca="1" si="11"/>
        <v>1</v>
      </c>
    </row>
    <row r="192" spans="1:5" x14ac:dyDescent="0.3">
      <c r="A192">
        <v>166</v>
      </c>
      <c r="B192">
        <f t="shared" ca="1" si="9"/>
        <v>7</v>
      </c>
      <c r="C192">
        <f t="shared" ca="1" si="10"/>
        <v>37</v>
      </c>
      <c r="D192">
        <f t="shared" ca="1" si="12"/>
        <v>44</v>
      </c>
      <c r="E192">
        <f t="shared" ca="1" si="11"/>
        <v>1</v>
      </c>
    </row>
    <row r="193" spans="1:5" x14ac:dyDescent="0.3">
      <c r="A193">
        <v>167</v>
      </c>
      <c r="B193">
        <f t="shared" ca="1" si="9"/>
        <v>18</v>
      </c>
      <c r="C193">
        <f t="shared" ca="1" si="10"/>
        <v>15</v>
      </c>
      <c r="D193">
        <f t="shared" ca="1" si="12"/>
        <v>33</v>
      </c>
      <c r="E193">
        <f t="shared" ca="1" si="11"/>
        <v>0</v>
      </c>
    </row>
    <row r="194" spans="1:5" x14ac:dyDescent="0.3">
      <c r="A194">
        <v>168</v>
      </c>
      <c r="B194">
        <f t="shared" ca="1" si="9"/>
        <v>42</v>
      </c>
      <c r="C194">
        <f t="shared" ca="1" si="10"/>
        <v>7</v>
      </c>
      <c r="D194">
        <f t="shared" ca="1" si="12"/>
        <v>49</v>
      </c>
      <c r="E194">
        <f t="shared" ca="1" si="11"/>
        <v>1</v>
      </c>
    </row>
    <row r="195" spans="1:5" x14ac:dyDescent="0.3">
      <c r="A195">
        <v>169</v>
      </c>
      <c r="B195">
        <f t="shared" ca="1" si="9"/>
        <v>50</v>
      </c>
      <c r="C195">
        <f t="shared" ca="1" si="10"/>
        <v>33</v>
      </c>
      <c r="D195">
        <f t="shared" ca="1" si="12"/>
        <v>83</v>
      </c>
      <c r="E195">
        <f t="shared" ca="1" si="11"/>
        <v>1</v>
      </c>
    </row>
    <row r="196" spans="1:5" x14ac:dyDescent="0.3">
      <c r="A196">
        <v>170</v>
      </c>
      <c r="B196">
        <f t="shared" ca="1" si="9"/>
        <v>48</v>
      </c>
      <c r="C196">
        <f t="shared" ca="1" si="10"/>
        <v>33</v>
      </c>
      <c r="D196">
        <f t="shared" ca="1" si="12"/>
        <v>81</v>
      </c>
      <c r="E196">
        <f t="shared" ca="1" si="11"/>
        <v>1</v>
      </c>
    </row>
    <row r="197" spans="1:5" x14ac:dyDescent="0.3">
      <c r="A197">
        <v>171</v>
      </c>
      <c r="B197">
        <f t="shared" ca="1" si="9"/>
        <v>33</v>
      </c>
      <c r="C197">
        <f t="shared" ca="1" si="10"/>
        <v>7</v>
      </c>
      <c r="D197">
        <f t="shared" ca="1" si="12"/>
        <v>40</v>
      </c>
      <c r="E197">
        <f t="shared" ca="1" si="11"/>
        <v>1</v>
      </c>
    </row>
    <row r="198" spans="1:5" x14ac:dyDescent="0.3">
      <c r="A198">
        <v>172</v>
      </c>
      <c r="B198">
        <f t="shared" ca="1" si="9"/>
        <v>15</v>
      </c>
      <c r="C198">
        <f t="shared" ca="1" si="10"/>
        <v>14</v>
      </c>
      <c r="D198">
        <f t="shared" ca="1" si="12"/>
        <v>29</v>
      </c>
      <c r="E198">
        <f t="shared" ca="1" si="11"/>
        <v>0</v>
      </c>
    </row>
    <row r="199" spans="1:5" x14ac:dyDescent="0.3">
      <c r="A199">
        <v>173</v>
      </c>
      <c r="B199">
        <f t="shared" ca="1" si="9"/>
        <v>26</v>
      </c>
      <c r="C199">
        <f t="shared" ca="1" si="10"/>
        <v>5</v>
      </c>
      <c r="D199">
        <f t="shared" ca="1" si="12"/>
        <v>31</v>
      </c>
      <c r="E199">
        <f t="shared" ca="1" si="11"/>
        <v>0</v>
      </c>
    </row>
    <row r="200" spans="1:5" x14ac:dyDescent="0.3">
      <c r="A200">
        <v>174</v>
      </c>
      <c r="B200">
        <f t="shared" ca="1" si="9"/>
        <v>44</v>
      </c>
      <c r="C200">
        <f t="shared" ca="1" si="10"/>
        <v>9</v>
      </c>
      <c r="D200">
        <f t="shared" ca="1" si="12"/>
        <v>53</v>
      </c>
      <c r="E200">
        <f t="shared" ca="1" si="11"/>
        <v>1</v>
      </c>
    </row>
    <row r="201" spans="1:5" x14ac:dyDescent="0.3">
      <c r="A201">
        <v>175</v>
      </c>
      <c r="B201">
        <f t="shared" ca="1" si="9"/>
        <v>35</v>
      </c>
      <c r="C201">
        <f t="shared" ca="1" si="10"/>
        <v>39</v>
      </c>
      <c r="D201">
        <f t="shared" ca="1" si="12"/>
        <v>74</v>
      </c>
      <c r="E201">
        <f t="shared" ca="1" si="11"/>
        <v>1</v>
      </c>
    </row>
    <row r="202" spans="1:5" x14ac:dyDescent="0.3">
      <c r="A202">
        <v>176</v>
      </c>
      <c r="B202">
        <f t="shared" ca="1" si="9"/>
        <v>11</v>
      </c>
      <c r="C202">
        <f t="shared" ca="1" si="10"/>
        <v>7</v>
      </c>
      <c r="D202">
        <f t="shared" ca="1" si="12"/>
        <v>18</v>
      </c>
      <c r="E202">
        <f t="shared" ca="1" si="11"/>
        <v>0</v>
      </c>
    </row>
    <row r="203" spans="1:5" x14ac:dyDescent="0.3">
      <c r="A203">
        <v>177</v>
      </c>
      <c r="B203">
        <f t="shared" ca="1" si="9"/>
        <v>44</v>
      </c>
      <c r="C203">
        <f t="shared" ca="1" si="10"/>
        <v>20</v>
      </c>
      <c r="D203">
        <f t="shared" ca="1" si="12"/>
        <v>64</v>
      </c>
      <c r="E203">
        <f t="shared" ca="1" si="11"/>
        <v>1</v>
      </c>
    </row>
    <row r="204" spans="1:5" x14ac:dyDescent="0.3">
      <c r="A204">
        <v>178</v>
      </c>
      <c r="B204">
        <f t="shared" ca="1" si="9"/>
        <v>41</v>
      </c>
      <c r="C204">
        <f t="shared" ca="1" si="10"/>
        <v>12</v>
      </c>
      <c r="D204">
        <f t="shared" ca="1" si="12"/>
        <v>53</v>
      </c>
      <c r="E204">
        <f t="shared" ca="1" si="11"/>
        <v>1</v>
      </c>
    </row>
    <row r="205" spans="1:5" x14ac:dyDescent="0.3">
      <c r="A205">
        <v>179</v>
      </c>
      <c r="B205">
        <f t="shared" ca="1" si="9"/>
        <v>11</v>
      </c>
      <c r="C205">
        <f t="shared" ca="1" si="10"/>
        <v>23</v>
      </c>
      <c r="D205">
        <f t="shared" ca="1" si="12"/>
        <v>34</v>
      </c>
      <c r="E205">
        <f t="shared" ca="1" si="11"/>
        <v>0</v>
      </c>
    </row>
    <row r="206" spans="1:5" x14ac:dyDescent="0.3">
      <c r="A206">
        <v>180</v>
      </c>
      <c r="B206">
        <f t="shared" ca="1" si="9"/>
        <v>10</v>
      </c>
      <c r="C206">
        <f t="shared" ca="1" si="10"/>
        <v>31</v>
      </c>
      <c r="D206">
        <f t="shared" ca="1" si="12"/>
        <v>41</v>
      </c>
      <c r="E206">
        <f t="shared" ca="1" si="11"/>
        <v>1</v>
      </c>
    </row>
    <row r="207" spans="1:5" x14ac:dyDescent="0.3">
      <c r="A207">
        <v>181</v>
      </c>
      <c r="B207">
        <f t="shared" ca="1" si="9"/>
        <v>49</v>
      </c>
      <c r="C207">
        <f t="shared" ca="1" si="10"/>
        <v>14</v>
      </c>
      <c r="D207">
        <f t="shared" ca="1" si="12"/>
        <v>63</v>
      </c>
      <c r="E207">
        <f t="shared" ca="1" si="11"/>
        <v>1</v>
      </c>
    </row>
    <row r="208" spans="1:5" x14ac:dyDescent="0.3">
      <c r="A208">
        <v>182</v>
      </c>
      <c r="B208">
        <f t="shared" ca="1" si="9"/>
        <v>44</v>
      </c>
      <c r="C208">
        <f t="shared" ca="1" si="10"/>
        <v>34</v>
      </c>
      <c r="D208">
        <f t="shared" ca="1" si="12"/>
        <v>78</v>
      </c>
      <c r="E208">
        <f t="shared" ca="1" si="11"/>
        <v>1</v>
      </c>
    </row>
    <row r="209" spans="1:5" x14ac:dyDescent="0.3">
      <c r="A209">
        <v>183</v>
      </c>
      <c r="B209">
        <f t="shared" ca="1" si="9"/>
        <v>53</v>
      </c>
      <c r="C209">
        <f t="shared" ca="1" si="10"/>
        <v>12</v>
      </c>
      <c r="D209">
        <f t="shared" ca="1" si="12"/>
        <v>65</v>
      </c>
      <c r="E209">
        <f t="shared" ca="1" si="11"/>
        <v>1</v>
      </c>
    </row>
    <row r="210" spans="1:5" x14ac:dyDescent="0.3">
      <c r="A210">
        <v>184</v>
      </c>
      <c r="B210">
        <f t="shared" ca="1" si="9"/>
        <v>11</v>
      </c>
      <c r="C210">
        <f t="shared" ca="1" si="10"/>
        <v>29</v>
      </c>
      <c r="D210">
        <f t="shared" ca="1" si="12"/>
        <v>40</v>
      </c>
      <c r="E210">
        <f t="shared" ca="1" si="11"/>
        <v>1</v>
      </c>
    </row>
    <row r="211" spans="1:5" x14ac:dyDescent="0.3">
      <c r="A211">
        <v>185</v>
      </c>
      <c r="B211">
        <f t="shared" ca="1" si="9"/>
        <v>51</v>
      </c>
      <c r="C211">
        <f t="shared" ca="1" si="10"/>
        <v>15</v>
      </c>
      <c r="D211">
        <f t="shared" ca="1" si="12"/>
        <v>66</v>
      </c>
      <c r="E211">
        <f t="shared" ca="1" si="11"/>
        <v>1</v>
      </c>
    </row>
    <row r="212" spans="1:5" x14ac:dyDescent="0.3">
      <c r="A212">
        <v>186</v>
      </c>
      <c r="B212">
        <f t="shared" ca="1" si="9"/>
        <v>29</v>
      </c>
      <c r="C212">
        <f t="shared" ca="1" si="10"/>
        <v>40</v>
      </c>
      <c r="D212">
        <f t="shared" ca="1" si="12"/>
        <v>69</v>
      </c>
      <c r="E212">
        <f t="shared" ca="1" si="11"/>
        <v>1</v>
      </c>
    </row>
    <row r="213" spans="1:5" x14ac:dyDescent="0.3">
      <c r="A213">
        <v>187</v>
      </c>
      <c r="B213">
        <f t="shared" ca="1" si="9"/>
        <v>21</v>
      </c>
      <c r="C213">
        <f t="shared" ca="1" si="10"/>
        <v>20</v>
      </c>
      <c r="D213">
        <f t="shared" ca="1" si="12"/>
        <v>41</v>
      </c>
      <c r="E213">
        <f t="shared" ca="1" si="11"/>
        <v>1</v>
      </c>
    </row>
    <row r="214" spans="1:5" x14ac:dyDescent="0.3">
      <c r="A214">
        <v>188</v>
      </c>
      <c r="B214">
        <f t="shared" ca="1" si="9"/>
        <v>25</v>
      </c>
      <c r="C214">
        <f t="shared" ca="1" si="10"/>
        <v>6</v>
      </c>
      <c r="D214">
        <f t="shared" ca="1" si="12"/>
        <v>31</v>
      </c>
      <c r="E214">
        <f t="shared" ca="1" si="11"/>
        <v>0</v>
      </c>
    </row>
    <row r="215" spans="1:5" x14ac:dyDescent="0.3">
      <c r="A215">
        <v>189</v>
      </c>
      <c r="B215">
        <f t="shared" ca="1" si="9"/>
        <v>21</v>
      </c>
      <c r="C215">
        <f t="shared" ca="1" si="10"/>
        <v>30</v>
      </c>
      <c r="D215">
        <f t="shared" ca="1" si="12"/>
        <v>51</v>
      </c>
      <c r="E215">
        <f t="shared" ca="1" si="11"/>
        <v>1</v>
      </c>
    </row>
    <row r="216" spans="1:5" x14ac:dyDescent="0.3">
      <c r="A216">
        <v>190</v>
      </c>
      <c r="B216">
        <f t="shared" ca="1" si="9"/>
        <v>41</v>
      </c>
      <c r="C216">
        <f t="shared" ca="1" si="10"/>
        <v>19</v>
      </c>
      <c r="D216">
        <f t="shared" ca="1" si="12"/>
        <v>60</v>
      </c>
      <c r="E216">
        <f t="shared" ca="1" si="11"/>
        <v>1</v>
      </c>
    </row>
    <row r="217" spans="1:5" x14ac:dyDescent="0.3">
      <c r="A217">
        <v>191</v>
      </c>
      <c r="B217">
        <f t="shared" ca="1" si="9"/>
        <v>52</v>
      </c>
      <c r="C217">
        <f t="shared" ca="1" si="10"/>
        <v>18</v>
      </c>
      <c r="D217">
        <f t="shared" ca="1" si="12"/>
        <v>70</v>
      </c>
      <c r="E217">
        <f t="shared" ca="1" si="11"/>
        <v>1</v>
      </c>
    </row>
    <row r="218" spans="1:5" x14ac:dyDescent="0.3">
      <c r="A218">
        <v>192</v>
      </c>
      <c r="B218">
        <f t="shared" ca="1" si="9"/>
        <v>35</v>
      </c>
      <c r="C218">
        <f t="shared" ca="1" si="10"/>
        <v>28</v>
      </c>
      <c r="D218">
        <f t="shared" ca="1" si="12"/>
        <v>63</v>
      </c>
      <c r="E218">
        <f t="shared" ca="1" si="11"/>
        <v>1</v>
      </c>
    </row>
    <row r="219" spans="1:5" x14ac:dyDescent="0.3">
      <c r="A219">
        <v>193</v>
      </c>
      <c r="B219">
        <f t="shared" ca="1" si="9"/>
        <v>9</v>
      </c>
      <c r="C219">
        <f t="shared" ca="1" si="10"/>
        <v>28</v>
      </c>
      <c r="D219">
        <f t="shared" ca="1" si="12"/>
        <v>37</v>
      </c>
      <c r="E219">
        <f t="shared" ca="1" si="11"/>
        <v>0</v>
      </c>
    </row>
    <row r="220" spans="1:5" x14ac:dyDescent="0.3">
      <c r="A220">
        <v>194</v>
      </c>
      <c r="B220">
        <f t="shared" ref="B220:B284" ca="1" si="13">RANDBETWEEN(5,60)</f>
        <v>32</v>
      </c>
      <c r="C220">
        <f t="shared" ref="C220:C284" ca="1" si="14">RANDBETWEEN(2,40)</f>
        <v>7</v>
      </c>
      <c r="D220">
        <f t="shared" ca="1" si="12"/>
        <v>39</v>
      </c>
      <c r="E220">
        <f t="shared" ref="E220:E283" ca="1" si="15">IF(D220&gt;=40,1,0)</f>
        <v>0</v>
      </c>
    </row>
    <row r="221" spans="1:5" x14ac:dyDescent="0.3">
      <c r="A221">
        <v>195</v>
      </c>
      <c r="B221">
        <f t="shared" ca="1" si="13"/>
        <v>24</v>
      </c>
      <c r="C221">
        <f t="shared" ca="1" si="14"/>
        <v>31</v>
      </c>
      <c r="D221">
        <f t="shared" ca="1" si="12"/>
        <v>55</v>
      </c>
      <c r="E221">
        <f t="shared" ca="1" si="15"/>
        <v>1</v>
      </c>
    </row>
    <row r="222" spans="1:5" x14ac:dyDescent="0.3">
      <c r="A222">
        <v>196</v>
      </c>
      <c r="B222">
        <f t="shared" ca="1" si="13"/>
        <v>30</v>
      </c>
      <c r="C222">
        <f t="shared" ca="1" si="14"/>
        <v>9</v>
      </c>
      <c r="D222">
        <f t="shared" ca="1" si="12"/>
        <v>39</v>
      </c>
      <c r="E222">
        <f t="shared" ca="1" si="15"/>
        <v>0</v>
      </c>
    </row>
    <row r="223" spans="1:5" x14ac:dyDescent="0.3">
      <c r="A223">
        <v>197</v>
      </c>
      <c r="B223">
        <f t="shared" ca="1" si="13"/>
        <v>42</v>
      </c>
      <c r="C223">
        <f t="shared" ca="1" si="14"/>
        <v>15</v>
      </c>
      <c r="D223">
        <f t="shared" ca="1" si="12"/>
        <v>57</v>
      </c>
      <c r="E223">
        <f t="shared" ca="1" si="15"/>
        <v>1</v>
      </c>
    </row>
    <row r="224" spans="1:5" x14ac:dyDescent="0.3">
      <c r="A224">
        <v>198</v>
      </c>
      <c r="B224">
        <f t="shared" ca="1" si="13"/>
        <v>28</v>
      </c>
      <c r="C224">
        <f t="shared" ca="1" si="14"/>
        <v>6</v>
      </c>
      <c r="D224">
        <f t="shared" ca="1" si="12"/>
        <v>34</v>
      </c>
      <c r="E224">
        <f t="shared" ca="1" si="15"/>
        <v>0</v>
      </c>
    </row>
    <row r="225" spans="1:5" x14ac:dyDescent="0.3">
      <c r="A225">
        <v>199</v>
      </c>
      <c r="B225">
        <f t="shared" ca="1" si="13"/>
        <v>28</v>
      </c>
      <c r="C225">
        <f t="shared" ca="1" si="14"/>
        <v>3</v>
      </c>
      <c r="D225">
        <f t="shared" ca="1" si="12"/>
        <v>31</v>
      </c>
      <c r="E225">
        <f t="shared" ca="1" si="15"/>
        <v>0</v>
      </c>
    </row>
    <row r="226" spans="1:5" x14ac:dyDescent="0.3">
      <c r="A226">
        <v>200</v>
      </c>
      <c r="B226">
        <f t="shared" ca="1" si="13"/>
        <v>36</v>
      </c>
      <c r="C226">
        <f t="shared" ca="1" si="14"/>
        <v>36</v>
      </c>
      <c r="D226">
        <f t="shared" ca="1" si="12"/>
        <v>72</v>
      </c>
      <c r="E226">
        <f t="shared" ca="1" si="15"/>
        <v>1</v>
      </c>
    </row>
    <row r="227" spans="1:5" x14ac:dyDescent="0.3">
      <c r="A227">
        <v>201</v>
      </c>
      <c r="B227">
        <f t="shared" ca="1" si="13"/>
        <v>23</v>
      </c>
      <c r="C227">
        <f t="shared" ca="1" si="14"/>
        <v>29</v>
      </c>
      <c r="D227">
        <f t="shared" ca="1" si="12"/>
        <v>52</v>
      </c>
      <c r="E227">
        <f t="shared" ca="1" si="15"/>
        <v>1</v>
      </c>
    </row>
    <row r="228" spans="1:5" x14ac:dyDescent="0.3">
      <c r="A228">
        <v>202</v>
      </c>
      <c r="B228">
        <f t="shared" ca="1" si="13"/>
        <v>35</v>
      </c>
      <c r="C228">
        <f t="shared" ca="1" si="14"/>
        <v>40</v>
      </c>
      <c r="D228">
        <f t="shared" ca="1" si="12"/>
        <v>75</v>
      </c>
      <c r="E228">
        <f t="shared" ca="1" si="15"/>
        <v>1</v>
      </c>
    </row>
    <row r="229" spans="1:5" x14ac:dyDescent="0.3">
      <c r="A229">
        <v>203</v>
      </c>
      <c r="B229">
        <f t="shared" ca="1" si="13"/>
        <v>10</v>
      </c>
      <c r="C229">
        <f t="shared" ca="1" si="14"/>
        <v>22</v>
      </c>
      <c r="D229">
        <f t="shared" ca="1" si="12"/>
        <v>32</v>
      </c>
      <c r="E229">
        <f t="shared" ca="1" si="15"/>
        <v>0</v>
      </c>
    </row>
    <row r="230" spans="1:5" x14ac:dyDescent="0.3">
      <c r="A230">
        <v>204</v>
      </c>
      <c r="B230">
        <f t="shared" ca="1" si="13"/>
        <v>48</v>
      </c>
      <c r="C230">
        <f t="shared" ca="1" si="14"/>
        <v>8</v>
      </c>
      <c r="D230">
        <f t="shared" ca="1" si="12"/>
        <v>56</v>
      </c>
      <c r="E230">
        <f t="shared" ca="1" si="15"/>
        <v>1</v>
      </c>
    </row>
    <row r="231" spans="1:5" x14ac:dyDescent="0.3">
      <c r="A231">
        <v>205</v>
      </c>
      <c r="B231">
        <f t="shared" ca="1" si="13"/>
        <v>32</v>
      </c>
      <c r="C231">
        <f t="shared" ca="1" si="14"/>
        <v>11</v>
      </c>
      <c r="D231">
        <f t="shared" ca="1" si="12"/>
        <v>43</v>
      </c>
      <c r="E231">
        <f t="shared" ca="1" si="15"/>
        <v>1</v>
      </c>
    </row>
    <row r="232" spans="1:5" x14ac:dyDescent="0.3">
      <c r="A232">
        <v>206</v>
      </c>
      <c r="B232">
        <f t="shared" ca="1" si="13"/>
        <v>48</v>
      </c>
      <c r="C232">
        <f t="shared" ca="1" si="14"/>
        <v>40</v>
      </c>
      <c r="D232">
        <f t="shared" ca="1" si="12"/>
        <v>88</v>
      </c>
      <c r="E232">
        <f t="shared" ca="1" si="15"/>
        <v>1</v>
      </c>
    </row>
    <row r="233" spans="1:5" x14ac:dyDescent="0.3">
      <c r="A233">
        <v>207</v>
      </c>
      <c r="B233">
        <f t="shared" ca="1" si="13"/>
        <v>22</v>
      </c>
      <c r="C233">
        <f t="shared" ca="1" si="14"/>
        <v>22</v>
      </c>
      <c r="D233">
        <f t="shared" ref="D233:D283" ca="1" si="16">B233+C233</f>
        <v>44</v>
      </c>
      <c r="E233">
        <f t="shared" ca="1" si="15"/>
        <v>1</v>
      </c>
    </row>
    <row r="234" spans="1:5" x14ac:dyDescent="0.3">
      <c r="A234">
        <v>208</v>
      </c>
      <c r="B234">
        <f t="shared" ca="1" si="13"/>
        <v>44</v>
      </c>
      <c r="C234">
        <f t="shared" ca="1" si="14"/>
        <v>17</v>
      </c>
      <c r="D234">
        <f t="shared" ca="1" si="16"/>
        <v>61</v>
      </c>
      <c r="E234">
        <f t="shared" ca="1" si="15"/>
        <v>1</v>
      </c>
    </row>
    <row r="235" spans="1:5" x14ac:dyDescent="0.3">
      <c r="A235">
        <v>209</v>
      </c>
      <c r="B235">
        <f t="shared" ca="1" si="13"/>
        <v>34</v>
      </c>
      <c r="C235">
        <f t="shared" ca="1" si="14"/>
        <v>20</v>
      </c>
      <c r="D235">
        <f t="shared" ca="1" si="16"/>
        <v>54</v>
      </c>
      <c r="E235">
        <f t="shared" ca="1" si="15"/>
        <v>1</v>
      </c>
    </row>
    <row r="236" spans="1:5" x14ac:dyDescent="0.3">
      <c r="A236">
        <v>210</v>
      </c>
      <c r="B236">
        <f t="shared" ca="1" si="13"/>
        <v>60</v>
      </c>
      <c r="C236">
        <f t="shared" ca="1" si="14"/>
        <v>26</v>
      </c>
      <c r="D236">
        <f t="shared" ca="1" si="16"/>
        <v>86</v>
      </c>
      <c r="E236">
        <f t="shared" ca="1" si="15"/>
        <v>1</v>
      </c>
    </row>
    <row r="237" spans="1:5" x14ac:dyDescent="0.3">
      <c r="A237">
        <v>211</v>
      </c>
      <c r="B237">
        <f t="shared" ca="1" si="13"/>
        <v>45</v>
      </c>
      <c r="C237">
        <f t="shared" ca="1" si="14"/>
        <v>5</v>
      </c>
      <c r="D237">
        <f t="shared" ca="1" si="16"/>
        <v>50</v>
      </c>
      <c r="E237">
        <f t="shared" ca="1" si="15"/>
        <v>1</v>
      </c>
    </row>
    <row r="238" spans="1:5" x14ac:dyDescent="0.3">
      <c r="A238">
        <v>212</v>
      </c>
      <c r="B238">
        <f t="shared" ca="1" si="13"/>
        <v>35</v>
      </c>
      <c r="C238">
        <f t="shared" ca="1" si="14"/>
        <v>23</v>
      </c>
      <c r="D238">
        <f t="shared" ca="1" si="16"/>
        <v>58</v>
      </c>
      <c r="E238">
        <f t="shared" ca="1" si="15"/>
        <v>1</v>
      </c>
    </row>
    <row r="239" spans="1:5" x14ac:dyDescent="0.3">
      <c r="A239">
        <v>213</v>
      </c>
      <c r="B239">
        <f t="shared" ca="1" si="13"/>
        <v>30</v>
      </c>
      <c r="C239">
        <f t="shared" ca="1" si="14"/>
        <v>15</v>
      </c>
      <c r="D239">
        <f t="shared" ca="1" si="16"/>
        <v>45</v>
      </c>
      <c r="E239">
        <f t="shared" ca="1" si="15"/>
        <v>1</v>
      </c>
    </row>
    <row r="240" spans="1:5" x14ac:dyDescent="0.3">
      <c r="A240">
        <v>214</v>
      </c>
      <c r="B240">
        <f t="shared" ca="1" si="13"/>
        <v>8</v>
      </c>
      <c r="C240">
        <f t="shared" ca="1" si="14"/>
        <v>39</v>
      </c>
      <c r="D240">
        <f t="shared" ca="1" si="16"/>
        <v>47</v>
      </c>
      <c r="E240">
        <f t="shared" ca="1" si="15"/>
        <v>1</v>
      </c>
    </row>
    <row r="241" spans="1:5" x14ac:dyDescent="0.3">
      <c r="A241">
        <v>215</v>
      </c>
      <c r="B241">
        <f t="shared" ca="1" si="13"/>
        <v>22</v>
      </c>
      <c r="C241">
        <f t="shared" ca="1" si="14"/>
        <v>17</v>
      </c>
      <c r="D241">
        <f t="shared" ca="1" si="16"/>
        <v>39</v>
      </c>
      <c r="E241">
        <f t="shared" ca="1" si="15"/>
        <v>0</v>
      </c>
    </row>
    <row r="242" spans="1:5" x14ac:dyDescent="0.3">
      <c r="A242">
        <v>216</v>
      </c>
      <c r="B242">
        <f t="shared" ca="1" si="13"/>
        <v>28</v>
      </c>
      <c r="C242">
        <f t="shared" ca="1" si="14"/>
        <v>11</v>
      </c>
      <c r="D242">
        <f t="shared" ca="1" si="16"/>
        <v>39</v>
      </c>
      <c r="E242">
        <f t="shared" ca="1" si="15"/>
        <v>0</v>
      </c>
    </row>
    <row r="243" spans="1:5" x14ac:dyDescent="0.3">
      <c r="A243">
        <v>217</v>
      </c>
      <c r="B243">
        <f t="shared" ca="1" si="13"/>
        <v>41</v>
      </c>
      <c r="C243">
        <f t="shared" ca="1" si="14"/>
        <v>37</v>
      </c>
      <c r="D243">
        <f t="shared" ca="1" si="16"/>
        <v>78</v>
      </c>
      <c r="E243">
        <f t="shared" ca="1" si="15"/>
        <v>1</v>
      </c>
    </row>
    <row r="244" spans="1:5" x14ac:dyDescent="0.3">
      <c r="A244">
        <v>218</v>
      </c>
      <c r="B244">
        <f t="shared" ca="1" si="13"/>
        <v>57</v>
      </c>
      <c r="C244">
        <f t="shared" ca="1" si="14"/>
        <v>31</v>
      </c>
      <c r="D244">
        <f t="shared" ca="1" si="16"/>
        <v>88</v>
      </c>
      <c r="E244">
        <f t="shared" ca="1" si="15"/>
        <v>1</v>
      </c>
    </row>
    <row r="245" spans="1:5" x14ac:dyDescent="0.3">
      <c r="A245">
        <v>219</v>
      </c>
      <c r="B245">
        <f t="shared" ca="1" si="13"/>
        <v>49</v>
      </c>
      <c r="C245">
        <f t="shared" ca="1" si="14"/>
        <v>7</v>
      </c>
      <c r="D245">
        <f t="shared" ca="1" si="16"/>
        <v>56</v>
      </c>
      <c r="E245">
        <f t="shared" ca="1" si="15"/>
        <v>1</v>
      </c>
    </row>
    <row r="246" spans="1:5" x14ac:dyDescent="0.3">
      <c r="A246">
        <v>220</v>
      </c>
      <c r="B246">
        <f t="shared" ca="1" si="13"/>
        <v>52</v>
      </c>
      <c r="C246">
        <f t="shared" ca="1" si="14"/>
        <v>17</v>
      </c>
      <c r="D246">
        <f t="shared" ca="1" si="16"/>
        <v>69</v>
      </c>
      <c r="E246">
        <f t="shared" ca="1" si="15"/>
        <v>1</v>
      </c>
    </row>
    <row r="247" spans="1:5" x14ac:dyDescent="0.3">
      <c r="A247">
        <v>221</v>
      </c>
      <c r="B247">
        <f t="shared" ca="1" si="13"/>
        <v>20</v>
      </c>
      <c r="C247">
        <f t="shared" ca="1" si="14"/>
        <v>24</v>
      </c>
      <c r="D247">
        <f t="shared" ca="1" si="16"/>
        <v>44</v>
      </c>
      <c r="E247">
        <f t="shared" ca="1" si="15"/>
        <v>1</v>
      </c>
    </row>
    <row r="248" spans="1:5" x14ac:dyDescent="0.3">
      <c r="A248">
        <v>222</v>
      </c>
      <c r="B248">
        <f t="shared" ca="1" si="13"/>
        <v>42</v>
      </c>
      <c r="C248">
        <f t="shared" ca="1" si="14"/>
        <v>2</v>
      </c>
      <c r="D248">
        <f t="shared" ca="1" si="16"/>
        <v>44</v>
      </c>
      <c r="E248">
        <f t="shared" ca="1" si="15"/>
        <v>1</v>
      </c>
    </row>
    <row r="249" spans="1:5" x14ac:dyDescent="0.3">
      <c r="A249">
        <v>223</v>
      </c>
      <c r="B249">
        <f t="shared" ca="1" si="13"/>
        <v>35</v>
      </c>
      <c r="C249">
        <f t="shared" ca="1" si="14"/>
        <v>38</v>
      </c>
      <c r="D249">
        <f t="shared" ca="1" si="16"/>
        <v>73</v>
      </c>
      <c r="E249">
        <f t="shared" ca="1" si="15"/>
        <v>1</v>
      </c>
    </row>
    <row r="250" spans="1:5" x14ac:dyDescent="0.3">
      <c r="A250">
        <v>224</v>
      </c>
      <c r="B250">
        <f t="shared" ca="1" si="13"/>
        <v>43</v>
      </c>
      <c r="C250">
        <f t="shared" ca="1" si="14"/>
        <v>36</v>
      </c>
      <c r="D250">
        <f t="shared" ca="1" si="16"/>
        <v>79</v>
      </c>
      <c r="E250">
        <f t="shared" ca="1" si="15"/>
        <v>1</v>
      </c>
    </row>
    <row r="251" spans="1:5" x14ac:dyDescent="0.3">
      <c r="A251">
        <v>225</v>
      </c>
      <c r="B251">
        <f t="shared" ca="1" si="13"/>
        <v>51</v>
      </c>
      <c r="C251">
        <f t="shared" ca="1" si="14"/>
        <v>4</v>
      </c>
      <c r="D251">
        <f t="shared" ca="1" si="16"/>
        <v>55</v>
      </c>
      <c r="E251">
        <f t="shared" ca="1" si="15"/>
        <v>1</v>
      </c>
    </row>
    <row r="252" spans="1:5" x14ac:dyDescent="0.3">
      <c r="A252">
        <v>226</v>
      </c>
      <c r="B252">
        <f t="shared" ca="1" si="13"/>
        <v>40</v>
      </c>
      <c r="C252">
        <f t="shared" ca="1" si="14"/>
        <v>21</v>
      </c>
      <c r="D252">
        <f t="shared" ca="1" si="16"/>
        <v>61</v>
      </c>
      <c r="E252">
        <f t="shared" ca="1" si="15"/>
        <v>1</v>
      </c>
    </row>
    <row r="253" spans="1:5" x14ac:dyDescent="0.3">
      <c r="A253">
        <v>227</v>
      </c>
      <c r="B253">
        <f t="shared" ca="1" si="13"/>
        <v>40</v>
      </c>
      <c r="C253">
        <f t="shared" ca="1" si="14"/>
        <v>25</v>
      </c>
      <c r="D253">
        <f t="shared" ca="1" si="16"/>
        <v>65</v>
      </c>
      <c r="E253">
        <f t="shared" ca="1" si="15"/>
        <v>1</v>
      </c>
    </row>
    <row r="254" spans="1:5" x14ac:dyDescent="0.3">
      <c r="A254">
        <v>228</v>
      </c>
      <c r="B254">
        <f t="shared" ca="1" si="13"/>
        <v>7</v>
      </c>
      <c r="C254">
        <f t="shared" ca="1" si="14"/>
        <v>2</v>
      </c>
      <c r="D254">
        <f t="shared" ca="1" si="16"/>
        <v>9</v>
      </c>
      <c r="E254">
        <f t="shared" ca="1" si="15"/>
        <v>0</v>
      </c>
    </row>
    <row r="255" spans="1:5" x14ac:dyDescent="0.3">
      <c r="A255">
        <v>229</v>
      </c>
      <c r="B255">
        <f t="shared" ca="1" si="13"/>
        <v>30</v>
      </c>
      <c r="C255">
        <f t="shared" ca="1" si="14"/>
        <v>14</v>
      </c>
      <c r="D255">
        <f t="shared" ca="1" si="16"/>
        <v>44</v>
      </c>
      <c r="E255">
        <f t="shared" ca="1" si="15"/>
        <v>1</v>
      </c>
    </row>
    <row r="256" spans="1:5" x14ac:dyDescent="0.3">
      <c r="A256">
        <v>230</v>
      </c>
      <c r="B256">
        <f t="shared" ca="1" si="13"/>
        <v>48</v>
      </c>
      <c r="C256">
        <f t="shared" ca="1" si="14"/>
        <v>22</v>
      </c>
      <c r="D256">
        <f t="shared" ca="1" si="16"/>
        <v>70</v>
      </c>
      <c r="E256">
        <f t="shared" ca="1" si="15"/>
        <v>1</v>
      </c>
    </row>
    <row r="257" spans="1:5" x14ac:dyDescent="0.3">
      <c r="A257">
        <v>231</v>
      </c>
      <c r="B257">
        <f t="shared" ca="1" si="13"/>
        <v>31</v>
      </c>
      <c r="C257">
        <f t="shared" ca="1" si="14"/>
        <v>12</v>
      </c>
      <c r="D257">
        <f t="shared" ca="1" si="16"/>
        <v>43</v>
      </c>
      <c r="E257">
        <f t="shared" ca="1" si="15"/>
        <v>1</v>
      </c>
    </row>
    <row r="258" spans="1:5" x14ac:dyDescent="0.3">
      <c r="A258">
        <v>232</v>
      </c>
      <c r="B258">
        <f t="shared" ca="1" si="13"/>
        <v>48</v>
      </c>
      <c r="C258">
        <f t="shared" ca="1" si="14"/>
        <v>28</v>
      </c>
      <c r="D258">
        <f t="shared" ca="1" si="16"/>
        <v>76</v>
      </c>
      <c r="E258">
        <f t="shared" ca="1" si="15"/>
        <v>1</v>
      </c>
    </row>
    <row r="259" spans="1:5" x14ac:dyDescent="0.3">
      <c r="A259">
        <v>233</v>
      </c>
      <c r="B259">
        <f t="shared" ca="1" si="13"/>
        <v>36</v>
      </c>
      <c r="C259">
        <f t="shared" ca="1" si="14"/>
        <v>8</v>
      </c>
      <c r="D259">
        <f t="shared" ca="1" si="16"/>
        <v>44</v>
      </c>
      <c r="E259">
        <f t="shared" ca="1" si="15"/>
        <v>1</v>
      </c>
    </row>
    <row r="260" spans="1:5" x14ac:dyDescent="0.3">
      <c r="A260">
        <v>234</v>
      </c>
      <c r="B260">
        <f t="shared" ca="1" si="13"/>
        <v>34</v>
      </c>
      <c r="C260">
        <f t="shared" ca="1" si="14"/>
        <v>9</v>
      </c>
      <c r="D260">
        <f t="shared" ca="1" si="16"/>
        <v>43</v>
      </c>
      <c r="E260">
        <f t="shared" ca="1" si="15"/>
        <v>1</v>
      </c>
    </row>
    <row r="261" spans="1:5" x14ac:dyDescent="0.3">
      <c r="A261">
        <v>235</v>
      </c>
      <c r="B261">
        <f t="shared" ca="1" si="13"/>
        <v>23</v>
      </c>
      <c r="C261">
        <f t="shared" ca="1" si="14"/>
        <v>17</v>
      </c>
      <c r="D261">
        <f t="shared" ca="1" si="16"/>
        <v>40</v>
      </c>
      <c r="E261">
        <f t="shared" ca="1" si="15"/>
        <v>1</v>
      </c>
    </row>
    <row r="262" spans="1:5" x14ac:dyDescent="0.3">
      <c r="A262">
        <v>236</v>
      </c>
      <c r="B262">
        <f t="shared" ca="1" si="13"/>
        <v>21</v>
      </c>
      <c r="C262">
        <f t="shared" ca="1" si="14"/>
        <v>30</v>
      </c>
      <c r="D262">
        <f t="shared" ca="1" si="16"/>
        <v>51</v>
      </c>
      <c r="E262">
        <f t="shared" ca="1" si="15"/>
        <v>1</v>
      </c>
    </row>
    <row r="263" spans="1:5" x14ac:dyDescent="0.3">
      <c r="A263">
        <v>237</v>
      </c>
      <c r="B263">
        <f t="shared" ca="1" si="13"/>
        <v>36</v>
      </c>
      <c r="C263">
        <f t="shared" ca="1" si="14"/>
        <v>19</v>
      </c>
      <c r="D263">
        <f t="shared" ca="1" si="16"/>
        <v>55</v>
      </c>
      <c r="E263">
        <f t="shared" ca="1" si="15"/>
        <v>1</v>
      </c>
    </row>
    <row r="264" spans="1:5" x14ac:dyDescent="0.3">
      <c r="A264">
        <v>238</v>
      </c>
      <c r="B264">
        <f t="shared" ca="1" si="13"/>
        <v>34</v>
      </c>
      <c r="C264">
        <f t="shared" ca="1" si="14"/>
        <v>39</v>
      </c>
      <c r="D264">
        <f t="shared" ca="1" si="16"/>
        <v>73</v>
      </c>
      <c r="E264">
        <f t="shared" ca="1" si="15"/>
        <v>1</v>
      </c>
    </row>
    <row r="265" spans="1:5" x14ac:dyDescent="0.3">
      <c r="A265">
        <v>239</v>
      </c>
      <c r="B265">
        <f t="shared" ca="1" si="13"/>
        <v>49</v>
      </c>
      <c r="C265">
        <f t="shared" ca="1" si="14"/>
        <v>36</v>
      </c>
      <c r="D265">
        <f t="shared" ca="1" si="16"/>
        <v>85</v>
      </c>
      <c r="E265">
        <f t="shared" ca="1" si="15"/>
        <v>1</v>
      </c>
    </row>
    <row r="266" spans="1:5" x14ac:dyDescent="0.3">
      <c r="A266">
        <v>240</v>
      </c>
      <c r="B266">
        <f t="shared" ca="1" si="13"/>
        <v>43</v>
      </c>
      <c r="C266">
        <f t="shared" ca="1" si="14"/>
        <v>12</v>
      </c>
      <c r="D266">
        <f t="shared" ca="1" si="16"/>
        <v>55</v>
      </c>
      <c r="E266">
        <f t="shared" ca="1" si="15"/>
        <v>1</v>
      </c>
    </row>
    <row r="267" spans="1:5" x14ac:dyDescent="0.3">
      <c r="A267">
        <v>241</v>
      </c>
      <c r="B267">
        <f t="shared" ca="1" si="13"/>
        <v>37</v>
      </c>
      <c r="C267">
        <f t="shared" ca="1" si="14"/>
        <v>22</v>
      </c>
      <c r="D267">
        <f t="shared" ca="1" si="16"/>
        <v>59</v>
      </c>
      <c r="E267">
        <f t="shared" ca="1" si="15"/>
        <v>1</v>
      </c>
    </row>
    <row r="268" spans="1:5" x14ac:dyDescent="0.3">
      <c r="A268">
        <v>242</v>
      </c>
      <c r="B268">
        <f t="shared" ca="1" si="13"/>
        <v>36</v>
      </c>
      <c r="C268">
        <f t="shared" ca="1" si="14"/>
        <v>19</v>
      </c>
      <c r="D268">
        <f t="shared" ca="1" si="16"/>
        <v>55</v>
      </c>
      <c r="E268">
        <f t="shared" ca="1" si="15"/>
        <v>1</v>
      </c>
    </row>
    <row r="269" spans="1:5" x14ac:dyDescent="0.3">
      <c r="A269">
        <v>243</v>
      </c>
      <c r="B269">
        <f t="shared" ca="1" si="13"/>
        <v>42</v>
      </c>
      <c r="C269">
        <f t="shared" ca="1" si="14"/>
        <v>23</v>
      </c>
      <c r="D269">
        <f t="shared" ca="1" si="16"/>
        <v>65</v>
      </c>
      <c r="E269">
        <f t="shared" ca="1" si="15"/>
        <v>1</v>
      </c>
    </row>
    <row r="270" spans="1:5" x14ac:dyDescent="0.3">
      <c r="A270">
        <v>244</v>
      </c>
      <c r="B270">
        <f t="shared" ca="1" si="13"/>
        <v>6</v>
      </c>
      <c r="C270">
        <f t="shared" ca="1" si="14"/>
        <v>32</v>
      </c>
      <c r="D270">
        <f t="shared" ca="1" si="16"/>
        <v>38</v>
      </c>
      <c r="E270">
        <f t="shared" ca="1" si="15"/>
        <v>0</v>
      </c>
    </row>
    <row r="271" spans="1:5" x14ac:dyDescent="0.3">
      <c r="A271">
        <v>245</v>
      </c>
      <c r="B271">
        <f t="shared" ca="1" si="13"/>
        <v>8</v>
      </c>
      <c r="C271">
        <f t="shared" ca="1" si="14"/>
        <v>35</v>
      </c>
      <c r="D271">
        <f t="shared" ca="1" si="16"/>
        <v>43</v>
      </c>
      <c r="E271">
        <f t="shared" ca="1" si="15"/>
        <v>1</v>
      </c>
    </row>
    <row r="272" spans="1:5" x14ac:dyDescent="0.3">
      <c r="A272">
        <v>246</v>
      </c>
      <c r="B272">
        <f t="shared" ca="1" si="13"/>
        <v>15</v>
      </c>
      <c r="C272">
        <f t="shared" ca="1" si="14"/>
        <v>38</v>
      </c>
      <c r="D272">
        <f t="shared" ca="1" si="16"/>
        <v>53</v>
      </c>
      <c r="E272">
        <f t="shared" ca="1" si="15"/>
        <v>1</v>
      </c>
    </row>
    <row r="273" spans="1:5" x14ac:dyDescent="0.3">
      <c r="A273">
        <v>247</v>
      </c>
      <c r="B273">
        <f t="shared" ca="1" si="13"/>
        <v>44</v>
      </c>
      <c r="C273">
        <f t="shared" ca="1" si="14"/>
        <v>10</v>
      </c>
      <c r="D273">
        <f t="shared" ca="1" si="16"/>
        <v>54</v>
      </c>
      <c r="E273">
        <f t="shared" ca="1" si="15"/>
        <v>1</v>
      </c>
    </row>
    <row r="274" spans="1:5" x14ac:dyDescent="0.3">
      <c r="A274">
        <v>248</v>
      </c>
      <c r="B274">
        <f t="shared" ca="1" si="13"/>
        <v>27</v>
      </c>
      <c r="C274">
        <f t="shared" ca="1" si="14"/>
        <v>16</v>
      </c>
      <c r="D274">
        <f t="shared" ca="1" si="16"/>
        <v>43</v>
      </c>
      <c r="E274">
        <f t="shared" ca="1" si="15"/>
        <v>1</v>
      </c>
    </row>
    <row r="275" spans="1:5" x14ac:dyDescent="0.3">
      <c r="A275">
        <v>249</v>
      </c>
      <c r="B275">
        <f t="shared" ca="1" si="13"/>
        <v>43</v>
      </c>
      <c r="C275">
        <f t="shared" ca="1" si="14"/>
        <v>6</v>
      </c>
      <c r="D275">
        <f t="shared" ca="1" si="16"/>
        <v>49</v>
      </c>
      <c r="E275">
        <f t="shared" ca="1" si="15"/>
        <v>1</v>
      </c>
    </row>
    <row r="276" spans="1:5" x14ac:dyDescent="0.3">
      <c r="A276">
        <v>250</v>
      </c>
      <c r="B276">
        <f t="shared" ca="1" si="13"/>
        <v>52</v>
      </c>
      <c r="C276">
        <f t="shared" ca="1" si="14"/>
        <v>22</v>
      </c>
      <c r="D276">
        <f t="shared" ca="1" si="16"/>
        <v>74</v>
      </c>
      <c r="E276">
        <f t="shared" ca="1" si="15"/>
        <v>1</v>
      </c>
    </row>
    <row r="277" spans="1:5" x14ac:dyDescent="0.3">
      <c r="A277">
        <v>251</v>
      </c>
      <c r="B277">
        <f t="shared" ca="1" si="13"/>
        <v>28</v>
      </c>
      <c r="C277">
        <f t="shared" ca="1" si="14"/>
        <v>3</v>
      </c>
      <c r="D277">
        <f t="shared" ca="1" si="16"/>
        <v>31</v>
      </c>
      <c r="E277">
        <f t="shared" ca="1" si="15"/>
        <v>0</v>
      </c>
    </row>
    <row r="278" spans="1:5" x14ac:dyDescent="0.3">
      <c r="A278">
        <v>252</v>
      </c>
      <c r="B278">
        <f t="shared" ca="1" si="13"/>
        <v>42</v>
      </c>
      <c r="C278">
        <f t="shared" ca="1" si="14"/>
        <v>22</v>
      </c>
      <c r="D278">
        <f t="shared" ca="1" si="16"/>
        <v>64</v>
      </c>
      <c r="E278">
        <f t="shared" ca="1" si="15"/>
        <v>1</v>
      </c>
    </row>
    <row r="279" spans="1:5" x14ac:dyDescent="0.3">
      <c r="A279">
        <v>253</v>
      </c>
      <c r="B279">
        <f t="shared" ca="1" si="13"/>
        <v>7</v>
      </c>
      <c r="C279">
        <f t="shared" ca="1" si="14"/>
        <v>8</v>
      </c>
      <c r="D279">
        <f t="shared" ca="1" si="16"/>
        <v>15</v>
      </c>
      <c r="E279">
        <f t="shared" ca="1" si="15"/>
        <v>0</v>
      </c>
    </row>
    <row r="280" spans="1:5" x14ac:dyDescent="0.3">
      <c r="A280">
        <v>254</v>
      </c>
      <c r="B280">
        <f t="shared" ca="1" si="13"/>
        <v>14</v>
      </c>
      <c r="C280">
        <f t="shared" ca="1" si="14"/>
        <v>37</v>
      </c>
      <c r="D280">
        <f t="shared" ca="1" si="16"/>
        <v>51</v>
      </c>
      <c r="E280">
        <f t="shared" ca="1" si="15"/>
        <v>1</v>
      </c>
    </row>
    <row r="281" spans="1:5" x14ac:dyDescent="0.3">
      <c r="A281">
        <v>255</v>
      </c>
      <c r="B281">
        <f t="shared" ca="1" si="13"/>
        <v>13</v>
      </c>
      <c r="C281">
        <f t="shared" ca="1" si="14"/>
        <v>28</v>
      </c>
      <c r="D281">
        <f t="shared" ca="1" si="16"/>
        <v>41</v>
      </c>
      <c r="E281">
        <f t="shared" ca="1" si="15"/>
        <v>1</v>
      </c>
    </row>
    <row r="282" spans="1:5" x14ac:dyDescent="0.3">
      <c r="A282">
        <v>256</v>
      </c>
      <c r="B282">
        <f t="shared" ca="1" si="13"/>
        <v>57</v>
      </c>
      <c r="C282">
        <f t="shared" ca="1" si="14"/>
        <v>19</v>
      </c>
      <c r="D282">
        <f t="shared" ca="1" si="16"/>
        <v>76</v>
      </c>
      <c r="E282">
        <f t="shared" ca="1" si="15"/>
        <v>1</v>
      </c>
    </row>
    <row r="283" spans="1:5" x14ac:dyDescent="0.3">
      <c r="A283">
        <v>257</v>
      </c>
      <c r="B283">
        <f t="shared" ca="1" si="13"/>
        <v>46</v>
      </c>
      <c r="C283">
        <f t="shared" ca="1" si="14"/>
        <v>14</v>
      </c>
      <c r="D283">
        <f t="shared" ca="1" si="16"/>
        <v>60</v>
      </c>
      <c r="E283">
        <f t="shared" ca="1" si="15"/>
        <v>1</v>
      </c>
    </row>
    <row r="284" spans="1:5" x14ac:dyDescent="0.3">
      <c r="A284">
        <v>258</v>
      </c>
      <c r="B284">
        <f t="shared" ca="1" si="13"/>
        <v>55</v>
      </c>
      <c r="C284">
        <f t="shared" ca="1" si="14"/>
        <v>18</v>
      </c>
      <c r="D284">
        <f t="shared" ref="D284:D347" ca="1" si="17">B284+C284</f>
        <v>73</v>
      </c>
      <c r="E284">
        <f t="shared" ref="E284:E347" ca="1" si="18">IF(D284&gt;=40,1,0)</f>
        <v>1</v>
      </c>
    </row>
    <row r="285" spans="1:5" x14ac:dyDescent="0.3">
      <c r="A285">
        <v>259</v>
      </c>
      <c r="B285">
        <f t="shared" ref="B285:B348" ca="1" si="19">RANDBETWEEN(5,60)</f>
        <v>22</v>
      </c>
      <c r="C285">
        <f t="shared" ref="C285:C348" ca="1" si="20">RANDBETWEEN(2,40)</f>
        <v>14</v>
      </c>
      <c r="D285">
        <f t="shared" ca="1" si="17"/>
        <v>36</v>
      </c>
      <c r="E285">
        <f t="shared" ca="1" si="18"/>
        <v>0</v>
      </c>
    </row>
    <row r="286" spans="1:5" x14ac:dyDescent="0.3">
      <c r="A286">
        <v>260</v>
      </c>
      <c r="B286">
        <f t="shared" ca="1" si="19"/>
        <v>19</v>
      </c>
      <c r="C286">
        <f t="shared" ca="1" si="20"/>
        <v>29</v>
      </c>
      <c r="D286">
        <f t="shared" ca="1" si="17"/>
        <v>48</v>
      </c>
      <c r="E286">
        <f t="shared" ca="1" si="18"/>
        <v>1</v>
      </c>
    </row>
    <row r="287" spans="1:5" x14ac:dyDescent="0.3">
      <c r="A287">
        <v>261</v>
      </c>
      <c r="B287">
        <f t="shared" ca="1" si="19"/>
        <v>54</v>
      </c>
      <c r="C287">
        <f t="shared" ca="1" si="20"/>
        <v>7</v>
      </c>
      <c r="D287">
        <f t="shared" ca="1" si="17"/>
        <v>61</v>
      </c>
      <c r="E287">
        <f t="shared" ca="1" si="18"/>
        <v>1</v>
      </c>
    </row>
    <row r="288" spans="1:5" x14ac:dyDescent="0.3">
      <c r="A288">
        <v>262</v>
      </c>
      <c r="B288">
        <f t="shared" ca="1" si="19"/>
        <v>18</v>
      </c>
      <c r="C288">
        <f t="shared" ca="1" si="20"/>
        <v>32</v>
      </c>
      <c r="D288">
        <f t="shared" ca="1" si="17"/>
        <v>50</v>
      </c>
      <c r="E288">
        <f t="shared" ca="1" si="18"/>
        <v>1</v>
      </c>
    </row>
    <row r="289" spans="1:5" x14ac:dyDescent="0.3">
      <c r="A289">
        <v>263</v>
      </c>
      <c r="B289">
        <f t="shared" ca="1" si="19"/>
        <v>34</v>
      </c>
      <c r="C289">
        <f t="shared" ca="1" si="20"/>
        <v>35</v>
      </c>
      <c r="D289">
        <f t="shared" ca="1" si="17"/>
        <v>69</v>
      </c>
      <c r="E289">
        <f t="shared" ca="1" si="18"/>
        <v>1</v>
      </c>
    </row>
    <row r="290" spans="1:5" x14ac:dyDescent="0.3">
      <c r="A290">
        <v>264</v>
      </c>
      <c r="B290">
        <f t="shared" ca="1" si="19"/>
        <v>43</v>
      </c>
      <c r="C290">
        <f t="shared" ca="1" si="20"/>
        <v>11</v>
      </c>
      <c r="D290">
        <f t="shared" ca="1" si="17"/>
        <v>54</v>
      </c>
      <c r="E290">
        <f t="shared" ca="1" si="18"/>
        <v>1</v>
      </c>
    </row>
    <row r="291" spans="1:5" x14ac:dyDescent="0.3">
      <c r="A291">
        <v>265</v>
      </c>
      <c r="B291">
        <f t="shared" ca="1" si="19"/>
        <v>34</v>
      </c>
      <c r="C291">
        <f t="shared" ca="1" si="20"/>
        <v>29</v>
      </c>
      <c r="D291">
        <f t="shared" ca="1" si="17"/>
        <v>63</v>
      </c>
      <c r="E291">
        <f t="shared" ca="1" si="18"/>
        <v>1</v>
      </c>
    </row>
    <row r="292" spans="1:5" x14ac:dyDescent="0.3">
      <c r="A292">
        <v>266</v>
      </c>
      <c r="B292">
        <f t="shared" ca="1" si="19"/>
        <v>24</v>
      </c>
      <c r="C292">
        <f t="shared" ca="1" si="20"/>
        <v>11</v>
      </c>
      <c r="D292">
        <f t="shared" ca="1" si="17"/>
        <v>35</v>
      </c>
      <c r="E292">
        <f t="shared" ca="1" si="18"/>
        <v>0</v>
      </c>
    </row>
    <row r="293" spans="1:5" x14ac:dyDescent="0.3">
      <c r="A293">
        <v>267</v>
      </c>
      <c r="B293">
        <f t="shared" ca="1" si="19"/>
        <v>30</v>
      </c>
      <c r="C293">
        <f t="shared" ca="1" si="20"/>
        <v>9</v>
      </c>
      <c r="D293">
        <f t="shared" ca="1" si="17"/>
        <v>39</v>
      </c>
      <c r="E293">
        <f t="shared" ca="1" si="18"/>
        <v>0</v>
      </c>
    </row>
    <row r="294" spans="1:5" x14ac:dyDescent="0.3">
      <c r="A294">
        <v>268</v>
      </c>
      <c r="B294">
        <f t="shared" ca="1" si="19"/>
        <v>57</v>
      </c>
      <c r="C294">
        <f t="shared" ca="1" si="20"/>
        <v>36</v>
      </c>
      <c r="D294">
        <f t="shared" ca="1" si="17"/>
        <v>93</v>
      </c>
      <c r="E294">
        <f t="shared" ca="1" si="18"/>
        <v>1</v>
      </c>
    </row>
    <row r="295" spans="1:5" x14ac:dyDescent="0.3">
      <c r="A295">
        <v>269</v>
      </c>
      <c r="B295">
        <f t="shared" ca="1" si="19"/>
        <v>53</v>
      </c>
      <c r="C295">
        <f t="shared" ca="1" si="20"/>
        <v>18</v>
      </c>
      <c r="D295">
        <f t="shared" ca="1" si="17"/>
        <v>71</v>
      </c>
      <c r="E295">
        <f t="shared" ca="1" si="18"/>
        <v>1</v>
      </c>
    </row>
    <row r="296" spans="1:5" x14ac:dyDescent="0.3">
      <c r="A296">
        <v>270</v>
      </c>
      <c r="B296">
        <f t="shared" ca="1" si="19"/>
        <v>38</v>
      </c>
      <c r="C296">
        <f t="shared" ca="1" si="20"/>
        <v>39</v>
      </c>
      <c r="D296">
        <f t="shared" ca="1" si="17"/>
        <v>77</v>
      </c>
      <c r="E296">
        <f t="shared" ca="1" si="18"/>
        <v>1</v>
      </c>
    </row>
    <row r="297" spans="1:5" x14ac:dyDescent="0.3">
      <c r="A297">
        <v>271</v>
      </c>
      <c r="B297">
        <f t="shared" ca="1" si="19"/>
        <v>41</v>
      </c>
      <c r="C297">
        <f t="shared" ca="1" si="20"/>
        <v>12</v>
      </c>
      <c r="D297">
        <f t="shared" ca="1" si="17"/>
        <v>53</v>
      </c>
      <c r="E297">
        <f t="shared" ca="1" si="18"/>
        <v>1</v>
      </c>
    </row>
    <row r="298" spans="1:5" x14ac:dyDescent="0.3">
      <c r="A298">
        <v>272</v>
      </c>
      <c r="B298">
        <f t="shared" ca="1" si="19"/>
        <v>57</v>
      </c>
      <c r="C298">
        <f t="shared" ca="1" si="20"/>
        <v>18</v>
      </c>
      <c r="D298">
        <f t="shared" ca="1" si="17"/>
        <v>75</v>
      </c>
      <c r="E298">
        <f t="shared" ca="1" si="18"/>
        <v>1</v>
      </c>
    </row>
    <row r="299" spans="1:5" x14ac:dyDescent="0.3">
      <c r="A299">
        <v>273</v>
      </c>
      <c r="B299">
        <f t="shared" ca="1" si="19"/>
        <v>22</v>
      </c>
      <c r="C299">
        <f t="shared" ca="1" si="20"/>
        <v>19</v>
      </c>
      <c r="D299">
        <f t="shared" ca="1" si="17"/>
        <v>41</v>
      </c>
      <c r="E299">
        <f t="shared" ca="1" si="18"/>
        <v>1</v>
      </c>
    </row>
    <row r="300" spans="1:5" x14ac:dyDescent="0.3">
      <c r="A300">
        <v>274</v>
      </c>
      <c r="B300">
        <f t="shared" ca="1" si="19"/>
        <v>35</v>
      </c>
      <c r="C300">
        <f t="shared" ca="1" si="20"/>
        <v>39</v>
      </c>
      <c r="D300">
        <f t="shared" ca="1" si="17"/>
        <v>74</v>
      </c>
      <c r="E300">
        <f t="shared" ca="1" si="18"/>
        <v>1</v>
      </c>
    </row>
    <row r="301" spans="1:5" x14ac:dyDescent="0.3">
      <c r="A301">
        <v>275</v>
      </c>
      <c r="B301">
        <f t="shared" ca="1" si="19"/>
        <v>38</v>
      </c>
      <c r="C301">
        <f t="shared" ca="1" si="20"/>
        <v>10</v>
      </c>
      <c r="D301">
        <f t="shared" ca="1" si="17"/>
        <v>48</v>
      </c>
      <c r="E301">
        <f t="shared" ca="1" si="18"/>
        <v>1</v>
      </c>
    </row>
    <row r="302" spans="1:5" x14ac:dyDescent="0.3">
      <c r="A302">
        <v>276</v>
      </c>
      <c r="B302">
        <f t="shared" ca="1" si="19"/>
        <v>32</v>
      </c>
      <c r="C302">
        <f t="shared" ca="1" si="20"/>
        <v>35</v>
      </c>
      <c r="D302">
        <f t="shared" ca="1" si="17"/>
        <v>67</v>
      </c>
      <c r="E302">
        <f t="shared" ca="1" si="18"/>
        <v>1</v>
      </c>
    </row>
    <row r="303" spans="1:5" x14ac:dyDescent="0.3">
      <c r="A303">
        <v>277</v>
      </c>
      <c r="B303">
        <f t="shared" ca="1" si="19"/>
        <v>18</v>
      </c>
      <c r="C303">
        <f t="shared" ca="1" si="20"/>
        <v>34</v>
      </c>
      <c r="D303">
        <f t="shared" ca="1" si="17"/>
        <v>52</v>
      </c>
      <c r="E303">
        <f t="shared" ca="1" si="18"/>
        <v>1</v>
      </c>
    </row>
    <row r="304" spans="1:5" x14ac:dyDescent="0.3">
      <c r="A304">
        <v>278</v>
      </c>
      <c r="B304">
        <f t="shared" ca="1" si="19"/>
        <v>40</v>
      </c>
      <c r="C304">
        <f t="shared" ca="1" si="20"/>
        <v>4</v>
      </c>
      <c r="D304">
        <f t="shared" ca="1" si="17"/>
        <v>44</v>
      </c>
      <c r="E304">
        <f t="shared" ca="1" si="18"/>
        <v>1</v>
      </c>
    </row>
    <row r="305" spans="1:5" x14ac:dyDescent="0.3">
      <c r="A305">
        <v>279</v>
      </c>
      <c r="B305">
        <f t="shared" ca="1" si="19"/>
        <v>53</v>
      </c>
      <c r="C305">
        <f t="shared" ca="1" si="20"/>
        <v>32</v>
      </c>
      <c r="D305">
        <f t="shared" ca="1" si="17"/>
        <v>85</v>
      </c>
      <c r="E305">
        <f t="shared" ca="1" si="18"/>
        <v>1</v>
      </c>
    </row>
    <row r="306" spans="1:5" x14ac:dyDescent="0.3">
      <c r="A306">
        <v>280</v>
      </c>
      <c r="B306">
        <f t="shared" ca="1" si="19"/>
        <v>9</v>
      </c>
      <c r="C306">
        <f t="shared" ca="1" si="20"/>
        <v>9</v>
      </c>
      <c r="D306">
        <f t="shared" ca="1" si="17"/>
        <v>18</v>
      </c>
      <c r="E306">
        <f t="shared" ca="1" si="18"/>
        <v>0</v>
      </c>
    </row>
    <row r="307" spans="1:5" x14ac:dyDescent="0.3">
      <c r="A307">
        <v>281</v>
      </c>
      <c r="B307">
        <f t="shared" ca="1" si="19"/>
        <v>13</v>
      </c>
      <c r="C307">
        <f t="shared" ca="1" si="20"/>
        <v>7</v>
      </c>
      <c r="D307">
        <f t="shared" ca="1" si="17"/>
        <v>20</v>
      </c>
      <c r="E307">
        <f t="shared" ca="1" si="18"/>
        <v>0</v>
      </c>
    </row>
    <row r="308" spans="1:5" x14ac:dyDescent="0.3">
      <c r="A308">
        <v>282</v>
      </c>
      <c r="B308">
        <f t="shared" ca="1" si="19"/>
        <v>39</v>
      </c>
      <c r="C308">
        <f t="shared" ca="1" si="20"/>
        <v>32</v>
      </c>
      <c r="D308">
        <f t="shared" ca="1" si="17"/>
        <v>71</v>
      </c>
      <c r="E308">
        <f t="shared" ca="1" si="18"/>
        <v>1</v>
      </c>
    </row>
    <row r="309" spans="1:5" x14ac:dyDescent="0.3">
      <c r="A309">
        <v>283</v>
      </c>
      <c r="B309">
        <f t="shared" ca="1" si="19"/>
        <v>16</v>
      </c>
      <c r="C309">
        <f t="shared" ca="1" si="20"/>
        <v>17</v>
      </c>
      <c r="D309">
        <f t="shared" ca="1" si="17"/>
        <v>33</v>
      </c>
      <c r="E309">
        <f t="shared" ca="1" si="18"/>
        <v>0</v>
      </c>
    </row>
    <row r="310" spans="1:5" x14ac:dyDescent="0.3">
      <c r="A310">
        <v>284</v>
      </c>
      <c r="B310">
        <f t="shared" ca="1" si="19"/>
        <v>41</v>
      </c>
      <c r="C310">
        <f t="shared" ca="1" si="20"/>
        <v>24</v>
      </c>
      <c r="D310">
        <f t="shared" ca="1" si="17"/>
        <v>65</v>
      </c>
      <c r="E310">
        <f t="shared" ca="1" si="18"/>
        <v>1</v>
      </c>
    </row>
    <row r="311" spans="1:5" x14ac:dyDescent="0.3">
      <c r="A311">
        <v>285</v>
      </c>
      <c r="B311">
        <f t="shared" ca="1" si="19"/>
        <v>47</v>
      </c>
      <c r="C311">
        <f t="shared" ca="1" si="20"/>
        <v>4</v>
      </c>
      <c r="D311">
        <f t="shared" ca="1" si="17"/>
        <v>51</v>
      </c>
      <c r="E311">
        <f t="shared" ca="1" si="18"/>
        <v>1</v>
      </c>
    </row>
    <row r="312" spans="1:5" x14ac:dyDescent="0.3">
      <c r="A312">
        <v>286</v>
      </c>
      <c r="B312">
        <f t="shared" ca="1" si="19"/>
        <v>54</v>
      </c>
      <c r="C312">
        <f t="shared" ca="1" si="20"/>
        <v>2</v>
      </c>
      <c r="D312">
        <f t="shared" ca="1" si="17"/>
        <v>56</v>
      </c>
      <c r="E312">
        <f t="shared" ca="1" si="18"/>
        <v>1</v>
      </c>
    </row>
    <row r="313" spans="1:5" x14ac:dyDescent="0.3">
      <c r="A313">
        <v>287</v>
      </c>
      <c r="B313">
        <f t="shared" ca="1" si="19"/>
        <v>9</v>
      </c>
      <c r="C313">
        <f t="shared" ca="1" si="20"/>
        <v>32</v>
      </c>
      <c r="D313">
        <f t="shared" ca="1" si="17"/>
        <v>41</v>
      </c>
      <c r="E313">
        <f t="shared" ca="1" si="18"/>
        <v>1</v>
      </c>
    </row>
    <row r="314" spans="1:5" x14ac:dyDescent="0.3">
      <c r="A314">
        <v>288</v>
      </c>
      <c r="B314">
        <f t="shared" ca="1" si="19"/>
        <v>15</v>
      </c>
      <c r="C314">
        <f t="shared" ca="1" si="20"/>
        <v>34</v>
      </c>
      <c r="D314">
        <f t="shared" ca="1" si="17"/>
        <v>49</v>
      </c>
      <c r="E314">
        <f t="shared" ca="1" si="18"/>
        <v>1</v>
      </c>
    </row>
    <row r="315" spans="1:5" x14ac:dyDescent="0.3">
      <c r="A315">
        <v>289</v>
      </c>
      <c r="B315">
        <f t="shared" ca="1" si="19"/>
        <v>28</v>
      </c>
      <c r="C315">
        <f t="shared" ca="1" si="20"/>
        <v>20</v>
      </c>
      <c r="D315">
        <f t="shared" ca="1" si="17"/>
        <v>48</v>
      </c>
      <c r="E315">
        <f t="shared" ca="1" si="18"/>
        <v>1</v>
      </c>
    </row>
    <row r="316" spans="1:5" x14ac:dyDescent="0.3">
      <c r="A316">
        <v>290</v>
      </c>
      <c r="B316">
        <f t="shared" ca="1" si="19"/>
        <v>47</v>
      </c>
      <c r="C316">
        <f t="shared" ca="1" si="20"/>
        <v>22</v>
      </c>
      <c r="D316">
        <f t="shared" ca="1" si="17"/>
        <v>69</v>
      </c>
      <c r="E316">
        <f t="shared" ca="1" si="18"/>
        <v>1</v>
      </c>
    </row>
    <row r="317" spans="1:5" x14ac:dyDescent="0.3">
      <c r="A317">
        <v>291</v>
      </c>
      <c r="B317">
        <f t="shared" ca="1" si="19"/>
        <v>41</v>
      </c>
      <c r="C317">
        <f t="shared" ca="1" si="20"/>
        <v>40</v>
      </c>
      <c r="D317">
        <f t="shared" ca="1" si="17"/>
        <v>81</v>
      </c>
      <c r="E317">
        <f t="shared" ca="1" si="18"/>
        <v>1</v>
      </c>
    </row>
    <row r="318" spans="1:5" x14ac:dyDescent="0.3">
      <c r="A318">
        <v>292</v>
      </c>
      <c r="B318">
        <f t="shared" ca="1" si="19"/>
        <v>21</v>
      </c>
      <c r="C318">
        <f t="shared" ca="1" si="20"/>
        <v>24</v>
      </c>
      <c r="D318">
        <f t="shared" ca="1" si="17"/>
        <v>45</v>
      </c>
      <c r="E318">
        <f t="shared" ca="1" si="18"/>
        <v>1</v>
      </c>
    </row>
    <row r="319" spans="1:5" x14ac:dyDescent="0.3">
      <c r="A319">
        <v>293</v>
      </c>
      <c r="B319">
        <f t="shared" ca="1" si="19"/>
        <v>13</v>
      </c>
      <c r="C319">
        <f t="shared" ca="1" si="20"/>
        <v>21</v>
      </c>
      <c r="D319">
        <f t="shared" ca="1" si="17"/>
        <v>34</v>
      </c>
      <c r="E319">
        <f t="shared" ca="1" si="18"/>
        <v>0</v>
      </c>
    </row>
    <row r="320" spans="1:5" x14ac:dyDescent="0.3">
      <c r="A320">
        <v>294</v>
      </c>
      <c r="B320">
        <f t="shared" ca="1" si="19"/>
        <v>42</v>
      </c>
      <c r="C320">
        <f t="shared" ca="1" si="20"/>
        <v>11</v>
      </c>
      <c r="D320">
        <f t="shared" ca="1" si="17"/>
        <v>53</v>
      </c>
      <c r="E320">
        <f t="shared" ca="1" si="18"/>
        <v>1</v>
      </c>
    </row>
    <row r="321" spans="1:5" x14ac:dyDescent="0.3">
      <c r="A321">
        <v>295</v>
      </c>
      <c r="B321">
        <f t="shared" ca="1" si="19"/>
        <v>55</v>
      </c>
      <c r="C321">
        <f t="shared" ca="1" si="20"/>
        <v>16</v>
      </c>
      <c r="D321">
        <f t="shared" ca="1" si="17"/>
        <v>71</v>
      </c>
      <c r="E321">
        <f t="shared" ca="1" si="18"/>
        <v>1</v>
      </c>
    </row>
    <row r="322" spans="1:5" x14ac:dyDescent="0.3">
      <c r="A322">
        <v>296</v>
      </c>
      <c r="B322">
        <f t="shared" ca="1" si="19"/>
        <v>57</v>
      </c>
      <c r="C322">
        <f t="shared" ca="1" si="20"/>
        <v>18</v>
      </c>
      <c r="D322">
        <f t="shared" ca="1" si="17"/>
        <v>75</v>
      </c>
      <c r="E322">
        <f t="shared" ca="1" si="18"/>
        <v>1</v>
      </c>
    </row>
    <row r="323" spans="1:5" x14ac:dyDescent="0.3">
      <c r="A323">
        <v>297</v>
      </c>
      <c r="B323">
        <f t="shared" ca="1" si="19"/>
        <v>47</v>
      </c>
      <c r="C323">
        <f t="shared" ca="1" si="20"/>
        <v>29</v>
      </c>
      <c r="D323">
        <f t="shared" ca="1" si="17"/>
        <v>76</v>
      </c>
      <c r="E323">
        <f t="shared" ca="1" si="18"/>
        <v>1</v>
      </c>
    </row>
    <row r="324" spans="1:5" x14ac:dyDescent="0.3">
      <c r="A324">
        <v>298</v>
      </c>
      <c r="B324">
        <f t="shared" ca="1" si="19"/>
        <v>47</v>
      </c>
      <c r="C324">
        <f t="shared" ca="1" si="20"/>
        <v>20</v>
      </c>
      <c r="D324">
        <f t="shared" ca="1" si="17"/>
        <v>67</v>
      </c>
      <c r="E324">
        <f t="shared" ca="1" si="18"/>
        <v>1</v>
      </c>
    </row>
    <row r="325" spans="1:5" x14ac:dyDescent="0.3">
      <c r="A325">
        <v>299</v>
      </c>
      <c r="B325">
        <f t="shared" ca="1" si="19"/>
        <v>59</v>
      </c>
      <c r="C325">
        <f t="shared" ca="1" si="20"/>
        <v>34</v>
      </c>
      <c r="D325">
        <f t="shared" ca="1" si="17"/>
        <v>93</v>
      </c>
      <c r="E325">
        <f t="shared" ca="1" si="18"/>
        <v>1</v>
      </c>
    </row>
    <row r="326" spans="1:5" x14ac:dyDescent="0.3">
      <c r="A326">
        <v>300</v>
      </c>
      <c r="B326">
        <f t="shared" ca="1" si="19"/>
        <v>23</v>
      </c>
      <c r="C326">
        <f t="shared" ca="1" si="20"/>
        <v>36</v>
      </c>
      <c r="D326">
        <f t="shared" ca="1" si="17"/>
        <v>59</v>
      </c>
      <c r="E326">
        <f t="shared" ca="1" si="18"/>
        <v>1</v>
      </c>
    </row>
    <row r="327" spans="1:5" x14ac:dyDescent="0.3">
      <c r="A327">
        <v>301</v>
      </c>
      <c r="B327">
        <f t="shared" ca="1" si="19"/>
        <v>41</v>
      </c>
      <c r="C327">
        <f t="shared" ca="1" si="20"/>
        <v>23</v>
      </c>
      <c r="D327">
        <f t="shared" ca="1" si="17"/>
        <v>64</v>
      </c>
      <c r="E327">
        <f t="shared" ca="1" si="18"/>
        <v>1</v>
      </c>
    </row>
    <row r="328" spans="1:5" x14ac:dyDescent="0.3">
      <c r="A328">
        <v>302</v>
      </c>
      <c r="B328">
        <f t="shared" ca="1" si="19"/>
        <v>15</v>
      </c>
      <c r="C328">
        <f t="shared" ca="1" si="20"/>
        <v>20</v>
      </c>
      <c r="D328">
        <f t="shared" ca="1" si="17"/>
        <v>35</v>
      </c>
      <c r="E328">
        <f t="shared" ca="1" si="18"/>
        <v>0</v>
      </c>
    </row>
    <row r="329" spans="1:5" x14ac:dyDescent="0.3">
      <c r="A329">
        <v>303</v>
      </c>
      <c r="B329">
        <f t="shared" ca="1" si="19"/>
        <v>43</v>
      </c>
      <c r="C329">
        <f t="shared" ca="1" si="20"/>
        <v>20</v>
      </c>
      <c r="D329">
        <f t="shared" ca="1" si="17"/>
        <v>63</v>
      </c>
      <c r="E329">
        <f t="shared" ca="1" si="18"/>
        <v>1</v>
      </c>
    </row>
    <row r="330" spans="1:5" x14ac:dyDescent="0.3">
      <c r="A330">
        <v>304</v>
      </c>
      <c r="B330">
        <f t="shared" ca="1" si="19"/>
        <v>29</v>
      </c>
      <c r="C330">
        <f t="shared" ca="1" si="20"/>
        <v>6</v>
      </c>
      <c r="D330">
        <f t="shared" ca="1" si="17"/>
        <v>35</v>
      </c>
      <c r="E330">
        <f t="shared" ca="1" si="18"/>
        <v>0</v>
      </c>
    </row>
    <row r="331" spans="1:5" x14ac:dyDescent="0.3">
      <c r="A331">
        <v>305</v>
      </c>
      <c r="B331">
        <f t="shared" ca="1" si="19"/>
        <v>46</v>
      </c>
      <c r="C331">
        <f t="shared" ca="1" si="20"/>
        <v>19</v>
      </c>
      <c r="D331">
        <f t="shared" ca="1" si="17"/>
        <v>65</v>
      </c>
      <c r="E331">
        <f t="shared" ca="1" si="18"/>
        <v>1</v>
      </c>
    </row>
    <row r="332" spans="1:5" x14ac:dyDescent="0.3">
      <c r="A332">
        <v>306</v>
      </c>
      <c r="B332">
        <f t="shared" ca="1" si="19"/>
        <v>38</v>
      </c>
      <c r="C332">
        <f t="shared" ca="1" si="20"/>
        <v>5</v>
      </c>
      <c r="D332">
        <f t="shared" ca="1" si="17"/>
        <v>43</v>
      </c>
      <c r="E332">
        <f t="shared" ca="1" si="18"/>
        <v>1</v>
      </c>
    </row>
    <row r="333" spans="1:5" x14ac:dyDescent="0.3">
      <c r="A333">
        <v>307</v>
      </c>
      <c r="B333">
        <f t="shared" ca="1" si="19"/>
        <v>36</v>
      </c>
      <c r="C333">
        <f t="shared" ca="1" si="20"/>
        <v>11</v>
      </c>
      <c r="D333">
        <f t="shared" ca="1" si="17"/>
        <v>47</v>
      </c>
      <c r="E333">
        <f t="shared" ca="1" si="18"/>
        <v>1</v>
      </c>
    </row>
    <row r="334" spans="1:5" x14ac:dyDescent="0.3">
      <c r="A334">
        <v>308</v>
      </c>
      <c r="B334">
        <f t="shared" ca="1" si="19"/>
        <v>51</v>
      </c>
      <c r="C334">
        <f t="shared" ca="1" si="20"/>
        <v>12</v>
      </c>
      <c r="D334">
        <f t="shared" ca="1" si="17"/>
        <v>63</v>
      </c>
      <c r="E334">
        <f t="shared" ca="1" si="18"/>
        <v>1</v>
      </c>
    </row>
    <row r="335" spans="1:5" x14ac:dyDescent="0.3">
      <c r="A335">
        <v>309</v>
      </c>
      <c r="B335">
        <f t="shared" ca="1" si="19"/>
        <v>6</v>
      </c>
      <c r="C335">
        <f t="shared" ca="1" si="20"/>
        <v>23</v>
      </c>
      <c r="D335">
        <f t="shared" ca="1" si="17"/>
        <v>29</v>
      </c>
      <c r="E335">
        <f t="shared" ca="1" si="18"/>
        <v>0</v>
      </c>
    </row>
    <row r="336" spans="1:5" x14ac:dyDescent="0.3">
      <c r="A336">
        <v>310</v>
      </c>
      <c r="B336">
        <f t="shared" ca="1" si="19"/>
        <v>17</v>
      </c>
      <c r="C336">
        <f t="shared" ca="1" si="20"/>
        <v>40</v>
      </c>
      <c r="D336">
        <f t="shared" ca="1" si="17"/>
        <v>57</v>
      </c>
      <c r="E336">
        <f t="shared" ca="1" si="18"/>
        <v>1</v>
      </c>
    </row>
    <row r="337" spans="1:5" x14ac:dyDescent="0.3">
      <c r="A337">
        <v>311</v>
      </c>
      <c r="B337">
        <f t="shared" ca="1" si="19"/>
        <v>59</v>
      </c>
      <c r="C337">
        <f t="shared" ca="1" si="20"/>
        <v>21</v>
      </c>
      <c r="D337">
        <f t="shared" ca="1" si="17"/>
        <v>80</v>
      </c>
      <c r="E337">
        <f t="shared" ca="1" si="18"/>
        <v>1</v>
      </c>
    </row>
    <row r="338" spans="1:5" x14ac:dyDescent="0.3">
      <c r="A338">
        <v>312</v>
      </c>
      <c r="B338">
        <f t="shared" ca="1" si="19"/>
        <v>12</v>
      </c>
      <c r="C338">
        <f t="shared" ca="1" si="20"/>
        <v>4</v>
      </c>
      <c r="D338">
        <f t="shared" ca="1" si="17"/>
        <v>16</v>
      </c>
      <c r="E338">
        <f t="shared" ca="1" si="18"/>
        <v>0</v>
      </c>
    </row>
    <row r="339" spans="1:5" x14ac:dyDescent="0.3">
      <c r="A339">
        <v>313</v>
      </c>
      <c r="B339">
        <f t="shared" ca="1" si="19"/>
        <v>9</v>
      </c>
      <c r="C339">
        <f t="shared" ca="1" si="20"/>
        <v>21</v>
      </c>
      <c r="D339">
        <f t="shared" ca="1" si="17"/>
        <v>30</v>
      </c>
      <c r="E339">
        <f t="shared" ca="1" si="18"/>
        <v>0</v>
      </c>
    </row>
    <row r="340" spans="1:5" x14ac:dyDescent="0.3">
      <c r="A340">
        <v>314</v>
      </c>
      <c r="B340">
        <f t="shared" ca="1" si="19"/>
        <v>13</v>
      </c>
      <c r="C340">
        <f t="shared" ca="1" si="20"/>
        <v>10</v>
      </c>
      <c r="D340">
        <f t="shared" ca="1" si="17"/>
        <v>23</v>
      </c>
      <c r="E340">
        <f t="shared" ca="1" si="18"/>
        <v>0</v>
      </c>
    </row>
    <row r="341" spans="1:5" x14ac:dyDescent="0.3">
      <c r="A341">
        <v>315</v>
      </c>
      <c r="B341">
        <f t="shared" ca="1" si="19"/>
        <v>46</v>
      </c>
      <c r="C341">
        <f t="shared" ca="1" si="20"/>
        <v>8</v>
      </c>
      <c r="D341">
        <f t="shared" ca="1" si="17"/>
        <v>54</v>
      </c>
      <c r="E341">
        <f t="shared" ca="1" si="18"/>
        <v>1</v>
      </c>
    </row>
    <row r="342" spans="1:5" x14ac:dyDescent="0.3">
      <c r="A342">
        <v>316</v>
      </c>
      <c r="B342">
        <f t="shared" ca="1" si="19"/>
        <v>52</v>
      </c>
      <c r="C342">
        <f t="shared" ca="1" si="20"/>
        <v>25</v>
      </c>
      <c r="D342">
        <f t="shared" ca="1" si="17"/>
        <v>77</v>
      </c>
      <c r="E342">
        <f t="shared" ca="1" si="18"/>
        <v>1</v>
      </c>
    </row>
    <row r="343" spans="1:5" x14ac:dyDescent="0.3">
      <c r="A343">
        <v>317</v>
      </c>
      <c r="B343">
        <f t="shared" ca="1" si="19"/>
        <v>8</v>
      </c>
      <c r="C343">
        <f t="shared" ca="1" si="20"/>
        <v>17</v>
      </c>
      <c r="D343">
        <f t="shared" ca="1" si="17"/>
        <v>25</v>
      </c>
      <c r="E343">
        <f t="shared" ca="1" si="18"/>
        <v>0</v>
      </c>
    </row>
    <row r="344" spans="1:5" x14ac:dyDescent="0.3">
      <c r="A344">
        <v>318</v>
      </c>
      <c r="B344">
        <f t="shared" ca="1" si="19"/>
        <v>18</v>
      </c>
      <c r="C344">
        <f t="shared" ca="1" si="20"/>
        <v>15</v>
      </c>
      <c r="D344">
        <f t="shared" ca="1" si="17"/>
        <v>33</v>
      </c>
      <c r="E344">
        <f t="shared" ca="1" si="18"/>
        <v>0</v>
      </c>
    </row>
    <row r="345" spans="1:5" x14ac:dyDescent="0.3">
      <c r="A345">
        <v>319</v>
      </c>
      <c r="B345">
        <f t="shared" ca="1" si="19"/>
        <v>21</v>
      </c>
      <c r="C345">
        <f t="shared" ca="1" si="20"/>
        <v>12</v>
      </c>
      <c r="D345">
        <f t="shared" ca="1" si="17"/>
        <v>33</v>
      </c>
      <c r="E345">
        <f t="shared" ca="1" si="18"/>
        <v>0</v>
      </c>
    </row>
    <row r="346" spans="1:5" x14ac:dyDescent="0.3">
      <c r="A346">
        <v>320</v>
      </c>
      <c r="B346">
        <f t="shared" ca="1" si="19"/>
        <v>25</v>
      </c>
      <c r="C346">
        <f t="shared" ca="1" si="20"/>
        <v>18</v>
      </c>
      <c r="D346">
        <f t="shared" ca="1" si="17"/>
        <v>43</v>
      </c>
      <c r="E346">
        <f t="shared" ca="1" si="18"/>
        <v>1</v>
      </c>
    </row>
    <row r="347" spans="1:5" x14ac:dyDescent="0.3">
      <c r="A347">
        <v>321</v>
      </c>
      <c r="B347">
        <f t="shared" ca="1" si="19"/>
        <v>44</v>
      </c>
      <c r="C347">
        <f t="shared" ca="1" si="20"/>
        <v>22</v>
      </c>
      <c r="D347">
        <f t="shared" ca="1" si="17"/>
        <v>66</v>
      </c>
      <c r="E347">
        <f t="shared" ca="1" si="18"/>
        <v>1</v>
      </c>
    </row>
    <row r="348" spans="1:5" x14ac:dyDescent="0.3">
      <c r="A348">
        <v>322</v>
      </c>
      <c r="B348">
        <f t="shared" ca="1" si="19"/>
        <v>59</v>
      </c>
      <c r="C348">
        <f t="shared" ca="1" si="20"/>
        <v>20</v>
      </c>
      <c r="D348">
        <f t="shared" ref="D348:D411" ca="1" si="21">B348+C348</f>
        <v>79</v>
      </c>
      <c r="E348">
        <f t="shared" ref="E348:E411" ca="1" si="22">IF(D348&gt;=40,1,0)</f>
        <v>1</v>
      </c>
    </row>
    <row r="349" spans="1:5" x14ac:dyDescent="0.3">
      <c r="A349">
        <v>323</v>
      </c>
      <c r="B349">
        <f t="shared" ref="B349:B412" ca="1" si="23">RANDBETWEEN(5,60)</f>
        <v>50</v>
      </c>
      <c r="C349">
        <f t="shared" ref="C349:C412" ca="1" si="24">RANDBETWEEN(2,40)</f>
        <v>36</v>
      </c>
      <c r="D349">
        <f t="shared" ca="1" si="21"/>
        <v>86</v>
      </c>
      <c r="E349">
        <f t="shared" ca="1" si="22"/>
        <v>1</v>
      </c>
    </row>
    <row r="350" spans="1:5" x14ac:dyDescent="0.3">
      <c r="A350">
        <v>324</v>
      </c>
      <c r="B350">
        <f t="shared" ca="1" si="23"/>
        <v>55</v>
      </c>
      <c r="C350">
        <f t="shared" ca="1" si="24"/>
        <v>9</v>
      </c>
      <c r="D350">
        <f t="shared" ca="1" si="21"/>
        <v>64</v>
      </c>
      <c r="E350">
        <f t="shared" ca="1" si="22"/>
        <v>1</v>
      </c>
    </row>
    <row r="351" spans="1:5" x14ac:dyDescent="0.3">
      <c r="A351">
        <v>325</v>
      </c>
      <c r="B351">
        <f t="shared" ca="1" si="23"/>
        <v>9</v>
      </c>
      <c r="C351">
        <f t="shared" ca="1" si="24"/>
        <v>10</v>
      </c>
      <c r="D351">
        <f t="shared" ca="1" si="21"/>
        <v>19</v>
      </c>
      <c r="E351">
        <f t="shared" ca="1" si="22"/>
        <v>0</v>
      </c>
    </row>
    <row r="352" spans="1:5" x14ac:dyDescent="0.3">
      <c r="A352">
        <v>326</v>
      </c>
      <c r="B352">
        <f t="shared" ca="1" si="23"/>
        <v>7</v>
      </c>
      <c r="C352">
        <f t="shared" ca="1" si="24"/>
        <v>16</v>
      </c>
      <c r="D352">
        <f t="shared" ca="1" si="21"/>
        <v>23</v>
      </c>
      <c r="E352">
        <f t="shared" ca="1" si="22"/>
        <v>0</v>
      </c>
    </row>
    <row r="353" spans="1:5" x14ac:dyDescent="0.3">
      <c r="A353">
        <v>327</v>
      </c>
      <c r="B353">
        <f t="shared" ca="1" si="23"/>
        <v>35</v>
      </c>
      <c r="C353">
        <f t="shared" ca="1" si="24"/>
        <v>39</v>
      </c>
      <c r="D353">
        <f t="shared" ca="1" si="21"/>
        <v>74</v>
      </c>
      <c r="E353">
        <f t="shared" ca="1" si="22"/>
        <v>1</v>
      </c>
    </row>
    <row r="354" spans="1:5" x14ac:dyDescent="0.3">
      <c r="A354">
        <v>328</v>
      </c>
      <c r="B354">
        <f t="shared" ca="1" si="23"/>
        <v>26</v>
      </c>
      <c r="C354">
        <f t="shared" ca="1" si="24"/>
        <v>26</v>
      </c>
      <c r="D354">
        <f t="shared" ca="1" si="21"/>
        <v>52</v>
      </c>
      <c r="E354">
        <f t="shared" ca="1" si="22"/>
        <v>1</v>
      </c>
    </row>
    <row r="355" spans="1:5" x14ac:dyDescent="0.3">
      <c r="A355">
        <v>329</v>
      </c>
      <c r="B355">
        <f t="shared" ca="1" si="23"/>
        <v>33</v>
      </c>
      <c r="C355">
        <f t="shared" ca="1" si="24"/>
        <v>8</v>
      </c>
      <c r="D355">
        <f t="shared" ca="1" si="21"/>
        <v>41</v>
      </c>
      <c r="E355">
        <f t="shared" ca="1" si="22"/>
        <v>1</v>
      </c>
    </row>
    <row r="356" spans="1:5" x14ac:dyDescent="0.3">
      <c r="A356">
        <v>330</v>
      </c>
      <c r="B356">
        <f t="shared" ca="1" si="23"/>
        <v>39</v>
      </c>
      <c r="C356">
        <f t="shared" ca="1" si="24"/>
        <v>32</v>
      </c>
      <c r="D356">
        <f t="shared" ca="1" si="21"/>
        <v>71</v>
      </c>
      <c r="E356">
        <f t="shared" ca="1" si="22"/>
        <v>1</v>
      </c>
    </row>
    <row r="357" spans="1:5" x14ac:dyDescent="0.3">
      <c r="A357">
        <v>331</v>
      </c>
      <c r="B357">
        <f t="shared" ca="1" si="23"/>
        <v>27</v>
      </c>
      <c r="C357">
        <f t="shared" ca="1" si="24"/>
        <v>23</v>
      </c>
      <c r="D357">
        <f t="shared" ca="1" si="21"/>
        <v>50</v>
      </c>
      <c r="E357">
        <f t="shared" ca="1" si="22"/>
        <v>1</v>
      </c>
    </row>
    <row r="358" spans="1:5" x14ac:dyDescent="0.3">
      <c r="A358">
        <v>332</v>
      </c>
      <c r="B358">
        <f t="shared" ca="1" si="23"/>
        <v>53</v>
      </c>
      <c r="C358">
        <f t="shared" ca="1" si="24"/>
        <v>22</v>
      </c>
      <c r="D358">
        <f t="shared" ca="1" si="21"/>
        <v>75</v>
      </c>
      <c r="E358">
        <f t="shared" ca="1" si="22"/>
        <v>1</v>
      </c>
    </row>
    <row r="359" spans="1:5" x14ac:dyDescent="0.3">
      <c r="A359">
        <v>333</v>
      </c>
      <c r="B359">
        <f t="shared" ca="1" si="23"/>
        <v>18</v>
      </c>
      <c r="C359">
        <f t="shared" ca="1" si="24"/>
        <v>20</v>
      </c>
      <c r="D359">
        <f t="shared" ca="1" si="21"/>
        <v>38</v>
      </c>
      <c r="E359">
        <f t="shared" ca="1" si="22"/>
        <v>0</v>
      </c>
    </row>
    <row r="360" spans="1:5" x14ac:dyDescent="0.3">
      <c r="A360">
        <v>334</v>
      </c>
      <c r="B360">
        <f t="shared" ca="1" si="23"/>
        <v>8</v>
      </c>
      <c r="C360">
        <f t="shared" ca="1" si="24"/>
        <v>38</v>
      </c>
      <c r="D360">
        <f t="shared" ca="1" si="21"/>
        <v>46</v>
      </c>
      <c r="E360">
        <f t="shared" ca="1" si="22"/>
        <v>1</v>
      </c>
    </row>
    <row r="361" spans="1:5" x14ac:dyDescent="0.3">
      <c r="A361">
        <v>335</v>
      </c>
      <c r="B361">
        <f t="shared" ca="1" si="23"/>
        <v>35</v>
      </c>
      <c r="C361">
        <f t="shared" ca="1" si="24"/>
        <v>31</v>
      </c>
      <c r="D361">
        <f t="shared" ca="1" si="21"/>
        <v>66</v>
      </c>
      <c r="E361">
        <f t="shared" ca="1" si="22"/>
        <v>1</v>
      </c>
    </row>
    <row r="362" spans="1:5" x14ac:dyDescent="0.3">
      <c r="A362">
        <v>336</v>
      </c>
      <c r="B362">
        <f t="shared" ca="1" si="23"/>
        <v>52</v>
      </c>
      <c r="C362">
        <f t="shared" ca="1" si="24"/>
        <v>36</v>
      </c>
      <c r="D362">
        <f t="shared" ca="1" si="21"/>
        <v>88</v>
      </c>
      <c r="E362">
        <f t="shared" ca="1" si="22"/>
        <v>1</v>
      </c>
    </row>
    <row r="363" spans="1:5" x14ac:dyDescent="0.3">
      <c r="A363">
        <v>337</v>
      </c>
      <c r="B363">
        <f t="shared" ca="1" si="23"/>
        <v>40</v>
      </c>
      <c r="C363">
        <f t="shared" ca="1" si="24"/>
        <v>21</v>
      </c>
      <c r="D363">
        <f t="shared" ca="1" si="21"/>
        <v>61</v>
      </c>
      <c r="E363">
        <f t="shared" ca="1" si="22"/>
        <v>1</v>
      </c>
    </row>
    <row r="364" spans="1:5" x14ac:dyDescent="0.3">
      <c r="A364">
        <v>338</v>
      </c>
      <c r="B364">
        <f t="shared" ca="1" si="23"/>
        <v>28</v>
      </c>
      <c r="C364">
        <f t="shared" ca="1" si="24"/>
        <v>28</v>
      </c>
      <c r="D364">
        <f t="shared" ca="1" si="21"/>
        <v>56</v>
      </c>
      <c r="E364">
        <f t="shared" ca="1" si="22"/>
        <v>1</v>
      </c>
    </row>
    <row r="365" spans="1:5" x14ac:dyDescent="0.3">
      <c r="A365">
        <v>339</v>
      </c>
      <c r="B365">
        <f t="shared" ca="1" si="23"/>
        <v>30</v>
      </c>
      <c r="C365">
        <f t="shared" ca="1" si="24"/>
        <v>4</v>
      </c>
      <c r="D365">
        <f t="shared" ca="1" si="21"/>
        <v>34</v>
      </c>
      <c r="E365">
        <f t="shared" ca="1" si="22"/>
        <v>0</v>
      </c>
    </row>
    <row r="366" spans="1:5" x14ac:dyDescent="0.3">
      <c r="A366">
        <v>340</v>
      </c>
      <c r="B366">
        <f t="shared" ca="1" si="23"/>
        <v>26</v>
      </c>
      <c r="C366">
        <f t="shared" ca="1" si="24"/>
        <v>11</v>
      </c>
      <c r="D366">
        <f t="shared" ca="1" si="21"/>
        <v>37</v>
      </c>
      <c r="E366">
        <f t="shared" ca="1" si="22"/>
        <v>0</v>
      </c>
    </row>
    <row r="367" spans="1:5" x14ac:dyDescent="0.3">
      <c r="A367">
        <v>341</v>
      </c>
      <c r="B367">
        <f t="shared" ca="1" si="23"/>
        <v>30</v>
      </c>
      <c r="C367">
        <f t="shared" ca="1" si="24"/>
        <v>15</v>
      </c>
      <c r="D367">
        <f t="shared" ca="1" si="21"/>
        <v>45</v>
      </c>
      <c r="E367">
        <f t="shared" ca="1" si="22"/>
        <v>1</v>
      </c>
    </row>
    <row r="368" spans="1:5" x14ac:dyDescent="0.3">
      <c r="A368">
        <v>342</v>
      </c>
      <c r="B368">
        <f t="shared" ca="1" si="23"/>
        <v>37</v>
      </c>
      <c r="C368">
        <f t="shared" ca="1" si="24"/>
        <v>5</v>
      </c>
      <c r="D368">
        <f t="shared" ca="1" si="21"/>
        <v>42</v>
      </c>
      <c r="E368">
        <f t="shared" ca="1" si="22"/>
        <v>1</v>
      </c>
    </row>
    <row r="369" spans="1:5" x14ac:dyDescent="0.3">
      <c r="A369">
        <v>343</v>
      </c>
      <c r="B369">
        <f t="shared" ca="1" si="23"/>
        <v>18</v>
      </c>
      <c r="C369">
        <f t="shared" ca="1" si="24"/>
        <v>23</v>
      </c>
      <c r="D369">
        <f t="shared" ca="1" si="21"/>
        <v>41</v>
      </c>
      <c r="E369">
        <f t="shared" ca="1" si="22"/>
        <v>1</v>
      </c>
    </row>
    <row r="370" spans="1:5" x14ac:dyDescent="0.3">
      <c r="A370">
        <v>344</v>
      </c>
      <c r="B370">
        <f t="shared" ca="1" si="23"/>
        <v>14</v>
      </c>
      <c r="C370">
        <f t="shared" ca="1" si="24"/>
        <v>25</v>
      </c>
      <c r="D370">
        <f t="shared" ca="1" si="21"/>
        <v>39</v>
      </c>
      <c r="E370">
        <f t="shared" ca="1" si="22"/>
        <v>0</v>
      </c>
    </row>
    <row r="371" spans="1:5" x14ac:dyDescent="0.3">
      <c r="A371">
        <v>345</v>
      </c>
      <c r="B371">
        <f t="shared" ca="1" si="23"/>
        <v>29</v>
      </c>
      <c r="C371">
        <f t="shared" ca="1" si="24"/>
        <v>28</v>
      </c>
      <c r="D371">
        <f t="shared" ca="1" si="21"/>
        <v>57</v>
      </c>
      <c r="E371">
        <f t="shared" ca="1" si="22"/>
        <v>1</v>
      </c>
    </row>
    <row r="372" spans="1:5" x14ac:dyDescent="0.3">
      <c r="A372">
        <v>346</v>
      </c>
      <c r="B372">
        <f t="shared" ca="1" si="23"/>
        <v>6</v>
      </c>
      <c r="C372">
        <f t="shared" ca="1" si="24"/>
        <v>30</v>
      </c>
      <c r="D372">
        <f t="shared" ca="1" si="21"/>
        <v>36</v>
      </c>
      <c r="E372">
        <f t="shared" ca="1" si="22"/>
        <v>0</v>
      </c>
    </row>
    <row r="373" spans="1:5" x14ac:dyDescent="0.3">
      <c r="A373">
        <v>347</v>
      </c>
      <c r="B373">
        <f t="shared" ca="1" si="23"/>
        <v>44</v>
      </c>
      <c r="C373">
        <f t="shared" ca="1" si="24"/>
        <v>7</v>
      </c>
      <c r="D373">
        <f t="shared" ca="1" si="21"/>
        <v>51</v>
      </c>
      <c r="E373">
        <f t="shared" ca="1" si="22"/>
        <v>1</v>
      </c>
    </row>
    <row r="374" spans="1:5" x14ac:dyDescent="0.3">
      <c r="A374">
        <v>348</v>
      </c>
      <c r="B374">
        <f t="shared" ca="1" si="23"/>
        <v>60</v>
      </c>
      <c r="C374">
        <f t="shared" ca="1" si="24"/>
        <v>37</v>
      </c>
      <c r="D374">
        <f t="shared" ca="1" si="21"/>
        <v>97</v>
      </c>
      <c r="E374">
        <f t="shared" ca="1" si="22"/>
        <v>1</v>
      </c>
    </row>
    <row r="375" spans="1:5" x14ac:dyDescent="0.3">
      <c r="A375">
        <v>349</v>
      </c>
      <c r="B375">
        <f t="shared" ca="1" si="23"/>
        <v>32</v>
      </c>
      <c r="C375">
        <f t="shared" ca="1" si="24"/>
        <v>8</v>
      </c>
      <c r="D375">
        <f t="shared" ca="1" si="21"/>
        <v>40</v>
      </c>
      <c r="E375">
        <f t="shared" ca="1" si="22"/>
        <v>1</v>
      </c>
    </row>
    <row r="376" spans="1:5" x14ac:dyDescent="0.3">
      <c r="A376">
        <v>350</v>
      </c>
      <c r="B376">
        <f t="shared" ca="1" si="23"/>
        <v>28</v>
      </c>
      <c r="C376">
        <f t="shared" ca="1" si="24"/>
        <v>19</v>
      </c>
      <c r="D376">
        <f t="shared" ca="1" si="21"/>
        <v>47</v>
      </c>
      <c r="E376">
        <f t="shared" ca="1" si="22"/>
        <v>1</v>
      </c>
    </row>
    <row r="377" spans="1:5" x14ac:dyDescent="0.3">
      <c r="A377">
        <v>351</v>
      </c>
      <c r="B377">
        <f t="shared" ca="1" si="23"/>
        <v>5</v>
      </c>
      <c r="C377">
        <f t="shared" ca="1" si="24"/>
        <v>39</v>
      </c>
      <c r="D377">
        <f t="shared" ca="1" si="21"/>
        <v>44</v>
      </c>
      <c r="E377">
        <f t="shared" ca="1" si="22"/>
        <v>1</v>
      </c>
    </row>
    <row r="378" spans="1:5" x14ac:dyDescent="0.3">
      <c r="A378">
        <v>352</v>
      </c>
      <c r="B378">
        <f t="shared" ca="1" si="23"/>
        <v>43</v>
      </c>
      <c r="C378">
        <f t="shared" ca="1" si="24"/>
        <v>10</v>
      </c>
      <c r="D378">
        <f t="shared" ca="1" si="21"/>
        <v>53</v>
      </c>
      <c r="E378">
        <f t="shared" ca="1" si="22"/>
        <v>1</v>
      </c>
    </row>
    <row r="379" spans="1:5" x14ac:dyDescent="0.3">
      <c r="A379">
        <v>353</v>
      </c>
      <c r="B379">
        <f t="shared" ca="1" si="23"/>
        <v>34</v>
      </c>
      <c r="C379">
        <f t="shared" ca="1" si="24"/>
        <v>35</v>
      </c>
      <c r="D379">
        <f t="shared" ca="1" si="21"/>
        <v>69</v>
      </c>
      <c r="E379">
        <f t="shared" ca="1" si="22"/>
        <v>1</v>
      </c>
    </row>
    <row r="380" spans="1:5" x14ac:dyDescent="0.3">
      <c r="A380">
        <v>354</v>
      </c>
      <c r="B380">
        <f t="shared" ca="1" si="23"/>
        <v>15</v>
      </c>
      <c r="C380">
        <f t="shared" ca="1" si="24"/>
        <v>18</v>
      </c>
      <c r="D380">
        <f t="shared" ca="1" si="21"/>
        <v>33</v>
      </c>
      <c r="E380">
        <f t="shared" ca="1" si="22"/>
        <v>0</v>
      </c>
    </row>
    <row r="381" spans="1:5" x14ac:dyDescent="0.3">
      <c r="A381">
        <v>355</v>
      </c>
      <c r="B381">
        <f t="shared" ca="1" si="23"/>
        <v>12</v>
      </c>
      <c r="C381">
        <f t="shared" ca="1" si="24"/>
        <v>18</v>
      </c>
      <c r="D381">
        <f t="shared" ca="1" si="21"/>
        <v>30</v>
      </c>
      <c r="E381">
        <f t="shared" ca="1" si="22"/>
        <v>0</v>
      </c>
    </row>
    <row r="382" spans="1:5" x14ac:dyDescent="0.3">
      <c r="A382">
        <v>356</v>
      </c>
      <c r="B382">
        <f t="shared" ca="1" si="23"/>
        <v>52</v>
      </c>
      <c r="C382">
        <f t="shared" ca="1" si="24"/>
        <v>32</v>
      </c>
      <c r="D382">
        <f t="shared" ca="1" si="21"/>
        <v>84</v>
      </c>
      <c r="E382">
        <f t="shared" ca="1" si="22"/>
        <v>1</v>
      </c>
    </row>
    <row r="383" spans="1:5" x14ac:dyDescent="0.3">
      <c r="A383">
        <v>357</v>
      </c>
      <c r="B383">
        <f t="shared" ca="1" si="23"/>
        <v>53</v>
      </c>
      <c r="C383">
        <f t="shared" ca="1" si="24"/>
        <v>33</v>
      </c>
      <c r="D383">
        <f t="shared" ca="1" si="21"/>
        <v>86</v>
      </c>
      <c r="E383">
        <f t="shared" ca="1" si="22"/>
        <v>1</v>
      </c>
    </row>
    <row r="384" spans="1:5" x14ac:dyDescent="0.3">
      <c r="A384">
        <v>358</v>
      </c>
      <c r="B384">
        <f t="shared" ca="1" si="23"/>
        <v>59</v>
      </c>
      <c r="C384">
        <f t="shared" ca="1" si="24"/>
        <v>37</v>
      </c>
      <c r="D384">
        <f t="shared" ca="1" si="21"/>
        <v>96</v>
      </c>
      <c r="E384">
        <f t="shared" ca="1" si="22"/>
        <v>1</v>
      </c>
    </row>
    <row r="385" spans="1:5" x14ac:dyDescent="0.3">
      <c r="A385">
        <v>359</v>
      </c>
      <c r="B385">
        <f t="shared" ca="1" si="23"/>
        <v>22</v>
      </c>
      <c r="C385">
        <f t="shared" ca="1" si="24"/>
        <v>8</v>
      </c>
      <c r="D385">
        <f t="shared" ca="1" si="21"/>
        <v>30</v>
      </c>
      <c r="E385">
        <f t="shared" ca="1" si="22"/>
        <v>0</v>
      </c>
    </row>
    <row r="386" spans="1:5" x14ac:dyDescent="0.3">
      <c r="A386">
        <v>360</v>
      </c>
      <c r="B386">
        <f t="shared" ca="1" si="23"/>
        <v>18</v>
      </c>
      <c r="C386">
        <f t="shared" ca="1" si="24"/>
        <v>11</v>
      </c>
      <c r="D386">
        <f t="shared" ca="1" si="21"/>
        <v>29</v>
      </c>
      <c r="E386">
        <f t="shared" ca="1" si="22"/>
        <v>0</v>
      </c>
    </row>
    <row r="387" spans="1:5" x14ac:dyDescent="0.3">
      <c r="A387">
        <v>361</v>
      </c>
      <c r="B387">
        <f t="shared" ca="1" si="23"/>
        <v>34</v>
      </c>
      <c r="C387">
        <f t="shared" ca="1" si="24"/>
        <v>37</v>
      </c>
      <c r="D387">
        <f t="shared" ca="1" si="21"/>
        <v>71</v>
      </c>
      <c r="E387">
        <f t="shared" ca="1" si="22"/>
        <v>1</v>
      </c>
    </row>
    <row r="388" spans="1:5" x14ac:dyDescent="0.3">
      <c r="A388">
        <v>362</v>
      </c>
      <c r="B388">
        <f t="shared" ca="1" si="23"/>
        <v>37</v>
      </c>
      <c r="C388">
        <f t="shared" ca="1" si="24"/>
        <v>14</v>
      </c>
      <c r="D388">
        <f t="shared" ca="1" si="21"/>
        <v>51</v>
      </c>
      <c r="E388">
        <f t="shared" ca="1" si="22"/>
        <v>1</v>
      </c>
    </row>
    <row r="389" spans="1:5" x14ac:dyDescent="0.3">
      <c r="A389">
        <v>363</v>
      </c>
      <c r="B389">
        <f t="shared" ca="1" si="23"/>
        <v>39</v>
      </c>
      <c r="C389">
        <f t="shared" ca="1" si="24"/>
        <v>18</v>
      </c>
      <c r="D389">
        <f t="shared" ca="1" si="21"/>
        <v>57</v>
      </c>
      <c r="E389">
        <f t="shared" ca="1" si="22"/>
        <v>1</v>
      </c>
    </row>
    <row r="390" spans="1:5" x14ac:dyDescent="0.3">
      <c r="A390">
        <v>364</v>
      </c>
      <c r="B390">
        <f t="shared" ca="1" si="23"/>
        <v>30</v>
      </c>
      <c r="C390">
        <f t="shared" ca="1" si="24"/>
        <v>20</v>
      </c>
      <c r="D390">
        <f t="shared" ca="1" si="21"/>
        <v>50</v>
      </c>
      <c r="E390">
        <f t="shared" ca="1" si="22"/>
        <v>1</v>
      </c>
    </row>
    <row r="391" spans="1:5" x14ac:dyDescent="0.3">
      <c r="A391">
        <v>365</v>
      </c>
      <c r="B391">
        <f t="shared" ca="1" si="23"/>
        <v>11</v>
      </c>
      <c r="C391">
        <f t="shared" ca="1" si="24"/>
        <v>22</v>
      </c>
      <c r="D391">
        <f t="shared" ca="1" si="21"/>
        <v>33</v>
      </c>
      <c r="E391">
        <f t="shared" ca="1" si="22"/>
        <v>0</v>
      </c>
    </row>
    <row r="392" spans="1:5" x14ac:dyDescent="0.3">
      <c r="A392">
        <v>366</v>
      </c>
      <c r="B392">
        <f t="shared" ca="1" si="23"/>
        <v>51</v>
      </c>
      <c r="C392">
        <f t="shared" ca="1" si="24"/>
        <v>25</v>
      </c>
      <c r="D392">
        <f t="shared" ca="1" si="21"/>
        <v>76</v>
      </c>
      <c r="E392">
        <f t="shared" ca="1" si="22"/>
        <v>1</v>
      </c>
    </row>
    <row r="393" spans="1:5" x14ac:dyDescent="0.3">
      <c r="A393">
        <v>367</v>
      </c>
      <c r="B393">
        <f t="shared" ca="1" si="23"/>
        <v>24</v>
      </c>
      <c r="C393">
        <f t="shared" ca="1" si="24"/>
        <v>9</v>
      </c>
      <c r="D393">
        <f t="shared" ca="1" si="21"/>
        <v>33</v>
      </c>
      <c r="E393">
        <f t="shared" ca="1" si="22"/>
        <v>0</v>
      </c>
    </row>
    <row r="394" spans="1:5" x14ac:dyDescent="0.3">
      <c r="A394">
        <v>368</v>
      </c>
      <c r="B394">
        <f t="shared" ca="1" si="23"/>
        <v>14</v>
      </c>
      <c r="C394">
        <f t="shared" ca="1" si="24"/>
        <v>32</v>
      </c>
      <c r="D394">
        <f t="shared" ca="1" si="21"/>
        <v>46</v>
      </c>
      <c r="E394">
        <f t="shared" ca="1" si="22"/>
        <v>1</v>
      </c>
    </row>
    <row r="395" spans="1:5" x14ac:dyDescent="0.3">
      <c r="A395">
        <v>369</v>
      </c>
      <c r="B395">
        <f t="shared" ca="1" si="23"/>
        <v>13</v>
      </c>
      <c r="C395">
        <f t="shared" ca="1" si="24"/>
        <v>28</v>
      </c>
      <c r="D395">
        <f t="shared" ca="1" si="21"/>
        <v>41</v>
      </c>
      <c r="E395">
        <f t="shared" ca="1" si="22"/>
        <v>1</v>
      </c>
    </row>
    <row r="396" spans="1:5" x14ac:dyDescent="0.3">
      <c r="A396">
        <v>370</v>
      </c>
      <c r="B396">
        <f t="shared" ca="1" si="23"/>
        <v>23</v>
      </c>
      <c r="C396">
        <f t="shared" ca="1" si="24"/>
        <v>2</v>
      </c>
      <c r="D396">
        <f t="shared" ca="1" si="21"/>
        <v>25</v>
      </c>
      <c r="E396">
        <f t="shared" ca="1" si="22"/>
        <v>0</v>
      </c>
    </row>
    <row r="397" spans="1:5" x14ac:dyDescent="0.3">
      <c r="A397">
        <v>371</v>
      </c>
      <c r="B397">
        <f t="shared" ca="1" si="23"/>
        <v>54</v>
      </c>
      <c r="C397">
        <f t="shared" ca="1" si="24"/>
        <v>38</v>
      </c>
      <c r="D397">
        <f t="shared" ca="1" si="21"/>
        <v>92</v>
      </c>
      <c r="E397">
        <f t="shared" ca="1" si="22"/>
        <v>1</v>
      </c>
    </row>
    <row r="398" spans="1:5" x14ac:dyDescent="0.3">
      <c r="A398">
        <v>372</v>
      </c>
      <c r="B398">
        <f t="shared" ca="1" si="23"/>
        <v>53</v>
      </c>
      <c r="C398">
        <f t="shared" ca="1" si="24"/>
        <v>37</v>
      </c>
      <c r="D398">
        <f t="shared" ca="1" si="21"/>
        <v>90</v>
      </c>
      <c r="E398">
        <f t="shared" ca="1" si="22"/>
        <v>1</v>
      </c>
    </row>
    <row r="399" spans="1:5" x14ac:dyDescent="0.3">
      <c r="A399">
        <v>373</v>
      </c>
      <c r="B399">
        <f t="shared" ca="1" si="23"/>
        <v>50</v>
      </c>
      <c r="C399">
        <f t="shared" ca="1" si="24"/>
        <v>25</v>
      </c>
      <c r="D399">
        <f t="shared" ca="1" si="21"/>
        <v>75</v>
      </c>
      <c r="E399">
        <f t="shared" ca="1" si="22"/>
        <v>1</v>
      </c>
    </row>
    <row r="400" spans="1:5" x14ac:dyDescent="0.3">
      <c r="A400">
        <v>374</v>
      </c>
      <c r="B400">
        <f t="shared" ca="1" si="23"/>
        <v>8</v>
      </c>
      <c r="C400">
        <f t="shared" ca="1" si="24"/>
        <v>10</v>
      </c>
      <c r="D400">
        <f t="shared" ca="1" si="21"/>
        <v>18</v>
      </c>
      <c r="E400">
        <f t="shared" ca="1" si="22"/>
        <v>0</v>
      </c>
    </row>
    <row r="401" spans="1:5" x14ac:dyDescent="0.3">
      <c r="A401">
        <v>375</v>
      </c>
      <c r="B401">
        <f t="shared" ca="1" si="23"/>
        <v>33</v>
      </c>
      <c r="C401">
        <f t="shared" ca="1" si="24"/>
        <v>18</v>
      </c>
      <c r="D401">
        <f t="shared" ca="1" si="21"/>
        <v>51</v>
      </c>
      <c r="E401">
        <f t="shared" ca="1" si="22"/>
        <v>1</v>
      </c>
    </row>
    <row r="402" spans="1:5" x14ac:dyDescent="0.3">
      <c r="A402">
        <v>376</v>
      </c>
      <c r="B402">
        <f t="shared" ca="1" si="23"/>
        <v>7</v>
      </c>
      <c r="C402">
        <f t="shared" ca="1" si="24"/>
        <v>36</v>
      </c>
      <c r="D402">
        <f t="shared" ca="1" si="21"/>
        <v>43</v>
      </c>
      <c r="E402">
        <f t="shared" ca="1" si="22"/>
        <v>1</v>
      </c>
    </row>
    <row r="403" spans="1:5" x14ac:dyDescent="0.3">
      <c r="A403">
        <v>377</v>
      </c>
      <c r="B403">
        <f t="shared" ca="1" si="23"/>
        <v>49</v>
      </c>
      <c r="C403">
        <f t="shared" ca="1" si="24"/>
        <v>2</v>
      </c>
      <c r="D403">
        <f t="shared" ca="1" si="21"/>
        <v>51</v>
      </c>
      <c r="E403">
        <f t="shared" ca="1" si="22"/>
        <v>1</v>
      </c>
    </row>
    <row r="404" spans="1:5" x14ac:dyDescent="0.3">
      <c r="A404">
        <v>378</v>
      </c>
      <c r="B404">
        <f t="shared" ca="1" si="23"/>
        <v>32</v>
      </c>
      <c r="C404">
        <f t="shared" ca="1" si="24"/>
        <v>40</v>
      </c>
      <c r="D404">
        <f t="shared" ca="1" si="21"/>
        <v>72</v>
      </c>
      <c r="E404">
        <f t="shared" ca="1" si="22"/>
        <v>1</v>
      </c>
    </row>
    <row r="405" spans="1:5" x14ac:dyDescent="0.3">
      <c r="A405">
        <v>379</v>
      </c>
      <c r="B405">
        <f t="shared" ca="1" si="23"/>
        <v>27</v>
      </c>
      <c r="C405">
        <f t="shared" ca="1" si="24"/>
        <v>28</v>
      </c>
      <c r="D405">
        <f t="shared" ca="1" si="21"/>
        <v>55</v>
      </c>
      <c r="E405">
        <f t="shared" ca="1" si="22"/>
        <v>1</v>
      </c>
    </row>
    <row r="406" spans="1:5" x14ac:dyDescent="0.3">
      <c r="A406">
        <v>380</v>
      </c>
      <c r="B406">
        <f t="shared" ca="1" si="23"/>
        <v>16</v>
      </c>
      <c r="C406">
        <f t="shared" ca="1" si="24"/>
        <v>16</v>
      </c>
      <c r="D406">
        <f t="shared" ca="1" si="21"/>
        <v>32</v>
      </c>
      <c r="E406">
        <f t="shared" ca="1" si="22"/>
        <v>0</v>
      </c>
    </row>
    <row r="407" spans="1:5" x14ac:dyDescent="0.3">
      <c r="A407">
        <v>381</v>
      </c>
      <c r="B407">
        <f t="shared" ca="1" si="23"/>
        <v>37</v>
      </c>
      <c r="C407">
        <f t="shared" ca="1" si="24"/>
        <v>24</v>
      </c>
      <c r="D407">
        <f t="shared" ca="1" si="21"/>
        <v>61</v>
      </c>
      <c r="E407">
        <f t="shared" ca="1" si="22"/>
        <v>1</v>
      </c>
    </row>
    <row r="408" spans="1:5" x14ac:dyDescent="0.3">
      <c r="A408">
        <v>382</v>
      </c>
      <c r="B408">
        <f t="shared" ca="1" si="23"/>
        <v>11</v>
      </c>
      <c r="C408">
        <f t="shared" ca="1" si="24"/>
        <v>14</v>
      </c>
      <c r="D408">
        <f t="shared" ca="1" si="21"/>
        <v>25</v>
      </c>
      <c r="E408">
        <f t="shared" ca="1" si="22"/>
        <v>0</v>
      </c>
    </row>
    <row r="409" spans="1:5" x14ac:dyDescent="0.3">
      <c r="A409">
        <v>383</v>
      </c>
      <c r="B409">
        <f t="shared" ca="1" si="23"/>
        <v>7</v>
      </c>
      <c r="C409">
        <f t="shared" ca="1" si="24"/>
        <v>40</v>
      </c>
      <c r="D409">
        <f t="shared" ca="1" si="21"/>
        <v>47</v>
      </c>
      <c r="E409">
        <f t="shared" ca="1" si="22"/>
        <v>1</v>
      </c>
    </row>
    <row r="410" spans="1:5" x14ac:dyDescent="0.3">
      <c r="A410">
        <v>384</v>
      </c>
      <c r="B410">
        <f t="shared" ca="1" si="23"/>
        <v>31</v>
      </c>
      <c r="C410">
        <f t="shared" ca="1" si="24"/>
        <v>17</v>
      </c>
      <c r="D410">
        <f t="shared" ca="1" si="21"/>
        <v>48</v>
      </c>
      <c r="E410">
        <f t="shared" ca="1" si="22"/>
        <v>1</v>
      </c>
    </row>
    <row r="411" spans="1:5" x14ac:dyDescent="0.3">
      <c r="A411">
        <v>385</v>
      </c>
      <c r="B411">
        <f t="shared" ca="1" si="23"/>
        <v>33</v>
      </c>
      <c r="C411">
        <f t="shared" ca="1" si="24"/>
        <v>28</v>
      </c>
      <c r="D411">
        <f t="shared" ca="1" si="21"/>
        <v>61</v>
      </c>
      <c r="E411">
        <f t="shared" ca="1" si="22"/>
        <v>1</v>
      </c>
    </row>
    <row r="412" spans="1:5" x14ac:dyDescent="0.3">
      <c r="A412">
        <v>386</v>
      </c>
      <c r="B412">
        <f t="shared" ca="1" si="23"/>
        <v>33</v>
      </c>
      <c r="C412">
        <f t="shared" ca="1" si="24"/>
        <v>14</v>
      </c>
      <c r="D412">
        <f t="shared" ref="D412:D475" ca="1" si="25">B412+C412</f>
        <v>47</v>
      </c>
      <c r="E412">
        <f t="shared" ref="E412:E475" ca="1" si="26">IF(D412&gt;=40,1,0)</f>
        <v>1</v>
      </c>
    </row>
    <row r="413" spans="1:5" x14ac:dyDescent="0.3">
      <c r="A413">
        <v>387</v>
      </c>
      <c r="B413">
        <f t="shared" ref="B413:B476" ca="1" si="27">RANDBETWEEN(5,60)</f>
        <v>27</v>
      </c>
      <c r="C413">
        <f t="shared" ref="C413:C476" ca="1" si="28">RANDBETWEEN(2,40)</f>
        <v>6</v>
      </c>
      <c r="D413">
        <f t="shared" ca="1" si="25"/>
        <v>33</v>
      </c>
      <c r="E413">
        <f t="shared" ca="1" si="26"/>
        <v>0</v>
      </c>
    </row>
    <row r="414" spans="1:5" x14ac:dyDescent="0.3">
      <c r="A414">
        <v>388</v>
      </c>
      <c r="B414">
        <f t="shared" ca="1" si="27"/>
        <v>42</v>
      </c>
      <c r="C414">
        <f t="shared" ca="1" si="28"/>
        <v>26</v>
      </c>
      <c r="D414">
        <f t="shared" ca="1" si="25"/>
        <v>68</v>
      </c>
      <c r="E414">
        <f t="shared" ca="1" si="26"/>
        <v>1</v>
      </c>
    </row>
    <row r="415" spans="1:5" x14ac:dyDescent="0.3">
      <c r="A415">
        <v>389</v>
      </c>
      <c r="B415">
        <f t="shared" ca="1" si="27"/>
        <v>13</v>
      </c>
      <c r="C415">
        <f t="shared" ca="1" si="28"/>
        <v>24</v>
      </c>
      <c r="D415">
        <f t="shared" ca="1" si="25"/>
        <v>37</v>
      </c>
      <c r="E415">
        <f t="shared" ca="1" si="26"/>
        <v>0</v>
      </c>
    </row>
    <row r="416" spans="1:5" x14ac:dyDescent="0.3">
      <c r="A416">
        <v>390</v>
      </c>
      <c r="B416">
        <f t="shared" ca="1" si="27"/>
        <v>39</v>
      </c>
      <c r="C416">
        <f t="shared" ca="1" si="28"/>
        <v>11</v>
      </c>
      <c r="D416">
        <f t="shared" ca="1" si="25"/>
        <v>50</v>
      </c>
      <c r="E416">
        <f t="shared" ca="1" si="26"/>
        <v>1</v>
      </c>
    </row>
    <row r="417" spans="1:5" x14ac:dyDescent="0.3">
      <c r="A417">
        <v>391</v>
      </c>
      <c r="B417">
        <f t="shared" ca="1" si="27"/>
        <v>27</v>
      </c>
      <c r="C417">
        <f t="shared" ca="1" si="28"/>
        <v>4</v>
      </c>
      <c r="D417">
        <f t="shared" ca="1" si="25"/>
        <v>31</v>
      </c>
      <c r="E417">
        <f t="shared" ca="1" si="26"/>
        <v>0</v>
      </c>
    </row>
    <row r="418" spans="1:5" x14ac:dyDescent="0.3">
      <c r="A418">
        <v>392</v>
      </c>
      <c r="B418">
        <f t="shared" ca="1" si="27"/>
        <v>41</v>
      </c>
      <c r="C418">
        <f t="shared" ca="1" si="28"/>
        <v>7</v>
      </c>
      <c r="D418">
        <f t="shared" ca="1" si="25"/>
        <v>48</v>
      </c>
      <c r="E418">
        <f t="shared" ca="1" si="26"/>
        <v>1</v>
      </c>
    </row>
    <row r="419" spans="1:5" x14ac:dyDescent="0.3">
      <c r="A419">
        <v>393</v>
      </c>
      <c r="B419">
        <f t="shared" ca="1" si="27"/>
        <v>25</v>
      </c>
      <c r="C419">
        <f t="shared" ca="1" si="28"/>
        <v>6</v>
      </c>
      <c r="D419">
        <f t="shared" ca="1" si="25"/>
        <v>31</v>
      </c>
      <c r="E419">
        <f t="shared" ca="1" si="26"/>
        <v>0</v>
      </c>
    </row>
    <row r="420" spans="1:5" x14ac:dyDescent="0.3">
      <c r="A420">
        <v>394</v>
      </c>
      <c r="B420">
        <f t="shared" ca="1" si="27"/>
        <v>23</v>
      </c>
      <c r="C420">
        <f t="shared" ca="1" si="28"/>
        <v>20</v>
      </c>
      <c r="D420">
        <f t="shared" ca="1" si="25"/>
        <v>43</v>
      </c>
      <c r="E420">
        <f t="shared" ca="1" si="26"/>
        <v>1</v>
      </c>
    </row>
    <row r="421" spans="1:5" x14ac:dyDescent="0.3">
      <c r="A421">
        <v>395</v>
      </c>
      <c r="B421">
        <f t="shared" ca="1" si="27"/>
        <v>39</v>
      </c>
      <c r="C421">
        <f t="shared" ca="1" si="28"/>
        <v>38</v>
      </c>
      <c r="D421">
        <f t="shared" ca="1" si="25"/>
        <v>77</v>
      </c>
      <c r="E421">
        <f t="shared" ca="1" si="26"/>
        <v>1</v>
      </c>
    </row>
    <row r="422" spans="1:5" x14ac:dyDescent="0.3">
      <c r="A422">
        <v>396</v>
      </c>
      <c r="B422">
        <f t="shared" ca="1" si="27"/>
        <v>21</v>
      </c>
      <c r="C422">
        <f t="shared" ca="1" si="28"/>
        <v>28</v>
      </c>
      <c r="D422">
        <f t="shared" ca="1" si="25"/>
        <v>49</v>
      </c>
      <c r="E422">
        <f t="shared" ca="1" si="26"/>
        <v>1</v>
      </c>
    </row>
    <row r="423" spans="1:5" x14ac:dyDescent="0.3">
      <c r="A423">
        <v>397</v>
      </c>
      <c r="B423">
        <f t="shared" ca="1" si="27"/>
        <v>20</v>
      </c>
      <c r="C423">
        <f t="shared" ca="1" si="28"/>
        <v>23</v>
      </c>
      <c r="D423">
        <f t="shared" ca="1" si="25"/>
        <v>43</v>
      </c>
      <c r="E423">
        <f t="shared" ca="1" si="26"/>
        <v>1</v>
      </c>
    </row>
    <row r="424" spans="1:5" x14ac:dyDescent="0.3">
      <c r="A424">
        <v>398</v>
      </c>
      <c r="B424">
        <f t="shared" ca="1" si="27"/>
        <v>5</v>
      </c>
      <c r="C424">
        <f t="shared" ca="1" si="28"/>
        <v>29</v>
      </c>
      <c r="D424">
        <f t="shared" ca="1" si="25"/>
        <v>34</v>
      </c>
      <c r="E424">
        <f t="shared" ca="1" si="26"/>
        <v>0</v>
      </c>
    </row>
    <row r="425" spans="1:5" x14ac:dyDescent="0.3">
      <c r="A425">
        <v>399</v>
      </c>
      <c r="B425">
        <f t="shared" ca="1" si="27"/>
        <v>20</v>
      </c>
      <c r="C425">
        <f t="shared" ca="1" si="28"/>
        <v>21</v>
      </c>
      <c r="D425">
        <f t="shared" ca="1" si="25"/>
        <v>41</v>
      </c>
      <c r="E425">
        <f t="shared" ca="1" si="26"/>
        <v>1</v>
      </c>
    </row>
    <row r="426" spans="1:5" x14ac:dyDescent="0.3">
      <c r="A426">
        <v>400</v>
      </c>
      <c r="B426">
        <f t="shared" ca="1" si="27"/>
        <v>39</v>
      </c>
      <c r="C426">
        <f t="shared" ca="1" si="28"/>
        <v>17</v>
      </c>
      <c r="D426">
        <f t="shared" ca="1" si="25"/>
        <v>56</v>
      </c>
      <c r="E426">
        <f t="shared" ca="1" si="26"/>
        <v>1</v>
      </c>
    </row>
    <row r="427" spans="1:5" x14ac:dyDescent="0.3">
      <c r="A427">
        <v>401</v>
      </c>
      <c r="B427">
        <f t="shared" ca="1" si="27"/>
        <v>56</v>
      </c>
      <c r="C427">
        <f t="shared" ca="1" si="28"/>
        <v>7</v>
      </c>
      <c r="D427">
        <f t="shared" ca="1" si="25"/>
        <v>63</v>
      </c>
      <c r="E427">
        <f t="shared" ca="1" si="26"/>
        <v>1</v>
      </c>
    </row>
    <row r="428" spans="1:5" x14ac:dyDescent="0.3">
      <c r="A428">
        <v>402</v>
      </c>
      <c r="B428">
        <f t="shared" ca="1" si="27"/>
        <v>38</v>
      </c>
      <c r="C428">
        <f t="shared" ca="1" si="28"/>
        <v>37</v>
      </c>
      <c r="D428">
        <f t="shared" ca="1" si="25"/>
        <v>75</v>
      </c>
      <c r="E428">
        <f t="shared" ca="1" si="26"/>
        <v>1</v>
      </c>
    </row>
    <row r="429" spans="1:5" x14ac:dyDescent="0.3">
      <c r="A429">
        <v>403</v>
      </c>
      <c r="B429">
        <f t="shared" ca="1" si="27"/>
        <v>40</v>
      </c>
      <c r="C429">
        <f t="shared" ca="1" si="28"/>
        <v>7</v>
      </c>
      <c r="D429">
        <f t="shared" ca="1" si="25"/>
        <v>47</v>
      </c>
      <c r="E429">
        <f t="shared" ca="1" si="26"/>
        <v>1</v>
      </c>
    </row>
    <row r="430" spans="1:5" x14ac:dyDescent="0.3">
      <c r="A430">
        <v>404</v>
      </c>
      <c r="B430">
        <f t="shared" ca="1" si="27"/>
        <v>36</v>
      </c>
      <c r="C430">
        <f t="shared" ca="1" si="28"/>
        <v>12</v>
      </c>
      <c r="D430">
        <f t="shared" ca="1" si="25"/>
        <v>48</v>
      </c>
      <c r="E430">
        <f t="shared" ca="1" si="26"/>
        <v>1</v>
      </c>
    </row>
    <row r="431" spans="1:5" x14ac:dyDescent="0.3">
      <c r="A431">
        <v>405</v>
      </c>
      <c r="B431">
        <f t="shared" ca="1" si="27"/>
        <v>49</v>
      </c>
      <c r="C431">
        <f t="shared" ca="1" si="28"/>
        <v>21</v>
      </c>
      <c r="D431">
        <f t="shared" ca="1" si="25"/>
        <v>70</v>
      </c>
      <c r="E431">
        <f t="shared" ca="1" si="26"/>
        <v>1</v>
      </c>
    </row>
    <row r="432" spans="1:5" x14ac:dyDescent="0.3">
      <c r="A432">
        <v>406</v>
      </c>
      <c r="B432">
        <f t="shared" ca="1" si="27"/>
        <v>56</v>
      </c>
      <c r="C432">
        <f t="shared" ca="1" si="28"/>
        <v>25</v>
      </c>
      <c r="D432">
        <f t="shared" ca="1" si="25"/>
        <v>81</v>
      </c>
      <c r="E432">
        <f t="shared" ca="1" si="26"/>
        <v>1</v>
      </c>
    </row>
    <row r="433" spans="1:5" x14ac:dyDescent="0.3">
      <c r="A433">
        <v>407</v>
      </c>
      <c r="B433">
        <f t="shared" ca="1" si="27"/>
        <v>10</v>
      </c>
      <c r="C433">
        <f t="shared" ca="1" si="28"/>
        <v>14</v>
      </c>
      <c r="D433">
        <f t="shared" ca="1" si="25"/>
        <v>24</v>
      </c>
      <c r="E433">
        <f t="shared" ca="1" si="26"/>
        <v>0</v>
      </c>
    </row>
    <row r="434" spans="1:5" x14ac:dyDescent="0.3">
      <c r="A434">
        <v>408</v>
      </c>
      <c r="B434">
        <f t="shared" ca="1" si="27"/>
        <v>50</v>
      </c>
      <c r="C434">
        <f t="shared" ca="1" si="28"/>
        <v>30</v>
      </c>
      <c r="D434">
        <f t="shared" ca="1" si="25"/>
        <v>80</v>
      </c>
      <c r="E434">
        <f t="shared" ca="1" si="26"/>
        <v>1</v>
      </c>
    </row>
    <row r="435" spans="1:5" x14ac:dyDescent="0.3">
      <c r="A435">
        <v>409</v>
      </c>
      <c r="B435">
        <f t="shared" ca="1" si="27"/>
        <v>41</v>
      </c>
      <c r="C435">
        <f t="shared" ca="1" si="28"/>
        <v>20</v>
      </c>
      <c r="D435">
        <f t="shared" ca="1" si="25"/>
        <v>61</v>
      </c>
      <c r="E435">
        <f t="shared" ca="1" si="26"/>
        <v>1</v>
      </c>
    </row>
    <row r="436" spans="1:5" x14ac:dyDescent="0.3">
      <c r="A436">
        <v>410</v>
      </c>
      <c r="B436">
        <f t="shared" ca="1" si="27"/>
        <v>5</v>
      </c>
      <c r="C436">
        <f t="shared" ca="1" si="28"/>
        <v>32</v>
      </c>
      <c r="D436">
        <f t="shared" ca="1" si="25"/>
        <v>37</v>
      </c>
      <c r="E436">
        <f t="shared" ca="1" si="26"/>
        <v>0</v>
      </c>
    </row>
    <row r="437" spans="1:5" x14ac:dyDescent="0.3">
      <c r="A437">
        <v>411</v>
      </c>
      <c r="B437">
        <f t="shared" ca="1" si="27"/>
        <v>16</v>
      </c>
      <c r="C437">
        <f t="shared" ca="1" si="28"/>
        <v>27</v>
      </c>
      <c r="D437">
        <f t="shared" ca="1" si="25"/>
        <v>43</v>
      </c>
      <c r="E437">
        <f t="shared" ca="1" si="26"/>
        <v>1</v>
      </c>
    </row>
    <row r="438" spans="1:5" x14ac:dyDescent="0.3">
      <c r="A438">
        <v>412</v>
      </c>
      <c r="B438">
        <f t="shared" ca="1" si="27"/>
        <v>53</v>
      </c>
      <c r="C438">
        <f t="shared" ca="1" si="28"/>
        <v>40</v>
      </c>
      <c r="D438">
        <f t="shared" ca="1" si="25"/>
        <v>93</v>
      </c>
      <c r="E438">
        <f t="shared" ca="1" si="26"/>
        <v>1</v>
      </c>
    </row>
    <row r="439" spans="1:5" x14ac:dyDescent="0.3">
      <c r="A439">
        <v>413</v>
      </c>
      <c r="B439">
        <f t="shared" ca="1" si="27"/>
        <v>42</v>
      </c>
      <c r="C439">
        <f t="shared" ca="1" si="28"/>
        <v>35</v>
      </c>
      <c r="D439">
        <f t="shared" ca="1" si="25"/>
        <v>77</v>
      </c>
      <c r="E439">
        <f t="shared" ca="1" si="26"/>
        <v>1</v>
      </c>
    </row>
    <row r="440" spans="1:5" x14ac:dyDescent="0.3">
      <c r="A440">
        <v>414</v>
      </c>
      <c r="B440">
        <f t="shared" ca="1" si="27"/>
        <v>50</v>
      </c>
      <c r="C440">
        <f t="shared" ca="1" si="28"/>
        <v>28</v>
      </c>
      <c r="D440">
        <f t="shared" ca="1" si="25"/>
        <v>78</v>
      </c>
      <c r="E440">
        <f t="shared" ca="1" si="26"/>
        <v>1</v>
      </c>
    </row>
    <row r="441" spans="1:5" x14ac:dyDescent="0.3">
      <c r="A441">
        <v>415</v>
      </c>
      <c r="B441">
        <f t="shared" ca="1" si="27"/>
        <v>38</v>
      </c>
      <c r="C441">
        <f t="shared" ca="1" si="28"/>
        <v>29</v>
      </c>
      <c r="D441">
        <f t="shared" ca="1" si="25"/>
        <v>67</v>
      </c>
      <c r="E441">
        <f t="shared" ca="1" si="26"/>
        <v>1</v>
      </c>
    </row>
    <row r="442" spans="1:5" x14ac:dyDescent="0.3">
      <c r="A442">
        <v>416</v>
      </c>
      <c r="B442">
        <f t="shared" ca="1" si="27"/>
        <v>9</v>
      </c>
      <c r="C442">
        <f t="shared" ca="1" si="28"/>
        <v>32</v>
      </c>
      <c r="D442">
        <f t="shared" ca="1" si="25"/>
        <v>41</v>
      </c>
      <c r="E442">
        <f t="shared" ca="1" si="26"/>
        <v>1</v>
      </c>
    </row>
    <row r="443" spans="1:5" x14ac:dyDescent="0.3">
      <c r="A443">
        <v>417</v>
      </c>
      <c r="B443">
        <f t="shared" ca="1" si="27"/>
        <v>15</v>
      </c>
      <c r="C443">
        <f t="shared" ca="1" si="28"/>
        <v>35</v>
      </c>
      <c r="D443">
        <f t="shared" ca="1" si="25"/>
        <v>50</v>
      </c>
      <c r="E443">
        <f t="shared" ca="1" si="26"/>
        <v>1</v>
      </c>
    </row>
    <row r="444" spans="1:5" x14ac:dyDescent="0.3">
      <c r="A444">
        <v>418</v>
      </c>
      <c r="B444">
        <f t="shared" ca="1" si="27"/>
        <v>13</v>
      </c>
      <c r="C444">
        <f t="shared" ca="1" si="28"/>
        <v>12</v>
      </c>
      <c r="D444">
        <f t="shared" ca="1" si="25"/>
        <v>25</v>
      </c>
      <c r="E444">
        <f t="shared" ca="1" si="26"/>
        <v>0</v>
      </c>
    </row>
    <row r="445" spans="1:5" x14ac:dyDescent="0.3">
      <c r="A445">
        <v>419</v>
      </c>
      <c r="B445">
        <f t="shared" ca="1" si="27"/>
        <v>20</v>
      </c>
      <c r="C445">
        <f t="shared" ca="1" si="28"/>
        <v>33</v>
      </c>
      <c r="D445">
        <f t="shared" ca="1" si="25"/>
        <v>53</v>
      </c>
      <c r="E445">
        <f t="shared" ca="1" si="26"/>
        <v>1</v>
      </c>
    </row>
    <row r="446" spans="1:5" x14ac:dyDescent="0.3">
      <c r="A446">
        <v>420</v>
      </c>
      <c r="B446">
        <f t="shared" ca="1" si="27"/>
        <v>58</v>
      </c>
      <c r="C446">
        <f t="shared" ca="1" si="28"/>
        <v>36</v>
      </c>
      <c r="D446">
        <f t="shared" ca="1" si="25"/>
        <v>94</v>
      </c>
      <c r="E446">
        <f t="shared" ca="1" si="26"/>
        <v>1</v>
      </c>
    </row>
    <row r="447" spans="1:5" x14ac:dyDescent="0.3">
      <c r="A447">
        <v>421</v>
      </c>
      <c r="B447">
        <f t="shared" ca="1" si="27"/>
        <v>6</v>
      </c>
      <c r="C447">
        <f t="shared" ca="1" si="28"/>
        <v>12</v>
      </c>
      <c r="D447">
        <f t="shared" ca="1" si="25"/>
        <v>18</v>
      </c>
      <c r="E447">
        <f t="shared" ca="1" si="26"/>
        <v>0</v>
      </c>
    </row>
    <row r="448" spans="1:5" x14ac:dyDescent="0.3">
      <c r="A448">
        <v>422</v>
      </c>
      <c r="B448">
        <f t="shared" ca="1" si="27"/>
        <v>23</v>
      </c>
      <c r="C448">
        <f t="shared" ca="1" si="28"/>
        <v>12</v>
      </c>
      <c r="D448">
        <f t="shared" ca="1" si="25"/>
        <v>35</v>
      </c>
      <c r="E448">
        <f t="shared" ca="1" si="26"/>
        <v>0</v>
      </c>
    </row>
    <row r="449" spans="1:5" x14ac:dyDescent="0.3">
      <c r="A449">
        <v>423</v>
      </c>
      <c r="B449">
        <f t="shared" ca="1" si="27"/>
        <v>53</v>
      </c>
      <c r="C449">
        <f t="shared" ca="1" si="28"/>
        <v>39</v>
      </c>
      <c r="D449">
        <f t="shared" ca="1" si="25"/>
        <v>92</v>
      </c>
      <c r="E449">
        <f t="shared" ca="1" si="26"/>
        <v>1</v>
      </c>
    </row>
    <row r="450" spans="1:5" x14ac:dyDescent="0.3">
      <c r="A450">
        <v>424</v>
      </c>
      <c r="B450">
        <f t="shared" ca="1" si="27"/>
        <v>23</v>
      </c>
      <c r="C450">
        <f t="shared" ca="1" si="28"/>
        <v>30</v>
      </c>
      <c r="D450">
        <f t="shared" ca="1" si="25"/>
        <v>53</v>
      </c>
      <c r="E450">
        <f t="shared" ca="1" si="26"/>
        <v>1</v>
      </c>
    </row>
    <row r="451" spans="1:5" x14ac:dyDescent="0.3">
      <c r="A451">
        <v>425</v>
      </c>
      <c r="B451">
        <f t="shared" ca="1" si="27"/>
        <v>41</v>
      </c>
      <c r="C451">
        <f t="shared" ca="1" si="28"/>
        <v>39</v>
      </c>
      <c r="D451">
        <f t="shared" ca="1" si="25"/>
        <v>80</v>
      </c>
      <c r="E451">
        <f t="shared" ca="1" si="26"/>
        <v>1</v>
      </c>
    </row>
    <row r="452" spans="1:5" x14ac:dyDescent="0.3">
      <c r="A452">
        <v>426</v>
      </c>
      <c r="B452">
        <f t="shared" ca="1" si="27"/>
        <v>36</v>
      </c>
      <c r="C452">
        <f t="shared" ca="1" si="28"/>
        <v>29</v>
      </c>
      <c r="D452">
        <f t="shared" ca="1" si="25"/>
        <v>65</v>
      </c>
      <c r="E452">
        <f t="shared" ca="1" si="26"/>
        <v>1</v>
      </c>
    </row>
    <row r="453" spans="1:5" x14ac:dyDescent="0.3">
      <c r="A453">
        <v>427</v>
      </c>
      <c r="B453">
        <f t="shared" ca="1" si="27"/>
        <v>56</v>
      </c>
      <c r="C453">
        <f t="shared" ca="1" si="28"/>
        <v>8</v>
      </c>
      <c r="D453">
        <f t="shared" ca="1" si="25"/>
        <v>64</v>
      </c>
      <c r="E453">
        <f t="shared" ca="1" si="26"/>
        <v>1</v>
      </c>
    </row>
    <row r="454" spans="1:5" x14ac:dyDescent="0.3">
      <c r="A454">
        <v>428</v>
      </c>
      <c r="B454">
        <f t="shared" ca="1" si="27"/>
        <v>28</v>
      </c>
      <c r="C454">
        <f t="shared" ca="1" si="28"/>
        <v>5</v>
      </c>
      <c r="D454">
        <f t="shared" ca="1" si="25"/>
        <v>33</v>
      </c>
      <c r="E454">
        <f t="shared" ca="1" si="26"/>
        <v>0</v>
      </c>
    </row>
    <row r="455" spans="1:5" x14ac:dyDescent="0.3">
      <c r="A455">
        <v>429</v>
      </c>
      <c r="B455">
        <f t="shared" ca="1" si="27"/>
        <v>38</v>
      </c>
      <c r="C455">
        <f t="shared" ca="1" si="28"/>
        <v>7</v>
      </c>
      <c r="D455">
        <f t="shared" ca="1" si="25"/>
        <v>45</v>
      </c>
      <c r="E455">
        <f t="shared" ca="1" si="26"/>
        <v>1</v>
      </c>
    </row>
    <row r="456" spans="1:5" x14ac:dyDescent="0.3">
      <c r="A456">
        <v>430</v>
      </c>
      <c r="B456">
        <f t="shared" ca="1" si="27"/>
        <v>20</v>
      </c>
      <c r="C456">
        <f t="shared" ca="1" si="28"/>
        <v>7</v>
      </c>
      <c r="D456">
        <f t="shared" ca="1" si="25"/>
        <v>27</v>
      </c>
      <c r="E456">
        <f t="shared" ca="1" si="26"/>
        <v>0</v>
      </c>
    </row>
    <row r="457" spans="1:5" x14ac:dyDescent="0.3">
      <c r="A457">
        <v>431</v>
      </c>
      <c r="B457">
        <f t="shared" ca="1" si="27"/>
        <v>39</v>
      </c>
      <c r="C457">
        <f t="shared" ca="1" si="28"/>
        <v>16</v>
      </c>
      <c r="D457">
        <f t="shared" ca="1" si="25"/>
        <v>55</v>
      </c>
      <c r="E457">
        <f t="shared" ca="1" si="26"/>
        <v>1</v>
      </c>
    </row>
    <row r="458" spans="1:5" x14ac:dyDescent="0.3">
      <c r="A458">
        <v>432</v>
      </c>
      <c r="B458">
        <f t="shared" ca="1" si="27"/>
        <v>58</v>
      </c>
      <c r="C458">
        <f t="shared" ca="1" si="28"/>
        <v>35</v>
      </c>
      <c r="D458">
        <f t="shared" ca="1" si="25"/>
        <v>93</v>
      </c>
      <c r="E458">
        <f t="shared" ca="1" si="26"/>
        <v>1</v>
      </c>
    </row>
    <row r="459" spans="1:5" x14ac:dyDescent="0.3">
      <c r="A459">
        <v>433</v>
      </c>
      <c r="B459">
        <f t="shared" ca="1" si="27"/>
        <v>49</v>
      </c>
      <c r="C459">
        <f t="shared" ca="1" si="28"/>
        <v>14</v>
      </c>
      <c r="D459">
        <f t="shared" ca="1" si="25"/>
        <v>63</v>
      </c>
      <c r="E459">
        <f t="shared" ca="1" si="26"/>
        <v>1</v>
      </c>
    </row>
    <row r="460" spans="1:5" x14ac:dyDescent="0.3">
      <c r="A460">
        <v>434</v>
      </c>
      <c r="B460">
        <f t="shared" ca="1" si="27"/>
        <v>43</v>
      </c>
      <c r="C460">
        <f t="shared" ca="1" si="28"/>
        <v>26</v>
      </c>
      <c r="D460">
        <f t="shared" ca="1" si="25"/>
        <v>69</v>
      </c>
      <c r="E460">
        <f t="shared" ca="1" si="26"/>
        <v>1</v>
      </c>
    </row>
    <row r="461" spans="1:5" x14ac:dyDescent="0.3">
      <c r="A461">
        <v>435</v>
      </c>
      <c r="B461">
        <f t="shared" ca="1" si="27"/>
        <v>36</v>
      </c>
      <c r="C461">
        <f t="shared" ca="1" si="28"/>
        <v>26</v>
      </c>
      <c r="D461">
        <f t="shared" ca="1" si="25"/>
        <v>62</v>
      </c>
      <c r="E461">
        <f t="shared" ca="1" si="26"/>
        <v>1</v>
      </c>
    </row>
    <row r="462" spans="1:5" x14ac:dyDescent="0.3">
      <c r="A462">
        <v>436</v>
      </c>
      <c r="B462">
        <f t="shared" ca="1" si="27"/>
        <v>35</v>
      </c>
      <c r="C462">
        <f t="shared" ca="1" si="28"/>
        <v>27</v>
      </c>
      <c r="D462">
        <f t="shared" ca="1" si="25"/>
        <v>62</v>
      </c>
      <c r="E462">
        <f t="shared" ca="1" si="26"/>
        <v>1</v>
      </c>
    </row>
    <row r="463" spans="1:5" x14ac:dyDescent="0.3">
      <c r="A463">
        <v>437</v>
      </c>
      <c r="B463">
        <f t="shared" ca="1" si="27"/>
        <v>31</v>
      </c>
      <c r="C463">
        <f t="shared" ca="1" si="28"/>
        <v>32</v>
      </c>
      <c r="D463">
        <f t="shared" ca="1" si="25"/>
        <v>63</v>
      </c>
      <c r="E463">
        <f t="shared" ca="1" si="26"/>
        <v>1</v>
      </c>
    </row>
    <row r="464" spans="1:5" x14ac:dyDescent="0.3">
      <c r="A464">
        <v>438</v>
      </c>
      <c r="B464">
        <f t="shared" ca="1" si="27"/>
        <v>16</v>
      </c>
      <c r="C464">
        <f t="shared" ca="1" si="28"/>
        <v>31</v>
      </c>
      <c r="D464">
        <f t="shared" ca="1" si="25"/>
        <v>47</v>
      </c>
      <c r="E464">
        <f t="shared" ca="1" si="26"/>
        <v>1</v>
      </c>
    </row>
    <row r="465" spans="1:5" x14ac:dyDescent="0.3">
      <c r="A465">
        <v>439</v>
      </c>
      <c r="B465">
        <f t="shared" ca="1" si="27"/>
        <v>52</v>
      </c>
      <c r="C465">
        <f t="shared" ca="1" si="28"/>
        <v>18</v>
      </c>
      <c r="D465">
        <f t="shared" ca="1" si="25"/>
        <v>70</v>
      </c>
      <c r="E465">
        <f t="shared" ca="1" si="26"/>
        <v>1</v>
      </c>
    </row>
    <row r="466" spans="1:5" x14ac:dyDescent="0.3">
      <c r="A466">
        <v>440</v>
      </c>
      <c r="B466">
        <f t="shared" ca="1" si="27"/>
        <v>37</v>
      </c>
      <c r="C466">
        <f t="shared" ca="1" si="28"/>
        <v>10</v>
      </c>
      <c r="D466">
        <f t="shared" ca="1" si="25"/>
        <v>47</v>
      </c>
      <c r="E466">
        <f t="shared" ca="1" si="26"/>
        <v>1</v>
      </c>
    </row>
    <row r="467" spans="1:5" x14ac:dyDescent="0.3">
      <c r="A467">
        <v>441</v>
      </c>
      <c r="B467">
        <f t="shared" ca="1" si="27"/>
        <v>21</v>
      </c>
      <c r="C467">
        <f t="shared" ca="1" si="28"/>
        <v>2</v>
      </c>
      <c r="D467">
        <f t="shared" ca="1" si="25"/>
        <v>23</v>
      </c>
      <c r="E467">
        <f t="shared" ca="1" si="26"/>
        <v>0</v>
      </c>
    </row>
    <row r="468" spans="1:5" x14ac:dyDescent="0.3">
      <c r="A468">
        <v>442</v>
      </c>
      <c r="B468">
        <f t="shared" ca="1" si="27"/>
        <v>57</v>
      </c>
      <c r="C468">
        <f t="shared" ca="1" si="28"/>
        <v>30</v>
      </c>
      <c r="D468">
        <f t="shared" ca="1" si="25"/>
        <v>87</v>
      </c>
      <c r="E468">
        <f t="shared" ca="1" si="26"/>
        <v>1</v>
      </c>
    </row>
    <row r="469" spans="1:5" x14ac:dyDescent="0.3">
      <c r="A469">
        <v>443</v>
      </c>
      <c r="B469">
        <f t="shared" ca="1" si="27"/>
        <v>9</v>
      </c>
      <c r="C469">
        <f t="shared" ca="1" si="28"/>
        <v>35</v>
      </c>
      <c r="D469">
        <f t="shared" ca="1" si="25"/>
        <v>44</v>
      </c>
      <c r="E469">
        <f t="shared" ca="1" si="26"/>
        <v>1</v>
      </c>
    </row>
    <row r="470" spans="1:5" x14ac:dyDescent="0.3">
      <c r="A470">
        <v>444</v>
      </c>
      <c r="B470">
        <f t="shared" ca="1" si="27"/>
        <v>36</v>
      </c>
      <c r="C470">
        <f t="shared" ca="1" si="28"/>
        <v>23</v>
      </c>
      <c r="D470">
        <f t="shared" ca="1" si="25"/>
        <v>59</v>
      </c>
      <c r="E470">
        <f t="shared" ca="1" si="26"/>
        <v>1</v>
      </c>
    </row>
    <row r="471" spans="1:5" x14ac:dyDescent="0.3">
      <c r="A471">
        <v>445</v>
      </c>
      <c r="B471">
        <f t="shared" ca="1" si="27"/>
        <v>22</v>
      </c>
      <c r="C471">
        <f t="shared" ca="1" si="28"/>
        <v>8</v>
      </c>
      <c r="D471">
        <f t="shared" ca="1" si="25"/>
        <v>30</v>
      </c>
      <c r="E471">
        <f t="shared" ca="1" si="26"/>
        <v>0</v>
      </c>
    </row>
    <row r="472" spans="1:5" x14ac:dyDescent="0.3">
      <c r="A472">
        <v>446</v>
      </c>
      <c r="B472">
        <f t="shared" ca="1" si="27"/>
        <v>46</v>
      </c>
      <c r="C472">
        <f t="shared" ca="1" si="28"/>
        <v>24</v>
      </c>
      <c r="D472">
        <f t="shared" ca="1" si="25"/>
        <v>70</v>
      </c>
      <c r="E472">
        <f t="shared" ca="1" si="26"/>
        <v>1</v>
      </c>
    </row>
    <row r="473" spans="1:5" x14ac:dyDescent="0.3">
      <c r="A473">
        <v>447</v>
      </c>
      <c r="B473">
        <f t="shared" ca="1" si="27"/>
        <v>49</v>
      </c>
      <c r="C473">
        <f t="shared" ca="1" si="28"/>
        <v>21</v>
      </c>
      <c r="D473">
        <f t="shared" ca="1" si="25"/>
        <v>70</v>
      </c>
      <c r="E473">
        <f t="shared" ca="1" si="26"/>
        <v>1</v>
      </c>
    </row>
    <row r="474" spans="1:5" x14ac:dyDescent="0.3">
      <c r="A474">
        <v>448</v>
      </c>
      <c r="B474">
        <f t="shared" ca="1" si="27"/>
        <v>28</v>
      </c>
      <c r="C474">
        <f t="shared" ca="1" si="28"/>
        <v>4</v>
      </c>
      <c r="D474">
        <f t="shared" ca="1" si="25"/>
        <v>32</v>
      </c>
      <c r="E474">
        <f t="shared" ca="1" si="26"/>
        <v>0</v>
      </c>
    </row>
    <row r="475" spans="1:5" x14ac:dyDescent="0.3">
      <c r="A475">
        <v>449</v>
      </c>
      <c r="B475">
        <f t="shared" ca="1" si="27"/>
        <v>59</v>
      </c>
      <c r="C475">
        <f t="shared" ca="1" si="28"/>
        <v>3</v>
      </c>
      <c r="D475">
        <f t="shared" ca="1" si="25"/>
        <v>62</v>
      </c>
      <c r="E475">
        <f t="shared" ca="1" si="26"/>
        <v>1</v>
      </c>
    </row>
    <row r="476" spans="1:5" x14ac:dyDescent="0.3">
      <c r="A476">
        <v>450</v>
      </c>
      <c r="B476">
        <f t="shared" ca="1" si="27"/>
        <v>45</v>
      </c>
      <c r="C476">
        <f t="shared" ca="1" si="28"/>
        <v>13</v>
      </c>
      <c r="D476">
        <f t="shared" ref="D476:D539" ca="1" si="29">B476+C476</f>
        <v>58</v>
      </c>
      <c r="E476">
        <f t="shared" ref="E476:E539" ca="1" si="30">IF(D476&gt;=40,1,0)</f>
        <v>1</v>
      </c>
    </row>
    <row r="477" spans="1:5" x14ac:dyDescent="0.3">
      <c r="A477">
        <v>451</v>
      </c>
      <c r="B477">
        <f t="shared" ref="B477:B540" ca="1" si="31">RANDBETWEEN(5,60)</f>
        <v>44</v>
      </c>
      <c r="C477">
        <f t="shared" ref="C477:C540" ca="1" si="32">RANDBETWEEN(2,40)</f>
        <v>25</v>
      </c>
      <c r="D477">
        <f t="shared" ca="1" si="29"/>
        <v>69</v>
      </c>
      <c r="E477">
        <f t="shared" ca="1" si="30"/>
        <v>1</v>
      </c>
    </row>
    <row r="478" spans="1:5" x14ac:dyDescent="0.3">
      <c r="A478">
        <v>452</v>
      </c>
      <c r="B478">
        <f t="shared" ca="1" si="31"/>
        <v>49</v>
      </c>
      <c r="C478">
        <f t="shared" ca="1" si="32"/>
        <v>6</v>
      </c>
      <c r="D478">
        <f t="shared" ca="1" si="29"/>
        <v>55</v>
      </c>
      <c r="E478">
        <f t="shared" ca="1" si="30"/>
        <v>1</v>
      </c>
    </row>
    <row r="479" spans="1:5" x14ac:dyDescent="0.3">
      <c r="A479">
        <v>453</v>
      </c>
      <c r="B479">
        <f t="shared" ca="1" si="31"/>
        <v>45</v>
      </c>
      <c r="C479">
        <f t="shared" ca="1" si="32"/>
        <v>12</v>
      </c>
      <c r="D479">
        <f t="shared" ca="1" si="29"/>
        <v>57</v>
      </c>
      <c r="E479">
        <f t="shared" ca="1" si="30"/>
        <v>1</v>
      </c>
    </row>
    <row r="480" spans="1:5" x14ac:dyDescent="0.3">
      <c r="A480">
        <v>454</v>
      </c>
      <c r="B480">
        <f t="shared" ca="1" si="31"/>
        <v>14</v>
      </c>
      <c r="C480">
        <f t="shared" ca="1" si="32"/>
        <v>32</v>
      </c>
      <c r="D480">
        <f t="shared" ca="1" si="29"/>
        <v>46</v>
      </c>
      <c r="E480">
        <f t="shared" ca="1" si="30"/>
        <v>1</v>
      </c>
    </row>
    <row r="481" spans="1:5" x14ac:dyDescent="0.3">
      <c r="A481">
        <v>455</v>
      </c>
      <c r="B481">
        <f t="shared" ca="1" si="31"/>
        <v>29</v>
      </c>
      <c r="C481">
        <f t="shared" ca="1" si="32"/>
        <v>31</v>
      </c>
      <c r="D481">
        <f t="shared" ca="1" si="29"/>
        <v>60</v>
      </c>
      <c r="E481">
        <f t="shared" ca="1" si="30"/>
        <v>1</v>
      </c>
    </row>
    <row r="482" spans="1:5" x14ac:dyDescent="0.3">
      <c r="A482">
        <v>456</v>
      </c>
      <c r="B482">
        <f t="shared" ca="1" si="31"/>
        <v>59</v>
      </c>
      <c r="C482">
        <f t="shared" ca="1" si="32"/>
        <v>7</v>
      </c>
      <c r="D482">
        <f t="shared" ca="1" si="29"/>
        <v>66</v>
      </c>
      <c r="E482">
        <f t="shared" ca="1" si="30"/>
        <v>1</v>
      </c>
    </row>
    <row r="483" spans="1:5" x14ac:dyDescent="0.3">
      <c r="A483">
        <v>457</v>
      </c>
      <c r="B483">
        <f t="shared" ca="1" si="31"/>
        <v>39</v>
      </c>
      <c r="C483">
        <f t="shared" ca="1" si="32"/>
        <v>18</v>
      </c>
      <c r="D483">
        <f t="shared" ca="1" si="29"/>
        <v>57</v>
      </c>
      <c r="E483">
        <f t="shared" ca="1" si="30"/>
        <v>1</v>
      </c>
    </row>
    <row r="484" spans="1:5" x14ac:dyDescent="0.3">
      <c r="A484">
        <v>458</v>
      </c>
      <c r="B484">
        <f t="shared" ca="1" si="31"/>
        <v>55</v>
      </c>
      <c r="C484">
        <f t="shared" ca="1" si="32"/>
        <v>5</v>
      </c>
      <c r="D484">
        <f t="shared" ca="1" si="29"/>
        <v>60</v>
      </c>
      <c r="E484">
        <f t="shared" ca="1" si="30"/>
        <v>1</v>
      </c>
    </row>
    <row r="485" spans="1:5" x14ac:dyDescent="0.3">
      <c r="A485">
        <v>459</v>
      </c>
      <c r="B485">
        <f t="shared" ca="1" si="31"/>
        <v>17</v>
      </c>
      <c r="C485">
        <f t="shared" ca="1" si="32"/>
        <v>21</v>
      </c>
      <c r="D485">
        <f t="shared" ca="1" si="29"/>
        <v>38</v>
      </c>
      <c r="E485">
        <f t="shared" ca="1" si="30"/>
        <v>0</v>
      </c>
    </row>
    <row r="486" spans="1:5" x14ac:dyDescent="0.3">
      <c r="A486">
        <v>460</v>
      </c>
      <c r="B486">
        <f t="shared" ca="1" si="31"/>
        <v>12</v>
      </c>
      <c r="C486">
        <f t="shared" ca="1" si="32"/>
        <v>29</v>
      </c>
      <c r="D486">
        <f t="shared" ca="1" si="29"/>
        <v>41</v>
      </c>
      <c r="E486">
        <f t="shared" ca="1" si="30"/>
        <v>1</v>
      </c>
    </row>
    <row r="487" spans="1:5" x14ac:dyDescent="0.3">
      <c r="A487">
        <v>461</v>
      </c>
      <c r="B487">
        <f t="shared" ca="1" si="31"/>
        <v>58</v>
      </c>
      <c r="C487">
        <f t="shared" ca="1" si="32"/>
        <v>24</v>
      </c>
      <c r="D487">
        <f t="shared" ca="1" si="29"/>
        <v>82</v>
      </c>
      <c r="E487">
        <f t="shared" ca="1" si="30"/>
        <v>1</v>
      </c>
    </row>
    <row r="488" spans="1:5" x14ac:dyDescent="0.3">
      <c r="A488">
        <v>462</v>
      </c>
      <c r="B488">
        <f t="shared" ca="1" si="31"/>
        <v>44</v>
      </c>
      <c r="C488">
        <f t="shared" ca="1" si="32"/>
        <v>11</v>
      </c>
      <c r="D488">
        <f t="shared" ca="1" si="29"/>
        <v>55</v>
      </c>
      <c r="E488">
        <f t="shared" ca="1" si="30"/>
        <v>1</v>
      </c>
    </row>
    <row r="489" spans="1:5" x14ac:dyDescent="0.3">
      <c r="A489">
        <v>463</v>
      </c>
      <c r="B489">
        <f t="shared" ca="1" si="31"/>
        <v>55</v>
      </c>
      <c r="C489">
        <f t="shared" ca="1" si="32"/>
        <v>31</v>
      </c>
      <c r="D489">
        <f t="shared" ca="1" si="29"/>
        <v>86</v>
      </c>
      <c r="E489">
        <f t="shared" ca="1" si="30"/>
        <v>1</v>
      </c>
    </row>
    <row r="490" spans="1:5" x14ac:dyDescent="0.3">
      <c r="A490">
        <v>464</v>
      </c>
      <c r="B490">
        <f t="shared" ca="1" si="31"/>
        <v>51</v>
      </c>
      <c r="C490">
        <f t="shared" ca="1" si="32"/>
        <v>5</v>
      </c>
      <c r="D490">
        <f t="shared" ca="1" si="29"/>
        <v>56</v>
      </c>
      <c r="E490">
        <f t="shared" ca="1" si="30"/>
        <v>1</v>
      </c>
    </row>
    <row r="491" spans="1:5" x14ac:dyDescent="0.3">
      <c r="A491">
        <v>465</v>
      </c>
      <c r="B491">
        <f t="shared" ca="1" si="31"/>
        <v>24</v>
      </c>
      <c r="C491">
        <f t="shared" ca="1" si="32"/>
        <v>20</v>
      </c>
      <c r="D491">
        <f t="shared" ca="1" si="29"/>
        <v>44</v>
      </c>
      <c r="E491">
        <f t="shared" ca="1" si="30"/>
        <v>1</v>
      </c>
    </row>
    <row r="492" spans="1:5" x14ac:dyDescent="0.3">
      <c r="A492">
        <v>466</v>
      </c>
      <c r="B492">
        <f t="shared" ca="1" si="31"/>
        <v>52</v>
      </c>
      <c r="C492">
        <f t="shared" ca="1" si="32"/>
        <v>11</v>
      </c>
      <c r="D492">
        <f t="shared" ca="1" si="29"/>
        <v>63</v>
      </c>
      <c r="E492">
        <f t="shared" ca="1" si="30"/>
        <v>1</v>
      </c>
    </row>
    <row r="493" spans="1:5" x14ac:dyDescent="0.3">
      <c r="A493">
        <v>467</v>
      </c>
      <c r="B493">
        <f t="shared" ca="1" si="31"/>
        <v>60</v>
      </c>
      <c r="C493">
        <f t="shared" ca="1" si="32"/>
        <v>32</v>
      </c>
      <c r="D493">
        <f t="shared" ca="1" si="29"/>
        <v>92</v>
      </c>
      <c r="E493">
        <f t="shared" ca="1" si="30"/>
        <v>1</v>
      </c>
    </row>
    <row r="494" spans="1:5" x14ac:dyDescent="0.3">
      <c r="A494">
        <v>468</v>
      </c>
      <c r="B494">
        <f t="shared" ca="1" si="31"/>
        <v>28</v>
      </c>
      <c r="C494">
        <f t="shared" ca="1" si="32"/>
        <v>30</v>
      </c>
      <c r="D494">
        <f t="shared" ca="1" si="29"/>
        <v>58</v>
      </c>
      <c r="E494">
        <f t="shared" ca="1" si="30"/>
        <v>1</v>
      </c>
    </row>
    <row r="495" spans="1:5" x14ac:dyDescent="0.3">
      <c r="A495">
        <v>469</v>
      </c>
      <c r="B495">
        <f t="shared" ca="1" si="31"/>
        <v>52</v>
      </c>
      <c r="C495">
        <f t="shared" ca="1" si="32"/>
        <v>8</v>
      </c>
      <c r="D495">
        <f t="shared" ca="1" si="29"/>
        <v>60</v>
      </c>
      <c r="E495">
        <f t="shared" ca="1" si="30"/>
        <v>1</v>
      </c>
    </row>
    <row r="496" spans="1:5" x14ac:dyDescent="0.3">
      <c r="A496">
        <v>470</v>
      </c>
      <c r="B496">
        <f t="shared" ca="1" si="31"/>
        <v>8</v>
      </c>
      <c r="C496">
        <f t="shared" ca="1" si="32"/>
        <v>29</v>
      </c>
      <c r="D496">
        <f t="shared" ca="1" si="29"/>
        <v>37</v>
      </c>
      <c r="E496">
        <f t="shared" ca="1" si="30"/>
        <v>0</v>
      </c>
    </row>
    <row r="497" spans="1:5" x14ac:dyDescent="0.3">
      <c r="A497">
        <v>471</v>
      </c>
      <c r="B497">
        <f t="shared" ca="1" si="31"/>
        <v>37</v>
      </c>
      <c r="C497">
        <f t="shared" ca="1" si="32"/>
        <v>36</v>
      </c>
      <c r="D497">
        <f t="shared" ca="1" si="29"/>
        <v>73</v>
      </c>
      <c r="E497">
        <f t="shared" ca="1" si="30"/>
        <v>1</v>
      </c>
    </row>
    <row r="498" spans="1:5" x14ac:dyDescent="0.3">
      <c r="A498">
        <v>472</v>
      </c>
      <c r="B498">
        <f t="shared" ca="1" si="31"/>
        <v>49</v>
      </c>
      <c r="C498">
        <f t="shared" ca="1" si="32"/>
        <v>19</v>
      </c>
      <c r="D498">
        <f t="shared" ca="1" si="29"/>
        <v>68</v>
      </c>
      <c r="E498">
        <f t="shared" ca="1" si="30"/>
        <v>1</v>
      </c>
    </row>
    <row r="499" spans="1:5" x14ac:dyDescent="0.3">
      <c r="A499">
        <v>473</v>
      </c>
      <c r="B499">
        <f t="shared" ca="1" si="31"/>
        <v>25</v>
      </c>
      <c r="C499">
        <f t="shared" ca="1" si="32"/>
        <v>40</v>
      </c>
      <c r="D499">
        <f t="shared" ca="1" si="29"/>
        <v>65</v>
      </c>
      <c r="E499">
        <f t="shared" ca="1" si="30"/>
        <v>1</v>
      </c>
    </row>
    <row r="500" spans="1:5" x14ac:dyDescent="0.3">
      <c r="A500">
        <v>474</v>
      </c>
      <c r="B500">
        <f t="shared" ca="1" si="31"/>
        <v>47</v>
      </c>
      <c r="C500">
        <f t="shared" ca="1" si="32"/>
        <v>30</v>
      </c>
      <c r="D500">
        <f t="shared" ca="1" si="29"/>
        <v>77</v>
      </c>
      <c r="E500">
        <f t="shared" ca="1" si="30"/>
        <v>1</v>
      </c>
    </row>
    <row r="501" spans="1:5" x14ac:dyDescent="0.3">
      <c r="A501">
        <v>475</v>
      </c>
      <c r="B501">
        <f t="shared" ca="1" si="31"/>
        <v>10</v>
      </c>
      <c r="C501">
        <f t="shared" ca="1" si="32"/>
        <v>38</v>
      </c>
      <c r="D501">
        <f t="shared" ca="1" si="29"/>
        <v>48</v>
      </c>
      <c r="E501">
        <f t="shared" ca="1" si="30"/>
        <v>1</v>
      </c>
    </row>
    <row r="502" spans="1:5" x14ac:dyDescent="0.3">
      <c r="A502">
        <v>476</v>
      </c>
      <c r="B502">
        <f t="shared" ca="1" si="31"/>
        <v>38</v>
      </c>
      <c r="C502">
        <f t="shared" ca="1" si="32"/>
        <v>25</v>
      </c>
      <c r="D502">
        <f t="shared" ca="1" si="29"/>
        <v>63</v>
      </c>
      <c r="E502">
        <f t="shared" ca="1" si="30"/>
        <v>1</v>
      </c>
    </row>
    <row r="503" spans="1:5" x14ac:dyDescent="0.3">
      <c r="A503">
        <v>477</v>
      </c>
      <c r="B503">
        <f t="shared" ca="1" si="31"/>
        <v>31</v>
      </c>
      <c r="C503">
        <f t="shared" ca="1" si="32"/>
        <v>26</v>
      </c>
      <c r="D503">
        <f t="shared" ca="1" si="29"/>
        <v>57</v>
      </c>
      <c r="E503">
        <f t="shared" ca="1" si="30"/>
        <v>1</v>
      </c>
    </row>
    <row r="504" spans="1:5" x14ac:dyDescent="0.3">
      <c r="A504">
        <v>478</v>
      </c>
      <c r="B504">
        <f t="shared" ca="1" si="31"/>
        <v>49</v>
      </c>
      <c r="C504">
        <f t="shared" ca="1" si="32"/>
        <v>36</v>
      </c>
      <c r="D504">
        <f t="shared" ca="1" si="29"/>
        <v>85</v>
      </c>
      <c r="E504">
        <f t="shared" ca="1" si="30"/>
        <v>1</v>
      </c>
    </row>
    <row r="505" spans="1:5" x14ac:dyDescent="0.3">
      <c r="A505">
        <v>479</v>
      </c>
      <c r="B505">
        <f t="shared" ca="1" si="31"/>
        <v>55</v>
      </c>
      <c r="C505">
        <f t="shared" ca="1" si="32"/>
        <v>34</v>
      </c>
      <c r="D505">
        <f t="shared" ca="1" si="29"/>
        <v>89</v>
      </c>
      <c r="E505">
        <f t="shared" ca="1" si="30"/>
        <v>1</v>
      </c>
    </row>
    <row r="506" spans="1:5" x14ac:dyDescent="0.3">
      <c r="A506">
        <v>480</v>
      </c>
      <c r="B506">
        <f t="shared" ca="1" si="31"/>
        <v>6</v>
      </c>
      <c r="C506">
        <f t="shared" ca="1" si="32"/>
        <v>18</v>
      </c>
      <c r="D506">
        <f t="shared" ca="1" si="29"/>
        <v>24</v>
      </c>
      <c r="E506">
        <f t="shared" ca="1" si="30"/>
        <v>0</v>
      </c>
    </row>
    <row r="507" spans="1:5" x14ac:dyDescent="0.3">
      <c r="A507">
        <v>481</v>
      </c>
      <c r="B507">
        <f t="shared" ca="1" si="31"/>
        <v>54</v>
      </c>
      <c r="C507">
        <f t="shared" ca="1" si="32"/>
        <v>30</v>
      </c>
      <c r="D507">
        <f t="shared" ca="1" si="29"/>
        <v>84</v>
      </c>
      <c r="E507">
        <f t="shared" ca="1" si="30"/>
        <v>1</v>
      </c>
    </row>
    <row r="508" spans="1:5" x14ac:dyDescent="0.3">
      <c r="A508">
        <v>482</v>
      </c>
      <c r="B508">
        <f t="shared" ca="1" si="31"/>
        <v>12</v>
      </c>
      <c r="C508">
        <f t="shared" ca="1" si="32"/>
        <v>18</v>
      </c>
      <c r="D508">
        <f t="shared" ca="1" si="29"/>
        <v>30</v>
      </c>
      <c r="E508">
        <f t="shared" ca="1" si="30"/>
        <v>0</v>
      </c>
    </row>
    <row r="509" spans="1:5" x14ac:dyDescent="0.3">
      <c r="A509">
        <v>483</v>
      </c>
      <c r="B509">
        <f t="shared" ca="1" si="31"/>
        <v>53</v>
      </c>
      <c r="C509">
        <f t="shared" ca="1" si="32"/>
        <v>15</v>
      </c>
      <c r="D509">
        <f t="shared" ca="1" si="29"/>
        <v>68</v>
      </c>
      <c r="E509">
        <f t="shared" ca="1" si="30"/>
        <v>1</v>
      </c>
    </row>
    <row r="510" spans="1:5" x14ac:dyDescent="0.3">
      <c r="A510">
        <v>484</v>
      </c>
      <c r="B510">
        <f t="shared" ca="1" si="31"/>
        <v>59</v>
      </c>
      <c r="C510">
        <f t="shared" ca="1" si="32"/>
        <v>14</v>
      </c>
      <c r="D510">
        <f t="shared" ca="1" si="29"/>
        <v>73</v>
      </c>
      <c r="E510">
        <f t="shared" ca="1" si="30"/>
        <v>1</v>
      </c>
    </row>
    <row r="511" spans="1:5" x14ac:dyDescent="0.3">
      <c r="A511">
        <v>485</v>
      </c>
      <c r="B511">
        <f t="shared" ca="1" si="31"/>
        <v>19</v>
      </c>
      <c r="C511">
        <f t="shared" ca="1" si="32"/>
        <v>40</v>
      </c>
      <c r="D511">
        <f t="shared" ca="1" si="29"/>
        <v>59</v>
      </c>
      <c r="E511">
        <f t="shared" ca="1" si="30"/>
        <v>1</v>
      </c>
    </row>
    <row r="512" spans="1:5" x14ac:dyDescent="0.3">
      <c r="A512">
        <v>486</v>
      </c>
      <c r="B512">
        <f t="shared" ca="1" si="31"/>
        <v>48</v>
      </c>
      <c r="C512">
        <f t="shared" ca="1" si="32"/>
        <v>37</v>
      </c>
      <c r="D512">
        <f t="shared" ca="1" si="29"/>
        <v>85</v>
      </c>
      <c r="E512">
        <f t="shared" ca="1" si="30"/>
        <v>1</v>
      </c>
    </row>
    <row r="513" spans="1:5" x14ac:dyDescent="0.3">
      <c r="A513">
        <v>487</v>
      </c>
      <c r="B513">
        <f t="shared" ca="1" si="31"/>
        <v>50</v>
      </c>
      <c r="C513">
        <f t="shared" ca="1" si="32"/>
        <v>17</v>
      </c>
      <c r="D513">
        <f t="shared" ca="1" si="29"/>
        <v>67</v>
      </c>
      <c r="E513">
        <f t="shared" ca="1" si="30"/>
        <v>1</v>
      </c>
    </row>
    <row r="514" spans="1:5" x14ac:dyDescent="0.3">
      <c r="A514">
        <v>488</v>
      </c>
      <c r="B514">
        <f t="shared" ca="1" si="31"/>
        <v>50</v>
      </c>
      <c r="C514">
        <f t="shared" ca="1" si="32"/>
        <v>16</v>
      </c>
      <c r="D514">
        <f t="shared" ca="1" si="29"/>
        <v>66</v>
      </c>
      <c r="E514">
        <f t="shared" ca="1" si="30"/>
        <v>1</v>
      </c>
    </row>
    <row r="515" spans="1:5" x14ac:dyDescent="0.3">
      <c r="A515">
        <v>489</v>
      </c>
      <c r="B515">
        <f t="shared" ca="1" si="31"/>
        <v>9</v>
      </c>
      <c r="C515">
        <f t="shared" ca="1" si="32"/>
        <v>31</v>
      </c>
      <c r="D515">
        <f t="shared" ca="1" si="29"/>
        <v>40</v>
      </c>
      <c r="E515">
        <f t="shared" ca="1" si="30"/>
        <v>1</v>
      </c>
    </row>
    <row r="516" spans="1:5" x14ac:dyDescent="0.3">
      <c r="A516">
        <v>490</v>
      </c>
      <c r="B516">
        <f t="shared" ca="1" si="31"/>
        <v>16</v>
      </c>
      <c r="C516">
        <f t="shared" ca="1" si="32"/>
        <v>15</v>
      </c>
      <c r="D516">
        <f t="shared" ca="1" si="29"/>
        <v>31</v>
      </c>
      <c r="E516">
        <f t="shared" ca="1" si="30"/>
        <v>0</v>
      </c>
    </row>
    <row r="517" spans="1:5" x14ac:dyDescent="0.3">
      <c r="A517">
        <v>491</v>
      </c>
      <c r="B517">
        <f t="shared" ca="1" si="31"/>
        <v>6</v>
      </c>
      <c r="C517">
        <f t="shared" ca="1" si="32"/>
        <v>11</v>
      </c>
      <c r="D517">
        <f t="shared" ca="1" si="29"/>
        <v>17</v>
      </c>
      <c r="E517">
        <f t="shared" ca="1" si="30"/>
        <v>0</v>
      </c>
    </row>
    <row r="518" spans="1:5" x14ac:dyDescent="0.3">
      <c r="A518">
        <v>492</v>
      </c>
      <c r="B518">
        <f t="shared" ca="1" si="31"/>
        <v>54</v>
      </c>
      <c r="C518">
        <f t="shared" ca="1" si="32"/>
        <v>20</v>
      </c>
      <c r="D518">
        <f t="shared" ca="1" si="29"/>
        <v>74</v>
      </c>
      <c r="E518">
        <f t="shared" ca="1" si="30"/>
        <v>1</v>
      </c>
    </row>
    <row r="519" spans="1:5" x14ac:dyDescent="0.3">
      <c r="A519">
        <v>493</v>
      </c>
      <c r="B519">
        <f t="shared" ca="1" si="31"/>
        <v>44</v>
      </c>
      <c r="C519">
        <f t="shared" ca="1" si="32"/>
        <v>40</v>
      </c>
      <c r="D519">
        <f t="shared" ca="1" si="29"/>
        <v>84</v>
      </c>
      <c r="E519">
        <f t="shared" ca="1" si="30"/>
        <v>1</v>
      </c>
    </row>
    <row r="520" spans="1:5" x14ac:dyDescent="0.3">
      <c r="A520">
        <v>494</v>
      </c>
      <c r="B520">
        <f t="shared" ca="1" si="31"/>
        <v>44</v>
      </c>
      <c r="C520">
        <f t="shared" ca="1" si="32"/>
        <v>39</v>
      </c>
      <c r="D520">
        <f t="shared" ca="1" si="29"/>
        <v>83</v>
      </c>
      <c r="E520">
        <f t="shared" ca="1" si="30"/>
        <v>1</v>
      </c>
    </row>
    <row r="521" spans="1:5" x14ac:dyDescent="0.3">
      <c r="A521">
        <v>495</v>
      </c>
      <c r="B521">
        <f t="shared" ca="1" si="31"/>
        <v>25</v>
      </c>
      <c r="C521">
        <f t="shared" ca="1" si="32"/>
        <v>24</v>
      </c>
      <c r="D521">
        <f t="shared" ca="1" si="29"/>
        <v>49</v>
      </c>
      <c r="E521">
        <f t="shared" ca="1" si="30"/>
        <v>1</v>
      </c>
    </row>
    <row r="522" spans="1:5" x14ac:dyDescent="0.3">
      <c r="A522">
        <v>496</v>
      </c>
      <c r="B522">
        <f t="shared" ca="1" si="31"/>
        <v>25</v>
      </c>
      <c r="C522">
        <f t="shared" ca="1" si="32"/>
        <v>9</v>
      </c>
      <c r="D522">
        <f t="shared" ca="1" si="29"/>
        <v>34</v>
      </c>
      <c r="E522">
        <f t="shared" ca="1" si="30"/>
        <v>0</v>
      </c>
    </row>
    <row r="523" spans="1:5" x14ac:dyDescent="0.3">
      <c r="A523">
        <v>497</v>
      </c>
      <c r="B523">
        <f t="shared" ca="1" si="31"/>
        <v>26</v>
      </c>
      <c r="C523">
        <f t="shared" ca="1" si="32"/>
        <v>12</v>
      </c>
      <c r="D523">
        <f t="shared" ca="1" si="29"/>
        <v>38</v>
      </c>
      <c r="E523">
        <f t="shared" ca="1" si="30"/>
        <v>0</v>
      </c>
    </row>
    <row r="524" spans="1:5" x14ac:dyDescent="0.3">
      <c r="A524">
        <v>498</v>
      </c>
      <c r="B524">
        <f t="shared" ca="1" si="31"/>
        <v>5</v>
      </c>
      <c r="C524">
        <f t="shared" ca="1" si="32"/>
        <v>31</v>
      </c>
      <c r="D524">
        <f t="shared" ca="1" si="29"/>
        <v>36</v>
      </c>
      <c r="E524">
        <f t="shared" ca="1" si="30"/>
        <v>0</v>
      </c>
    </row>
    <row r="525" spans="1:5" x14ac:dyDescent="0.3">
      <c r="A525">
        <v>499</v>
      </c>
      <c r="B525">
        <f t="shared" ca="1" si="31"/>
        <v>30</v>
      </c>
      <c r="C525">
        <f t="shared" ca="1" si="32"/>
        <v>29</v>
      </c>
      <c r="D525">
        <f t="shared" ca="1" si="29"/>
        <v>59</v>
      </c>
      <c r="E525">
        <f t="shared" ca="1" si="30"/>
        <v>1</v>
      </c>
    </row>
    <row r="526" spans="1:5" x14ac:dyDescent="0.3">
      <c r="A526">
        <v>500</v>
      </c>
      <c r="B526">
        <f t="shared" ca="1" si="31"/>
        <v>8</v>
      </c>
      <c r="C526">
        <f t="shared" ca="1" si="32"/>
        <v>32</v>
      </c>
      <c r="D526">
        <f t="shared" ca="1" si="29"/>
        <v>40</v>
      </c>
      <c r="E526">
        <f t="shared" ca="1" si="30"/>
        <v>1</v>
      </c>
    </row>
    <row r="527" spans="1:5" x14ac:dyDescent="0.3">
      <c r="A527">
        <v>501</v>
      </c>
      <c r="B527">
        <f t="shared" ca="1" si="31"/>
        <v>28</v>
      </c>
      <c r="C527">
        <f t="shared" ca="1" si="32"/>
        <v>38</v>
      </c>
      <c r="D527">
        <f t="shared" ca="1" si="29"/>
        <v>66</v>
      </c>
      <c r="E527">
        <f t="shared" ca="1" si="30"/>
        <v>1</v>
      </c>
    </row>
    <row r="528" spans="1:5" x14ac:dyDescent="0.3">
      <c r="A528">
        <v>502</v>
      </c>
      <c r="B528">
        <f t="shared" ca="1" si="31"/>
        <v>31</v>
      </c>
      <c r="C528">
        <f t="shared" ca="1" si="32"/>
        <v>26</v>
      </c>
      <c r="D528">
        <f t="shared" ca="1" si="29"/>
        <v>57</v>
      </c>
      <c r="E528">
        <f t="shared" ca="1" si="30"/>
        <v>1</v>
      </c>
    </row>
    <row r="529" spans="1:5" x14ac:dyDescent="0.3">
      <c r="A529">
        <v>503</v>
      </c>
      <c r="B529">
        <f t="shared" ca="1" si="31"/>
        <v>15</v>
      </c>
      <c r="C529">
        <f t="shared" ca="1" si="32"/>
        <v>20</v>
      </c>
      <c r="D529">
        <f t="shared" ca="1" si="29"/>
        <v>35</v>
      </c>
      <c r="E529">
        <f t="shared" ca="1" si="30"/>
        <v>0</v>
      </c>
    </row>
    <row r="530" spans="1:5" x14ac:dyDescent="0.3">
      <c r="A530">
        <v>504</v>
      </c>
      <c r="B530">
        <f t="shared" ca="1" si="31"/>
        <v>39</v>
      </c>
      <c r="C530">
        <f t="shared" ca="1" si="32"/>
        <v>7</v>
      </c>
      <c r="D530">
        <f t="shared" ca="1" si="29"/>
        <v>46</v>
      </c>
      <c r="E530">
        <f t="shared" ca="1" si="30"/>
        <v>1</v>
      </c>
    </row>
    <row r="531" spans="1:5" x14ac:dyDescent="0.3">
      <c r="A531">
        <v>505</v>
      </c>
      <c r="B531">
        <f t="shared" ca="1" si="31"/>
        <v>33</v>
      </c>
      <c r="C531">
        <f t="shared" ca="1" si="32"/>
        <v>27</v>
      </c>
      <c r="D531">
        <f t="shared" ca="1" si="29"/>
        <v>60</v>
      </c>
      <c r="E531">
        <f t="shared" ca="1" si="30"/>
        <v>1</v>
      </c>
    </row>
    <row r="532" spans="1:5" x14ac:dyDescent="0.3">
      <c r="A532">
        <v>506</v>
      </c>
      <c r="B532">
        <f t="shared" ca="1" si="31"/>
        <v>21</v>
      </c>
      <c r="C532">
        <f t="shared" ca="1" si="32"/>
        <v>3</v>
      </c>
      <c r="D532">
        <f t="shared" ca="1" si="29"/>
        <v>24</v>
      </c>
      <c r="E532">
        <f t="shared" ca="1" si="30"/>
        <v>0</v>
      </c>
    </row>
    <row r="533" spans="1:5" x14ac:dyDescent="0.3">
      <c r="A533">
        <v>507</v>
      </c>
      <c r="B533">
        <f t="shared" ca="1" si="31"/>
        <v>47</v>
      </c>
      <c r="C533">
        <f t="shared" ca="1" si="32"/>
        <v>2</v>
      </c>
      <c r="D533">
        <f t="shared" ca="1" si="29"/>
        <v>49</v>
      </c>
      <c r="E533">
        <f t="shared" ca="1" si="30"/>
        <v>1</v>
      </c>
    </row>
    <row r="534" spans="1:5" x14ac:dyDescent="0.3">
      <c r="A534">
        <v>508</v>
      </c>
      <c r="B534">
        <f t="shared" ca="1" si="31"/>
        <v>39</v>
      </c>
      <c r="C534">
        <f t="shared" ca="1" si="32"/>
        <v>10</v>
      </c>
      <c r="D534">
        <f t="shared" ca="1" si="29"/>
        <v>49</v>
      </c>
      <c r="E534">
        <f t="shared" ca="1" si="30"/>
        <v>1</v>
      </c>
    </row>
    <row r="535" spans="1:5" x14ac:dyDescent="0.3">
      <c r="A535">
        <v>509</v>
      </c>
      <c r="B535">
        <f t="shared" ca="1" si="31"/>
        <v>54</v>
      </c>
      <c r="C535">
        <f t="shared" ca="1" si="32"/>
        <v>21</v>
      </c>
      <c r="D535">
        <f t="shared" ca="1" si="29"/>
        <v>75</v>
      </c>
      <c r="E535">
        <f t="shared" ca="1" si="30"/>
        <v>1</v>
      </c>
    </row>
    <row r="536" spans="1:5" x14ac:dyDescent="0.3">
      <c r="A536">
        <v>510</v>
      </c>
      <c r="B536">
        <f t="shared" ca="1" si="31"/>
        <v>51</v>
      </c>
      <c r="C536">
        <f t="shared" ca="1" si="32"/>
        <v>18</v>
      </c>
      <c r="D536">
        <f t="shared" ca="1" si="29"/>
        <v>69</v>
      </c>
      <c r="E536">
        <f t="shared" ca="1" si="30"/>
        <v>1</v>
      </c>
    </row>
    <row r="537" spans="1:5" x14ac:dyDescent="0.3">
      <c r="A537">
        <v>511</v>
      </c>
      <c r="B537">
        <f t="shared" ca="1" si="31"/>
        <v>7</v>
      </c>
      <c r="C537">
        <f t="shared" ca="1" si="32"/>
        <v>39</v>
      </c>
      <c r="D537">
        <f t="shared" ca="1" si="29"/>
        <v>46</v>
      </c>
      <c r="E537">
        <f t="shared" ca="1" si="30"/>
        <v>1</v>
      </c>
    </row>
    <row r="538" spans="1:5" x14ac:dyDescent="0.3">
      <c r="A538">
        <v>512</v>
      </c>
      <c r="B538">
        <f t="shared" ca="1" si="31"/>
        <v>44</v>
      </c>
      <c r="C538">
        <f t="shared" ca="1" si="32"/>
        <v>13</v>
      </c>
      <c r="D538">
        <f t="shared" ca="1" si="29"/>
        <v>57</v>
      </c>
      <c r="E538">
        <f t="shared" ca="1" si="30"/>
        <v>1</v>
      </c>
    </row>
    <row r="539" spans="1:5" x14ac:dyDescent="0.3">
      <c r="A539">
        <v>513</v>
      </c>
      <c r="B539">
        <f t="shared" ca="1" si="31"/>
        <v>32</v>
      </c>
      <c r="C539">
        <f t="shared" ca="1" si="32"/>
        <v>20</v>
      </c>
      <c r="D539">
        <f t="shared" ca="1" si="29"/>
        <v>52</v>
      </c>
      <c r="E539">
        <f t="shared" ca="1" si="30"/>
        <v>1</v>
      </c>
    </row>
    <row r="540" spans="1:5" x14ac:dyDescent="0.3">
      <c r="A540">
        <v>514</v>
      </c>
      <c r="B540">
        <f t="shared" ca="1" si="31"/>
        <v>8</v>
      </c>
      <c r="C540">
        <f t="shared" ca="1" si="32"/>
        <v>31</v>
      </c>
      <c r="D540">
        <f t="shared" ref="D540:D603" ca="1" si="33">B540+C540</f>
        <v>39</v>
      </c>
      <c r="E540">
        <f t="shared" ref="E540:E603" ca="1" si="34">IF(D540&gt;=40,1,0)</f>
        <v>0</v>
      </c>
    </row>
    <row r="541" spans="1:5" x14ac:dyDescent="0.3">
      <c r="A541">
        <v>515</v>
      </c>
      <c r="B541">
        <f t="shared" ref="B541:B604" ca="1" si="35">RANDBETWEEN(5,60)</f>
        <v>25</v>
      </c>
      <c r="C541">
        <f t="shared" ref="C541:C604" ca="1" si="36">RANDBETWEEN(2,40)</f>
        <v>40</v>
      </c>
      <c r="D541">
        <f t="shared" ca="1" si="33"/>
        <v>65</v>
      </c>
      <c r="E541">
        <f t="shared" ca="1" si="34"/>
        <v>1</v>
      </c>
    </row>
    <row r="542" spans="1:5" x14ac:dyDescent="0.3">
      <c r="A542">
        <v>516</v>
      </c>
      <c r="B542">
        <f t="shared" ca="1" si="35"/>
        <v>29</v>
      </c>
      <c r="C542">
        <f t="shared" ca="1" si="36"/>
        <v>29</v>
      </c>
      <c r="D542">
        <f t="shared" ca="1" si="33"/>
        <v>58</v>
      </c>
      <c r="E542">
        <f t="shared" ca="1" si="34"/>
        <v>1</v>
      </c>
    </row>
    <row r="543" spans="1:5" x14ac:dyDescent="0.3">
      <c r="A543">
        <v>517</v>
      </c>
      <c r="B543">
        <f t="shared" ca="1" si="35"/>
        <v>17</v>
      </c>
      <c r="C543">
        <f t="shared" ca="1" si="36"/>
        <v>5</v>
      </c>
      <c r="D543">
        <f t="shared" ca="1" si="33"/>
        <v>22</v>
      </c>
      <c r="E543">
        <f t="shared" ca="1" si="34"/>
        <v>0</v>
      </c>
    </row>
    <row r="544" spans="1:5" x14ac:dyDescent="0.3">
      <c r="A544">
        <v>518</v>
      </c>
      <c r="B544">
        <f t="shared" ca="1" si="35"/>
        <v>8</v>
      </c>
      <c r="C544">
        <f t="shared" ca="1" si="36"/>
        <v>5</v>
      </c>
      <c r="D544">
        <f t="shared" ca="1" si="33"/>
        <v>13</v>
      </c>
      <c r="E544">
        <f t="shared" ca="1" si="34"/>
        <v>0</v>
      </c>
    </row>
    <row r="545" spans="1:5" x14ac:dyDescent="0.3">
      <c r="A545">
        <v>519</v>
      </c>
      <c r="B545">
        <f t="shared" ca="1" si="35"/>
        <v>15</v>
      </c>
      <c r="C545">
        <f t="shared" ca="1" si="36"/>
        <v>16</v>
      </c>
      <c r="D545">
        <f t="shared" ca="1" si="33"/>
        <v>31</v>
      </c>
      <c r="E545">
        <f t="shared" ca="1" si="34"/>
        <v>0</v>
      </c>
    </row>
    <row r="546" spans="1:5" x14ac:dyDescent="0.3">
      <c r="A546">
        <v>520</v>
      </c>
      <c r="B546">
        <f t="shared" ca="1" si="35"/>
        <v>31</v>
      </c>
      <c r="C546">
        <f t="shared" ca="1" si="36"/>
        <v>29</v>
      </c>
      <c r="D546">
        <f t="shared" ca="1" si="33"/>
        <v>60</v>
      </c>
      <c r="E546">
        <f t="shared" ca="1" si="34"/>
        <v>1</v>
      </c>
    </row>
    <row r="547" spans="1:5" x14ac:dyDescent="0.3">
      <c r="A547">
        <v>521</v>
      </c>
      <c r="B547">
        <f t="shared" ca="1" si="35"/>
        <v>37</v>
      </c>
      <c r="C547">
        <f t="shared" ca="1" si="36"/>
        <v>38</v>
      </c>
      <c r="D547">
        <f t="shared" ca="1" si="33"/>
        <v>75</v>
      </c>
      <c r="E547">
        <f t="shared" ca="1" si="34"/>
        <v>1</v>
      </c>
    </row>
    <row r="548" spans="1:5" x14ac:dyDescent="0.3">
      <c r="A548">
        <v>522</v>
      </c>
      <c r="B548">
        <f t="shared" ca="1" si="35"/>
        <v>12</v>
      </c>
      <c r="C548">
        <f t="shared" ca="1" si="36"/>
        <v>12</v>
      </c>
      <c r="D548">
        <f t="shared" ca="1" si="33"/>
        <v>24</v>
      </c>
      <c r="E548">
        <f t="shared" ca="1" si="34"/>
        <v>0</v>
      </c>
    </row>
    <row r="549" spans="1:5" x14ac:dyDescent="0.3">
      <c r="A549">
        <v>523</v>
      </c>
      <c r="B549">
        <f t="shared" ca="1" si="35"/>
        <v>16</v>
      </c>
      <c r="C549">
        <f t="shared" ca="1" si="36"/>
        <v>26</v>
      </c>
      <c r="D549">
        <f t="shared" ca="1" si="33"/>
        <v>42</v>
      </c>
      <c r="E549">
        <f t="shared" ca="1" si="34"/>
        <v>1</v>
      </c>
    </row>
    <row r="550" spans="1:5" x14ac:dyDescent="0.3">
      <c r="A550">
        <v>524</v>
      </c>
      <c r="B550">
        <f t="shared" ca="1" si="35"/>
        <v>33</v>
      </c>
      <c r="C550">
        <f t="shared" ca="1" si="36"/>
        <v>4</v>
      </c>
      <c r="D550">
        <f t="shared" ca="1" si="33"/>
        <v>37</v>
      </c>
      <c r="E550">
        <f t="shared" ca="1" si="34"/>
        <v>0</v>
      </c>
    </row>
    <row r="551" spans="1:5" x14ac:dyDescent="0.3">
      <c r="A551">
        <v>525</v>
      </c>
      <c r="B551">
        <f t="shared" ca="1" si="35"/>
        <v>31</v>
      </c>
      <c r="C551">
        <f t="shared" ca="1" si="36"/>
        <v>27</v>
      </c>
      <c r="D551">
        <f t="shared" ca="1" si="33"/>
        <v>58</v>
      </c>
      <c r="E551">
        <f t="shared" ca="1" si="34"/>
        <v>1</v>
      </c>
    </row>
    <row r="552" spans="1:5" x14ac:dyDescent="0.3">
      <c r="A552">
        <v>526</v>
      </c>
      <c r="B552">
        <f t="shared" ca="1" si="35"/>
        <v>57</v>
      </c>
      <c r="C552">
        <f t="shared" ca="1" si="36"/>
        <v>37</v>
      </c>
      <c r="D552">
        <f t="shared" ca="1" si="33"/>
        <v>94</v>
      </c>
      <c r="E552">
        <f t="shared" ca="1" si="34"/>
        <v>1</v>
      </c>
    </row>
    <row r="553" spans="1:5" x14ac:dyDescent="0.3">
      <c r="A553">
        <v>527</v>
      </c>
      <c r="B553">
        <f t="shared" ca="1" si="35"/>
        <v>57</v>
      </c>
      <c r="C553">
        <f t="shared" ca="1" si="36"/>
        <v>30</v>
      </c>
      <c r="D553">
        <f t="shared" ca="1" si="33"/>
        <v>87</v>
      </c>
      <c r="E553">
        <f t="shared" ca="1" si="34"/>
        <v>1</v>
      </c>
    </row>
    <row r="554" spans="1:5" x14ac:dyDescent="0.3">
      <c r="A554">
        <v>528</v>
      </c>
      <c r="B554">
        <f t="shared" ca="1" si="35"/>
        <v>31</v>
      </c>
      <c r="C554">
        <f t="shared" ca="1" si="36"/>
        <v>6</v>
      </c>
      <c r="D554">
        <f t="shared" ca="1" si="33"/>
        <v>37</v>
      </c>
      <c r="E554">
        <f t="shared" ca="1" si="34"/>
        <v>0</v>
      </c>
    </row>
    <row r="555" spans="1:5" x14ac:dyDescent="0.3">
      <c r="A555">
        <v>529</v>
      </c>
      <c r="B555">
        <f t="shared" ca="1" si="35"/>
        <v>5</v>
      </c>
      <c r="C555">
        <f t="shared" ca="1" si="36"/>
        <v>39</v>
      </c>
      <c r="D555">
        <f t="shared" ca="1" si="33"/>
        <v>44</v>
      </c>
      <c r="E555">
        <f t="shared" ca="1" si="34"/>
        <v>1</v>
      </c>
    </row>
    <row r="556" spans="1:5" x14ac:dyDescent="0.3">
      <c r="A556">
        <v>530</v>
      </c>
      <c r="B556">
        <f t="shared" ca="1" si="35"/>
        <v>15</v>
      </c>
      <c r="C556">
        <f t="shared" ca="1" si="36"/>
        <v>34</v>
      </c>
      <c r="D556">
        <f t="shared" ca="1" si="33"/>
        <v>49</v>
      </c>
      <c r="E556">
        <f t="shared" ca="1" si="34"/>
        <v>1</v>
      </c>
    </row>
    <row r="557" spans="1:5" x14ac:dyDescent="0.3">
      <c r="A557">
        <v>531</v>
      </c>
      <c r="B557">
        <f t="shared" ca="1" si="35"/>
        <v>55</v>
      </c>
      <c r="C557">
        <f t="shared" ca="1" si="36"/>
        <v>22</v>
      </c>
      <c r="D557">
        <f t="shared" ca="1" si="33"/>
        <v>77</v>
      </c>
      <c r="E557">
        <f t="shared" ca="1" si="34"/>
        <v>1</v>
      </c>
    </row>
    <row r="558" spans="1:5" x14ac:dyDescent="0.3">
      <c r="A558">
        <v>532</v>
      </c>
      <c r="B558">
        <f t="shared" ca="1" si="35"/>
        <v>56</v>
      </c>
      <c r="C558">
        <f t="shared" ca="1" si="36"/>
        <v>14</v>
      </c>
      <c r="D558">
        <f t="shared" ca="1" si="33"/>
        <v>70</v>
      </c>
      <c r="E558">
        <f t="shared" ca="1" si="34"/>
        <v>1</v>
      </c>
    </row>
    <row r="559" spans="1:5" x14ac:dyDescent="0.3">
      <c r="A559">
        <v>533</v>
      </c>
      <c r="B559">
        <f t="shared" ca="1" si="35"/>
        <v>45</v>
      </c>
      <c r="C559">
        <f t="shared" ca="1" si="36"/>
        <v>36</v>
      </c>
      <c r="D559">
        <f t="shared" ca="1" si="33"/>
        <v>81</v>
      </c>
      <c r="E559">
        <f t="shared" ca="1" si="34"/>
        <v>1</v>
      </c>
    </row>
    <row r="560" spans="1:5" x14ac:dyDescent="0.3">
      <c r="A560">
        <v>534</v>
      </c>
      <c r="B560">
        <f t="shared" ca="1" si="35"/>
        <v>47</v>
      </c>
      <c r="C560">
        <f t="shared" ca="1" si="36"/>
        <v>29</v>
      </c>
      <c r="D560">
        <f t="shared" ca="1" si="33"/>
        <v>76</v>
      </c>
      <c r="E560">
        <f t="shared" ca="1" si="34"/>
        <v>1</v>
      </c>
    </row>
    <row r="561" spans="1:5" x14ac:dyDescent="0.3">
      <c r="A561">
        <v>535</v>
      </c>
      <c r="B561">
        <f t="shared" ca="1" si="35"/>
        <v>59</v>
      </c>
      <c r="C561">
        <f t="shared" ca="1" si="36"/>
        <v>19</v>
      </c>
      <c r="D561">
        <f t="shared" ca="1" si="33"/>
        <v>78</v>
      </c>
      <c r="E561">
        <f t="shared" ca="1" si="34"/>
        <v>1</v>
      </c>
    </row>
    <row r="562" spans="1:5" x14ac:dyDescent="0.3">
      <c r="A562">
        <v>536</v>
      </c>
      <c r="B562">
        <f t="shared" ca="1" si="35"/>
        <v>20</v>
      </c>
      <c r="C562">
        <f t="shared" ca="1" si="36"/>
        <v>4</v>
      </c>
      <c r="D562">
        <f t="shared" ca="1" si="33"/>
        <v>24</v>
      </c>
      <c r="E562">
        <f t="shared" ca="1" si="34"/>
        <v>0</v>
      </c>
    </row>
    <row r="563" spans="1:5" x14ac:dyDescent="0.3">
      <c r="A563">
        <v>537</v>
      </c>
      <c r="B563">
        <f t="shared" ca="1" si="35"/>
        <v>14</v>
      </c>
      <c r="C563">
        <f t="shared" ca="1" si="36"/>
        <v>26</v>
      </c>
      <c r="D563">
        <f t="shared" ca="1" si="33"/>
        <v>40</v>
      </c>
      <c r="E563">
        <f t="shared" ca="1" si="34"/>
        <v>1</v>
      </c>
    </row>
    <row r="564" spans="1:5" x14ac:dyDescent="0.3">
      <c r="A564">
        <v>538</v>
      </c>
      <c r="B564">
        <f t="shared" ca="1" si="35"/>
        <v>24</v>
      </c>
      <c r="C564">
        <f t="shared" ca="1" si="36"/>
        <v>31</v>
      </c>
      <c r="D564">
        <f t="shared" ca="1" si="33"/>
        <v>55</v>
      </c>
      <c r="E564">
        <f t="shared" ca="1" si="34"/>
        <v>1</v>
      </c>
    </row>
    <row r="565" spans="1:5" x14ac:dyDescent="0.3">
      <c r="A565">
        <v>539</v>
      </c>
      <c r="B565">
        <f t="shared" ca="1" si="35"/>
        <v>39</v>
      </c>
      <c r="C565">
        <f t="shared" ca="1" si="36"/>
        <v>31</v>
      </c>
      <c r="D565">
        <f t="shared" ca="1" si="33"/>
        <v>70</v>
      </c>
      <c r="E565">
        <f t="shared" ca="1" si="34"/>
        <v>1</v>
      </c>
    </row>
    <row r="566" spans="1:5" x14ac:dyDescent="0.3">
      <c r="A566">
        <v>540</v>
      </c>
      <c r="B566">
        <f t="shared" ca="1" si="35"/>
        <v>43</v>
      </c>
      <c r="C566">
        <f t="shared" ca="1" si="36"/>
        <v>22</v>
      </c>
      <c r="D566">
        <f t="shared" ca="1" si="33"/>
        <v>65</v>
      </c>
      <c r="E566">
        <f t="shared" ca="1" si="34"/>
        <v>1</v>
      </c>
    </row>
    <row r="567" spans="1:5" x14ac:dyDescent="0.3">
      <c r="A567">
        <v>541</v>
      </c>
      <c r="B567">
        <f t="shared" ca="1" si="35"/>
        <v>20</v>
      </c>
      <c r="C567">
        <f t="shared" ca="1" si="36"/>
        <v>2</v>
      </c>
      <c r="D567">
        <f t="shared" ca="1" si="33"/>
        <v>22</v>
      </c>
      <c r="E567">
        <f t="shared" ca="1" si="34"/>
        <v>0</v>
      </c>
    </row>
    <row r="568" spans="1:5" x14ac:dyDescent="0.3">
      <c r="A568">
        <v>542</v>
      </c>
      <c r="B568">
        <f t="shared" ca="1" si="35"/>
        <v>33</v>
      </c>
      <c r="C568">
        <f t="shared" ca="1" si="36"/>
        <v>36</v>
      </c>
      <c r="D568">
        <f t="shared" ca="1" si="33"/>
        <v>69</v>
      </c>
      <c r="E568">
        <f t="shared" ca="1" si="34"/>
        <v>1</v>
      </c>
    </row>
    <row r="569" spans="1:5" x14ac:dyDescent="0.3">
      <c r="A569">
        <v>543</v>
      </c>
      <c r="B569">
        <f t="shared" ca="1" si="35"/>
        <v>41</v>
      </c>
      <c r="C569">
        <f t="shared" ca="1" si="36"/>
        <v>16</v>
      </c>
      <c r="D569">
        <f t="shared" ca="1" si="33"/>
        <v>57</v>
      </c>
      <c r="E569">
        <f t="shared" ca="1" si="34"/>
        <v>1</v>
      </c>
    </row>
    <row r="570" spans="1:5" x14ac:dyDescent="0.3">
      <c r="A570">
        <v>544</v>
      </c>
      <c r="B570">
        <f t="shared" ca="1" si="35"/>
        <v>48</v>
      </c>
      <c r="C570">
        <f t="shared" ca="1" si="36"/>
        <v>39</v>
      </c>
      <c r="D570">
        <f t="shared" ca="1" si="33"/>
        <v>87</v>
      </c>
      <c r="E570">
        <f t="shared" ca="1" si="34"/>
        <v>1</v>
      </c>
    </row>
    <row r="571" spans="1:5" x14ac:dyDescent="0.3">
      <c r="A571">
        <v>545</v>
      </c>
      <c r="B571">
        <f t="shared" ca="1" si="35"/>
        <v>39</v>
      </c>
      <c r="C571">
        <f t="shared" ca="1" si="36"/>
        <v>2</v>
      </c>
      <c r="D571">
        <f t="shared" ca="1" si="33"/>
        <v>41</v>
      </c>
      <c r="E571">
        <f t="shared" ca="1" si="34"/>
        <v>1</v>
      </c>
    </row>
    <row r="572" spans="1:5" x14ac:dyDescent="0.3">
      <c r="A572">
        <v>546</v>
      </c>
      <c r="B572">
        <f t="shared" ca="1" si="35"/>
        <v>59</v>
      </c>
      <c r="C572">
        <f t="shared" ca="1" si="36"/>
        <v>28</v>
      </c>
      <c r="D572">
        <f t="shared" ca="1" si="33"/>
        <v>87</v>
      </c>
      <c r="E572">
        <f t="shared" ca="1" si="34"/>
        <v>1</v>
      </c>
    </row>
    <row r="573" spans="1:5" x14ac:dyDescent="0.3">
      <c r="A573">
        <v>547</v>
      </c>
      <c r="B573">
        <f t="shared" ca="1" si="35"/>
        <v>30</v>
      </c>
      <c r="C573">
        <f t="shared" ca="1" si="36"/>
        <v>33</v>
      </c>
      <c r="D573">
        <f t="shared" ca="1" si="33"/>
        <v>63</v>
      </c>
      <c r="E573">
        <f t="shared" ca="1" si="34"/>
        <v>1</v>
      </c>
    </row>
    <row r="574" spans="1:5" x14ac:dyDescent="0.3">
      <c r="A574">
        <v>548</v>
      </c>
      <c r="B574">
        <f t="shared" ca="1" si="35"/>
        <v>59</v>
      </c>
      <c r="C574">
        <f t="shared" ca="1" si="36"/>
        <v>6</v>
      </c>
      <c r="D574">
        <f t="shared" ca="1" si="33"/>
        <v>65</v>
      </c>
      <c r="E574">
        <f t="shared" ca="1" si="34"/>
        <v>1</v>
      </c>
    </row>
    <row r="575" spans="1:5" x14ac:dyDescent="0.3">
      <c r="A575">
        <v>549</v>
      </c>
      <c r="B575">
        <f t="shared" ca="1" si="35"/>
        <v>37</v>
      </c>
      <c r="C575">
        <f t="shared" ca="1" si="36"/>
        <v>33</v>
      </c>
      <c r="D575">
        <f t="shared" ca="1" si="33"/>
        <v>70</v>
      </c>
      <c r="E575">
        <f t="shared" ca="1" si="34"/>
        <v>1</v>
      </c>
    </row>
    <row r="576" spans="1:5" x14ac:dyDescent="0.3">
      <c r="A576">
        <v>550</v>
      </c>
      <c r="B576">
        <f t="shared" ca="1" si="35"/>
        <v>47</v>
      </c>
      <c r="C576">
        <f t="shared" ca="1" si="36"/>
        <v>31</v>
      </c>
      <c r="D576">
        <f t="shared" ca="1" si="33"/>
        <v>78</v>
      </c>
      <c r="E576">
        <f t="shared" ca="1" si="34"/>
        <v>1</v>
      </c>
    </row>
    <row r="577" spans="1:5" x14ac:dyDescent="0.3">
      <c r="A577">
        <v>551</v>
      </c>
      <c r="B577">
        <f t="shared" ca="1" si="35"/>
        <v>18</v>
      </c>
      <c r="C577">
        <f t="shared" ca="1" si="36"/>
        <v>20</v>
      </c>
      <c r="D577">
        <f t="shared" ca="1" si="33"/>
        <v>38</v>
      </c>
      <c r="E577">
        <f t="shared" ca="1" si="34"/>
        <v>0</v>
      </c>
    </row>
    <row r="578" spans="1:5" x14ac:dyDescent="0.3">
      <c r="A578">
        <v>552</v>
      </c>
      <c r="B578">
        <f t="shared" ca="1" si="35"/>
        <v>50</v>
      </c>
      <c r="C578">
        <f t="shared" ca="1" si="36"/>
        <v>14</v>
      </c>
      <c r="D578">
        <f t="shared" ca="1" si="33"/>
        <v>64</v>
      </c>
      <c r="E578">
        <f t="shared" ca="1" si="34"/>
        <v>1</v>
      </c>
    </row>
    <row r="579" spans="1:5" x14ac:dyDescent="0.3">
      <c r="A579">
        <v>553</v>
      </c>
      <c r="B579">
        <f t="shared" ca="1" si="35"/>
        <v>50</v>
      </c>
      <c r="C579">
        <f t="shared" ca="1" si="36"/>
        <v>26</v>
      </c>
      <c r="D579">
        <f t="shared" ca="1" si="33"/>
        <v>76</v>
      </c>
      <c r="E579">
        <f t="shared" ca="1" si="34"/>
        <v>1</v>
      </c>
    </row>
    <row r="580" spans="1:5" x14ac:dyDescent="0.3">
      <c r="A580">
        <v>554</v>
      </c>
      <c r="B580">
        <f t="shared" ca="1" si="35"/>
        <v>38</v>
      </c>
      <c r="C580">
        <f t="shared" ca="1" si="36"/>
        <v>26</v>
      </c>
      <c r="D580">
        <f t="shared" ca="1" si="33"/>
        <v>64</v>
      </c>
      <c r="E580">
        <f t="shared" ca="1" si="34"/>
        <v>1</v>
      </c>
    </row>
    <row r="581" spans="1:5" x14ac:dyDescent="0.3">
      <c r="A581">
        <v>555</v>
      </c>
      <c r="B581">
        <f t="shared" ca="1" si="35"/>
        <v>22</v>
      </c>
      <c r="C581">
        <f t="shared" ca="1" si="36"/>
        <v>24</v>
      </c>
      <c r="D581">
        <f t="shared" ca="1" si="33"/>
        <v>46</v>
      </c>
      <c r="E581">
        <f t="shared" ca="1" si="34"/>
        <v>1</v>
      </c>
    </row>
    <row r="582" spans="1:5" x14ac:dyDescent="0.3">
      <c r="A582">
        <v>556</v>
      </c>
      <c r="B582">
        <f t="shared" ca="1" si="35"/>
        <v>39</v>
      </c>
      <c r="C582">
        <f t="shared" ca="1" si="36"/>
        <v>22</v>
      </c>
      <c r="D582">
        <f t="shared" ca="1" si="33"/>
        <v>61</v>
      </c>
      <c r="E582">
        <f t="shared" ca="1" si="34"/>
        <v>1</v>
      </c>
    </row>
    <row r="583" spans="1:5" x14ac:dyDescent="0.3">
      <c r="A583">
        <v>557</v>
      </c>
      <c r="B583">
        <f t="shared" ca="1" si="35"/>
        <v>58</v>
      </c>
      <c r="C583">
        <f t="shared" ca="1" si="36"/>
        <v>4</v>
      </c>
      <c r="D583">
        <f t="shared" ca="1" si="33"/>
        <v>62</v>
      </c>
      <c r="E583">
        <f t="shared" ca="1" si="34"/>
        <v>1</v>
      </c>
    </row>
    <row r="584" spans="1:5" x14ac:dyDescent="0.3">
      <c r="A584">
        <v>558</v>
      </c>
      <c r="B584">
        <f t="shared" ca="1" si="35"/>
        <v>54</v>
      </c>
      <c r="C584">
        <f t="shared" ca="1" si="36"/>
        <v>4</v>
      </c>
      <c r="D584">
        <f t="shared" ca="1" si="33"/>
        <v>58</v>
      </c>
      <c r="E584">
        <f t="shared" ca="1" si="34"/>
        <v>1</v>
      </c>
    </row>
    <row r="585" spans="1:5" x14ac:dyDescent="0.3">
      <c r="A585">
        <v>559</v>
      </c>
      <c r="B585">
        <f t="shared" ca="1" si="35"/>
        <v>44</v>
      </c>
      <c r="C585">
        <f t="shared" ca="1" si="36"/>
        <v>13</v>
      </c>
      <c r="D585">
        <f t="shared" ca="1" si="33"/>
        <v>57</v>
      </c>
      <c r="E585">
        <f t="shared" ca="1" si="34"/>
        <v>1</v>
      </c>
    </row>
    <row r="586" spans="1:5" x14ac:dyDescent="0.3">
      <c r="A586">
        <v>560</v>
      </c>
      <c r="B586">
        <f t="shared" ca="1" si="35"/>
        <v>36</v>
      </c>
      <c r="C586">
        <f t="shared" ca="1" si="36"/>
        <v>34</v>
      </c>
      <c r="D586">
        <f t="shared" ca="1" si="33"/>
        <v>70</v>
      </c>
      <c r="E586">
        <f t="shared" ca="1" si="34"/>
        <v>1</v>
      </c>
    </row>
    <row r="587" spans="1:5" x14ac:dyDescent="0.3">
      <c r="A587">
        <v>561</v>
      </c>
      <c r="B587">
        <f t="shared" ca="1" si="35"/>
        <v>30</v>
      </c>
      <c r="C587">
        <f t="shared" ca="1" si="36"/>
        <v>5</v>
      </c>
      <c r="D587">
        <f t="shared" ca="1" si="33"/>
        <v>35</v>
      </c>
      <c r="E587">
        <f t="shared" ca="1" si="34"/>
        <v>0</v>
      </c>
    </row>
    <row r="588" spans="1:5" x14ac:dyDescent="0.3">
      <c r="A588">
        <v>562</v>
      </c>
      <c r="B588">
        <f t="shared" ca="1" si="35"/>
        <v>31</v>
      </c>
      <c r="C588">
        <f t="shared" ca="1" si="36"/>
        <v>35</v>
      </c>
      <c r="D588">
        <f t="shared" ca="1" si="33"/>
        <v>66</v>
      </c>
      <c r="E588">
        <f t="shared" ca="1" si="34"/>
        <v>1</v>
      </c>
    </row>
    <row r="589" spans="1:5" x14ac:dyDescent="0.3">
      <c r="A589">
        <v>563</v>
      </c>
      <c r="B589">
        <f t="shared" ca="1" si="35"/>
        <v>10</v>
      </c>
      <c r="C589">
        <f t="shared" ca="1" si="36"/>
        <v>24</v>
      </c>
      <c r="D589">
        <f t="shared" ca="1" si="33"/>
        <v>34</v>
      </c>
      <c r="E589">
        <f t="shared" ca="1" si="34"/>
        <v>0</v>
      </c>
    </row>
    <row r="590" spans="1:5" x14ac:dyDescent="0.3">
      <c r="A590">
        <v>564</v>
      </c>
      <c r="B590">
        <f t="shared" ca="1" si="35"/>
        <v>29</v>
      </c>
      <c r="C590">
        <f t="shared" ca="1" si="36"/>
        <v>40</v>
      </c>
      <c r="D590">
        <f t="shared" ca="1" si="33"/>
        <v>69</v>
      </c>
      <c r="E590">
        <f t="shared" ca="1" si="34"/>
        <v>1</v>
      </c>
    </row>
    <row r="591" spans="1:5" x14ac:dyDescent="0.3">
      <c r="A591">
        <v>565</v>
      </c>
      <c r="B591">
        <f t="shared" ca="1" si="35"/>
        <v>7</v>
      </c>
      <c r="C591">
        <f t="shared" ca="1" si="36"/>
        <v>33</v>
      </c>
      <c r="D591">
        <f t="shared" ca="1" si="33"/>
        <v>40</v>
      </c>
      <c r="E591">
        <f t="shared" ca="1" si="34"/>
        <v>1</v>
      </c>
    </row>
    <row r="592" spans="1:5" x14ac:dyDescent="0.3">
      <c r="A592">
        <v>566</v>
      </c>
      <c r="B592">
        <f t="shared" ca="1" si="35"/>
        <v>47</v>
      </c>
      <c r="C592">
        <f t="shared" ca="1" si="36"/>
        <v>12</v>
      </c>
      <c r="D592">
        <f t="shared" ca="1" si="33"/>
        <v>59</v>
      </c>
      <c r="E592">
        <f t="shared" ca="1" si="34"/>
        <v>1</v>
      </c>
    </row>
    <row r="593" spans="1:5" x14ac:dyDescent="0.3">
      <c r="A593">
        <v>567</v>
      </c>
      <c r="B593">
        <f t="shared" ca="1" si="35"/>
        <v>34</v>
      </c>
      <c r="C593">
        <f t="shared" ca="1" si="36"/>
        <v>38</v>
      </c>
      <c r="D593">
        <f t="shared" ca="1" si="33"/>
        <v>72</v>
      </c>
      <c r="E593">
        <f t="shared" ca="1" si="34"/>
        <v>1</v>
      </c>
    </row>
    <row r="594" spans="1:5" x14ac:dyDescent="0.3">
      <c r="A594">
        <v>568</v>
      </c>
      <c r="B594">
        <f t="shared" ca="1" si="35"/>
        <v>6</v>
      </c>
      <c r="C594">
        <f t="shared" ca="1" si="36"/>
        <v>2</v>
      </c>
      <c r="D594">
        <f t="shared" ca="1" si="33"/>
        <v>8</v>
      </c>
      <c r="E594">
        <f t="shared" ca="1" si="34"/>
        <v>0</v>
      </c>
    </row>
    <row r="595" spans="1:5" x14ac:dyDescent="0.3">
      <c r="A595">
        <v>569</v>
      </c>
      <c r="B595">
        <f t="shared" ca="1" si="35"/>
        <v>42</v>
      </c>
      <c r="C595">
        <f t="shared" ca="1" si="36"/>
        <v>17</v>
      </c>
      <c r="D595">
        <f t="shared" ca="1" si="33"/>
        <v>59</v>
      </c>
      <c r="E595">
        <f t="shared" ca="1" si="34"/>
        <v>1</v>
      </c>
    </row>
    <row r="596" spans="1:5" x14ac:dyDescent="0.3">
      <c r="A596">
        <v>570</v>
      </c>
      <c r="B596">
        <f t="shared" ca="1" si="35"/>
        <v>59</v>
      </c>
      <c r="C596">
        <f t="shared" ca="1" si="36"/>
        <v>10</v>
      </c>
      <c r="D596">
        <f t="shared" ca="1" si="33"/>
        <v>69</v>
      </c>
      <c r="E596">
        <f t="shared" ca="1" si="34"/>
        <v>1</v>
      </c>
    </row>
    <row r="597" spans="1:5" x14ac:dyDescent="0.3">
      <c r="A597">
        <v>571</v>
      </c>
      <c r="B597">
        <f t="shared" ca="1" si="35"/>
        <v>33</v>
      </c>
      <c r="C597">
        <f t="shared" ca="1" si="36"/>
        <v>35</v>
      </c>
      <c r="D597">
        <f t="shared" ca="1" si="33"/>
        <v>68</v>
      </c>
      <c r="E597">
        <f t="shared" ca="1" si="34"/>
        <v>1</v>
      </c>
    </row>
    <row r="598" spans="1:5" x14ac:dyDescent="0.3">
      <c r="A598">
        <v>572</v>
      </c>
      <c r="B598">
        <f t="shared" ca="1" si="35"/>
        <v>14</v>
      </c>
      <c r="C598">
        <f t="shared" ca="1" si="36"/>
        <v>19</v>
      </c>
      <c r="D598">
        <f t="shared" ca="1" si="33"/>
        <v>33</v>
      </c>
      <c r="E598">
        <f t="shared" ca="1" si="34"/>
        <v>0</v>
      </c>
    </row>
    <row r="599" spans="1:5" x14ac:dyDescent="0.3">
      <c r="A599">
        <v>573</v>
      </c>
      <c r="B599">
        <f t="shared" ca="1" si="35"/>
        <v>56</v>
      </c>
      <c r="C599">
        <f t="shared" ca="1" si="36"/>
        <v>7</v>
      </c>
      <c r="D599">
        <f t="shared" ca="1" si="33"/>
        <v>63</v>
      </c>
      <c r="E599">
        <f t="shared" ca="1" si="34"/>
        <v>1</v>
      </c>
    </row>
    <row r="600" spans="1:5" x14ac:dyDescent="0.3">
      <c r="A600">
        <v>574</v>
      </c>
      <c r="B600">
        <f t="shared" ca="1" si="35"/>
        <v>40</v>
      </c>
      <c r="C600">
        <f t="shared" ca="1" si="36"/>
        <v>9</v>
      </c>
      <c r="D600">
        <f t="shared" ca="1" si="33"/>
        <v>49</v>
      </c>
      <c r="E600">
        <f t="shared" ca="1" si="34"/>
        <v>1</v>
      </c>
    </row>
    <row r="601" spans="1:5" x14ac:dyDescent="0.3">
      <c r="A601">
        <v>575</v>
      </c>
      <c r="B601">
        <f t="shared" ca="1" si="35"/>
        <v>47</v>
      </c>
      <c r="C601">
        <f t="shared" ca="1" si="36"/>
        <v>32</v>
      </c>
      <c r="D601">
        <f t="shared" ca="1" si="33"/>
        <v>79</v>
      </c>
      <c r="E601">
        <f t="shared" ca="1" si="34"/>
        <v>1</v>
      </c>
    </row>
    <row r="602" spans="1:5" x14ac:dyDescent="0.3">
      <c r="A602">
        <v>576</v>
      </c>
      <c r="B602">
        <f t="shared" ca="1" si="35"/>
        <v>6</v>
      </c>
      <c r="C602">
        <f t="shared" ca="1" si="36"/>
        <v>5</v>
      </c>
      <c r="D602">
        <f t="shared" ca="1" si="33"/>
        <v>11</v>
      </c>
      <c r="E602">
        <f t="shared" ca="1" si="34"/>
        <v>0</v>
      </c>
    </row>
    <row r="603" spans="1:5" x14ac:dyDescent="0.3">
      <c r="A603">
        <v>577</v>
      </c>
      <c r="B603">
        <f t="shared" ca="1" si="35"/>
        <v>45</v>
      </c>
      <c r="C603">
        <f t="shared" ca="1" si="36"/>
        <v>23</v>
      </c>
      <c r="D603">
        <f t="shared" ca="1" si="33"/>
        <v>68</v>
      </c>
      <c r="E603">
        <f t="shared" ca="1" si="34"/>
        <v>1</v>
      </c>
    </row>
    <row r="604" spans="1:5" x14ac:dyDescent="0.3">
      <c r="A604">
        <v>578</v>
      </c>
      <c r="B604">
        <f t="shared" ca="1" si="35"/>
        <v>33</v>
      </c>
      <c r="C604">
        <f t="shared" ca="1" si="36"/>
        <v>11</v>
      </c>
      <c r="D604">
        <f t="shared" ref="D604:D667" ca="1" si="37">B604+C604</f>
        <v>44</v>
      </c>
      <c r="E604">
        <f t="shared" ref="E604:E667" ca="1" si="38">IF(D604&gt;=40,1,0)</f>
        <v>1</v>
      </c>
    </row>
    <row r="605" spans="1:5" x14ac:dyDescent="0.3">
      <c r="A605">
        <v>579</v>
      </c>
      <c r="B605">
        <f t="shared" ref="B605:B668" ca="1" si="39">RANDBETWEEN(5,60)</f>
        <v>39</v>
      </c>
      <c r="C605">
        <f t="shared" ref="C605:C668" ca="1" si="40">RANDBETWEEN(2,40)</f>
        <v>26</v>
      </c>
      <c r="D605">
        <f t="shared" ca="1" si="37"/>
        <v>65</v>
      </c>
      <c r="E605">
        <f t="shared" ca="1" si="38"/>
        <v>1</v>
      </c>
    </row>
    <row r="606" spans="1:5" x14ac:dyDescent="0.3">
      <c r="A606">
        <v>580</v>
      </c>
      <c r="B606">
        <f t="shared" ca="1" si="39"/>
        <v>7</v>
      </c>
      <c r="C606">
        <f t="shared" ca="1" si="40"/>
        <v>24</v>
      </c>
      <c r="D606">
        <f t="shared" ca="1" si="37"/>
        <v>31</v>
      </c>
      <c r="E606">
        <f t="shared" ca="1" si="38"/>
        <v>0</v>
      </c>
    </row>
    <row r="607" spans="1:5" x14ac:dyDescent="0.3">
      <c r="A607">
        <v>581</v>
      </c>
      <c r="B607">
        <f t="shared" ca="1" si="39"/>
        <v>29</v>
      </c>
      <c r="C607">
        <f t="shared" ca="1" si="40"/>
        <v>10</v>
      </c>
      <c r="D607">
        <f t="shared" ca="1" si="37"/>
        <v>39</v>
      </c>
      <c r="E607">
        <f t="shared" ca="1" si="38"/>
        <v>0</v>
      </c>
    </row>
    <row r="608" spans="1:5" x14ac:dyDescent="0.3">
      <c r="A608">
        <v>582</v>
      </c>
      <c r="B608">
        <f t="shared" ca="1" si="39"/>
        <v>6</v>
      </c>
      <c r="C608">
        <f t="shared" ca="1" si="40"/>
        <v>34</v>
      </c>
      <c r="D608">
        <f t="shared" ca="1" si="37"/>
        <v>40</v>
      </c>
      <c r="E608">
        <f t="shared" ca="1" si="38"/>
        <v>1</v>
      </c>
    </row>
    <row r="609" spans="1:5" x14ac:dyDescent="0.3">
      <c r="A609">
        <v>583</v>
      </c>
      <c r="B609">
        <f t="shared" ca="1" si="39"/>
        <v>30</v>
      </c>
      <c r="C609">
        <f t="shared" ca="1" si="40"/>
        <v>20</v>
      </c>
      <c r="D609">
        <f t="shared" ca="1" si="37"/>
        <v>50</v>
      </c>
      <c r="E609">
        <f t="shared" ca="1" si="38"/>
        <v>1</v>
      </c>
    </row>
    <row r="610" spans="1:5" x14ac:dyDescent="0.3">
      <c r="A610">
        <v>584</v>
      </c>
      <c r="B610">
        <f t="shared" ca="1" si="39"/>
        <v>49</v>
      </c>
      <c r="C610">
        <f t="shared" ca="1" si="40"/>
        <v>5</v>
      </c>
      <c r="D610">
        <f t="shared" ca="1" si="37"/>
        <v>54</v>
      </c>
      <c r="E610">
        <f t="shared" ca="1" si="38"/>
        <v>1</v>
      </c>
    </row>
    <row r="611" spans="1:5" x14ac:dyDescent="0.3">
      <c r="A611">
        <v>585</v>
      </c>
      <c r="B611">
        <f t="shared" ca="1" si="39"/>
        <v>50</v>
      </c>
      <c r="C611">
        <f t="shared" ca="1" si="40"/>
        <v>11</v>
      </c>
      <c r="D611">
        <f t="shared" ca="1" si="37"/>
        <v>61</v>
      </c>
      <c r="E611">
        <f t="shared" ca="1" si="38"/>
        <v>1</v>
      </c>
    </row>
    <row r="612" spans="1:5" x14ac:dyDescent="0.3">
      <c r="A612">
        <v>586</v>
      </c>
      <c r="B612">
        <f t="shared" ca="1" si="39"/>
        <v>35</v>
      </c>
      <c r="C612">
        <f t="shared" ca="1" si="40"/>
        <v>27</v>
      </c>
      <c r="D612">
        <f t="shared" ca="1" si="37"/>
        <v>62</v>
      </c>
      <c r="E612">
        <f t="shared" ca="1" si="38"/>
        <v>1</v>
      </c>
    </row>
    <row r="613" spans="1:5" x14ac:dyDescent="0.3">
      <c r="A613">
        <v>587</v>
      </c>
      <c r="B613">
        <f t="shared" ca="1" si="39"/>
        <v>50</v>
      </c>
      <c r="C613">
        <f t="shared" ca="1" si="40"/>
        <v>7</v>
      </c>
      <c r="D613">
        <f t="shared" ca="1" si="37"/>
        <v>57</v>
      </c>
      <c r="E613">
        <f t="shared" ca="1" si="38"/>
        <v>1</v>
      </c>
    </row>
    <row r="614" spans="1:5" x14ac:dyDescent="0.3">
      <c r="A614">
        <v>588</v>
      </c>
      <c r="B614">
        <f t="shared" ca="1" si="39"/>
        <v>28</v>
      </c>
      <c r="C614">
        <f t="shared" ca="1" si="40"/>
        <v>12</v>
      </c>
      <c r="D614">
        <f t="shared" ca="1" si="37"/>
        <v>40</v>
      </c>
      <c r="E614">
        <f t="shared" ca="1" si="38"/>
        <v>1</v>
      </c>
    </row>
    <row r="615" spans="1:5" x14ac:dyDescent="0.3">
      <c r="A615">
        <v>589</v>
      </c>
      <c r="B615">
        <f t="shared" ca="1" si="39"/>
        <v>27</v>
      </c>
      <c r="C615">
        <f t="shared" ca="1" si="40"/>
        <v>17</v>
      </c>
      <c r="D615">
        <f t="shared" ca="1" si="37"/>
        <v>44</v>
      </c>
      <c r="E615">
        <f t="shared" ca="1" si="38"/>
        <v>1</v>
      </c>
    </row>
    <row r="616" spans="1:5" x14ac:dyDescent="0.3">
      <c r="A616">
        <v>590</v>
      </c>
      <c r="B616">
        <f t="shared" ca="1" si="39"/>
        <v>32</v>
      </c>
      <c r="C616">
        <f t="shared" ca="1" si="40"/>
        <v>14</v>
      </c>
      <c r="D616">
        <f t="shared" ca="1" si="37"/>
        <v>46</v>
      </c>
      <c r="E616">
        <f t="shared" ca="1" si="38"/>
        <v>1</v>
      </c>
    </row>
    <row r="617" spans="1:5" x14ac:dyDescent="0.3">
      <c r="A617">
        <v>591</v>
      </c>
      <c r="B617">
        <f t="shared" ca="1" si="39"/>
        <v>8</v>
      </c>
      <c r="C617">
        <f t="shared" ca="1" si="40"/>
        <v>35</v>
      </c>
      <c r="D617">
        <f t="shared" ca="1" si="37"/>
        <v>43</v>
      </c>
      <c r="E617">
        <f t="shared" ca="1" si="38"/>
        <v>1</v>
      </c>
    </row>
    <row r="618" spans="1:5" x14ac:dyDescent="0.3">
      <c r="A618">
        <v>592</v>
      </c>
      <c r="B618">
        <f t="shared" ca="1" si="39"/>
        <v>35</v>
      </c>
      <c r="C618">
        <f t="shared" ca="1" si="40"/>
        <v>36</v>
      </c>
      <c r="D618">
        <f t="shared" ca="1" si="37"/>
        <v>71</v>
      </c>
      <c r="E618">
        <f t="shared" ca="1" si="38"/>
        <v>1</v>
      </c>
    </row>
    <row r="619" spans="1:5" x14ac:dyDescent="0.3">
      <c r="A619">
        <v>593</v>
      </c>
      <c r="B619">
        <f t="shared" ca="1" si="39"/>
        <v>28</v>
      </c>
      <c r="C619">
        <f t="shared" ca="1" si="40"/>
        <v>21</v>
      </c>
      <c r="D619">
        <f t="shared" ca="1" si="37"/>
        <v>49</v>
      </c>
      <c r="E619">
        <f t="shared" ca="1" si="38"/>
        <v>1</v>
      </c>
    </row>
    <row r="620" spans="1:5" x14ac:dyDescent="0.3">
      <c r="A620">
        <v>594</v>
      </c>
      <c r="B620">
        <f t="shared" ca="1" si="39"/>
        <v>28</v>
      </c>
      <c r="C620">
        <f t="shared" ca="1" si="40"/>
        <v>5</v>
      </c>
      <c r="D620">
        <f t="shared" ca="1" si="37"/>
        <v>33</v>
      </c>
      <c r="E620">
        <f t="shared" ca="1" si="38"/>
        <v>0</v>
      </c>
    </row>
    <row r="621" spans="1:5" x14ac:dyDescent="0.3">
      <c r="A621">
        <v>595</v>
      </c>
      <c r="B621">
        <f t="shared" ca="1" si="39"/>
        <v>51</v>
      </c>
      <c r="C621">
        <f t="shared" ca="1" si="40"/>
        <v>28</v>
      </c>
      <c r="D621">
        <f t="shared" ca="1" si="37"/>
        <v>79</v>
      </c>
      <c r="E621">
        <f t="shared" ca="1" si="38"/>
        <v>1</v>
      </c>
    </row>
    <row r="622" spans="1:5" x14ac:dyDescent="0.3">
      <c r="A622">
        <v>596</v>
      </c>
      <c r="B622">
        <f t="shared" ca="1" si="39"/>
        <v>19</v>
      </c>
      <c r="C622">
        <f t="shared" ca="1" si="40"/>
        <v>22</v>
      </c>
      <c r="D622">
        <f t="shared" ca="1" si="37"/>
        <v>41</v>
      </c>
      <c r="E622">
        <f t="shared" ca="1" si="38"/>
        <v>1</v>
      </c>
    </row>
    <row r="623" spans="1:5" x14ac:dyDescent="0.3">
      <c r="A623">
        <v>597</v>
      </c>
      <c r="B623">
        <f t="shared" ca="1" si="39"/>
        <v>53</v>
      </c>
      <c r="C623">
        <f t="shared" ca="1" si="40"/>
        <v>26</v>
      </c>
      <c r="D623">
        <f t="shared" ca="1" si="37"/>
        <v>79</v>
      </c>
      <c r="E623">
        <f t="shared" ca="1" si="38"/>
        <v>1</v>
      </c>
    </row>
    <row r="624" spans="1:5" x14ac:dyDescent="0.3">
      <c r="A624">
        <v>598</v>
      </c>
      <c r="B624">
        <f t="shared" ca="1" si="39"/>
        <v>39</v>
      </c>
      <c r="C624">
        <f t="shared" ca="1" si="40"/>
        <v>16</v>
      </c>
      <c r="D624">
        <f t="shared" ca="1" si="37"/>
        <v>55</v>
      </c>
      <c r="E624">
        <f t="shared" ca="1" si="38"/>
        <v>1</v>
      </c>
    </row>
    <row r="625" spans="1:5" x14ac:dyDescent="0.3">
      <c r="A625">
        <v>599</v>
      </c>
      <c r="B625">
        <f t="shared" ca="1" si="39"/>
        <v>23</v>
      </c>
      <c r="C625">
        <f t="shared" ca="1" si="40"/>
        <v>15</v>
      </c>
      <c r="D625">
        <f t="shared" ca="1" si="37"/>
        <v>38</v>
      </c>
      <c r="E625">
        <f t="shared" ca="1" si="38"/>
        <v>0</v>
      </c>
    </row>
    <row r="626" spans="1:5" x14ac:dyDescent="0.3">
      <c r="A626">
        <v>600</v>
      </c>
      <c r="B626">
        <f t="shared" ca="1" si="39"/>
        <v>12</v>
      </c>
      <c r="C626">
        <f t="shared" ca="1" si="40"/>
        <v>21</v>
      </c>
      <c r="D626">
        <f t="shared" ca="1" si="37"/>
        <v>33</v>
      </c>
      <c r="E626">
        <f t="shared" ca="1" si="38"/>
        <v>0</v>
      </c>
    </row>
    <row r="627" spans="1:5" x14ac:dyDescent="0.3">
      <c r="A627">
        <v>601</v>
      </c>
      <c r="B627">
        <f t="shared" ca="1" si="39"/>
        <v>51</v>
      </c>
      <c r="C627">
        <f t="shared" ca="1" si="40"/>
        <v>11</v>
      </c>
      <c r="D627">
        <f t="shared" ca="1" si="37"/>
        <v>62</v>
      </c>
      <c r="E627">
        <f t="shared" ca="1" si="38"/>
        <v>1</v>
      </c>
    </row>
    <row r="628" spans="1:5" x14ac:dyDescent="0.3">
      <c r="A628">
        <v>602</v>
      </c>
      <c r="B628">
        <f t="shared" ca="1" si="39"/>
        <v>18</v>
      </c>
      <c r="C628">
        <f t="shared" ca="1" si="40"/>
        <v>14</v>
      </c>
      <c r="D628">
        <f t="shared" ca="1" si="37"/>
        <v>32</v>
      </c>
      <c r="E628">
        <f t="shared" ca="1" si="38"/>
        <v>0</v>
      </c>
    </row>
    <row r="629" spans="1:5" x14ac:dyDescent="0.3">
      <c r="A629">
        <v>603</v>
      </c>
      <c r="B629">
        <f t="shared" ca="1" si="39"/>
        <v>24</v>
      </c>
      <c r="C629">
        <f t="shared" ca="1" si="40"/>
        <v>29</v>
      </c>
      <c r="D629">
        <f t="shared" ca="1" si="37"/>
        <v>53</v>
      </c>
      <c r="E629">
        <f t="shared" ca="1" si="38"/>
        <v>1</v>
      </c>
    </row>
    <row r="630" spans="1:5" x14ac:dyDescent="0.3">
      <c r="A630">
        <v>604</v>
      </c>
      <c r="B630">
        <f t="shared" ca="1" si="39"/>
        <v>54</v>
      </c>
      <c r="C630">
        <f t="shared" ca="1" si="40"/>
        <v>22</v>
      </c>
      <c r="D630">
        <f t="shared" ca="1" si="37"/>
        <v>76</v>
      </c>
      <c r="E630">
        <f t="shared" ca="1" si="38"/>
        <v>1</v>
      </c>
    </row>
    <row r="631" spans="1:5" x14ac:dyDescent="0.3">
      <c r="A631">
        <v>605</v>
      </c>
      <c r="B631">
        <f t="shared" ca="1" si="39"/>
        <v>32</v>
      </c>
      <c r="C631">
        <f t="shared" ca="1" si="40"/>
        <v>32</v>
      </c>
      <c r="D631">
        <f t="shared" ca="1" si="37"/>
        <v>64</v>
      </c>
      <c r="E631">
        <f t="shared" ca="1" si="38"/>
        <v>1</v>
      </c>
    </row>
    <row r="632" spans="1:5" x14ac:dyDescent="0.3">
      <c r="A632">
        <v>606</v>
      </c>
      <c r="B632">
        <f t="shared" ca="1" si="39"/>
        <v>18</v>
      </c>
      <c r="C632">
        <f t="shared" ca="1" si="40"/>
        <v>8</v>
      </c>
      <c r="D632">
        <f t="shared" ca="1" si="37"/>
        <v>26</v>
      </c>
      <c r="E632">
        <f t="shared" ca="1" si="38"/>
        <v>0</v>
      </c>
    </row>
    <row r="633" spans="1:5" x14ac:dyDescent="0.3">
      <c r="A633">
        <v>607</v>
      </c>
      <c r="B633">
        <f t="shared" ca="1" si="39"/>
        <v>23</v>
      </c>
      <c r="C633">
        <f t="shared" ca="1" si="40"/>
        <v>9</v>
      </c>
      <c r="D633">
        <f t="shared" ca="1" si="37"/>
        <v>32</v>
      </c>
      <c r="E633">
        <f t="shared" ca="1" si="38"/>
        <v>0</v>
      </c>
    </row>
    <row r="634" spans="1:5" x14ac:dyDescent="0.3">
      <c r="A634">
        <v>608</v>
      </c>
      <c r="B634">
        <f t="shared" ca="1" si="39"/>
        <v>19</v>
      </c>
      <c r="C634">
        <f t="shared" ca="1" si="40"/>
        <v>29</v>
      </c>
      <c r="D634">
        <f t="shared" ca="1" si="37"/>
        <v>48</v>
      </c>
      <c r="E634">
        <f t="shared" ca="1" si="38"/>
        <v>1</v>
      </c>
    </row>
    <row r="635" spans="1:5" x14ac:dyDescent="0.3">
      <c r="A635">
        <v>609</v>
      </c>
      <c r="B635">
        <f t="shared" ca="1" si="39"/>
        <v>24</v>
      </c>
      <c r="C635">
        <f t="shared" ca="1" si="40"/>
        <v>37</v>
      </c>
      <c r="D635">
        <f t="shared" ca="1" si="37"/>
        <v>61</v>
      </c>
      <c r="E635">
        <f t="shared" ca="1" si="38"/>
        <v>1</v>
      </c>
    </row>
    <row r="636" spans="1:5" x14ac:dyDescent="0.3">
      <c r="A636">
        <v>610</v>
      </c>
      <c r="B636">
        <f t="shared" ca="1" si="39"/>
        <v>56</v>
      </c>
      <c r="C636">
        <f t="shared" ca="1" si="40"/>
        <v>22</v>
      </c>
      <c r="D636">
        <f t="shared" ca="1" si="37"/>
        <v>78</v>
      </c>
      <c r="E636">
        <f t="shared" ca="1" si="38"/>
        <v>1</v>
      </c>
    </row>
    <row r="637" spans="1:5" x14ac:dyDescent="0.3">
      <c r="A637">
        <v>611</v>
      </c>
      <c r="B637">
        <f t="shared" ca="1" si="39"/>
        <v>44</v>
      </c>
      <c r="C637">
        <f t="shared" ca="1" si="40"/>
        <v>23</v>
      </c>
      <c r="D637">
        <f t="shared" ca="1" si="37"/>
        <v>67</v>
      </c>
      <c r="E637">
        <f t="shared" ca="1" si="38"/>
        <v>1</v>
      </c>
    </row>
    <row r="638" spans="1:5" x14ac:dyDescent="0.3">
      <c r="A638">
        <v>612</v>
      </c>
      <c r="B638">
        <f t="shared" ca="1" si="39"/>
        <v>48</v>
      </c>
      <c r="C638">
        <f t="shared" ca="1" si="40"/>
        <v>28</v>
      </c>
      <c r="D638">
        <f t="shared" ca="1" si="37"/>
        <v>76</v>
      </c>
      <c r="E638">
        <f t="shared" ca="1" si="38"/>
        <v>1</v>
      </c>
    </row>
    <row r="639" spans="1:5" x14ac:dyDescent="0.3">
      <c r="A639">
        <v>613</v>
      </c>
      <c r="B639">
        <f t="shared" ca="1" si="39"/>
        <v>35</v>
      </c>
      <c r="C639">
        <f t="shared" ca="1" si="40"/>
        <v>26</v>
      </c>
      <c r="D639">
        <f t="shared" ca="1" si="37"/>
        <v>61</v>
      </c>
      <c r="E639">
        <f t="shared" ca="1" si="38"/>
        <v>1</v>
      </c>
    </row>
    <row r="640" spans="1:5" x14ac:dyDescent="0.3">
      <c r="A640">
        <v>614</v>
      </c>
      <c r="B640">
        <f t="shared" ca="1" si="39"/>
        <v>48</v>
      </c>
      <c r="C640">
        <f t="shared" ca="1" si="40"/>
        <v>29</v>
      </c>
      <c r="D640">
        <f t="shared" ca="1" si="37"/>
        <v>77</v>
      </c>
      <c r="E640">
        <f t="shared" ca="1" si="38"/>
        <v>1</v>
      </c>
    </row>
    <row r="641" spans="1:5" x14ac:dyDescent="0.3">
      <c r="A641">
        <v>615</v>
      </c>
      <c r="B641">
        <f t="shared" ca="1" si="39"/>
        <v>16</v>
      </c>
      <c r="C641">
        <f t="shared" ca="1" si="40"/>
        <v>15</v>
      </c>
      <c r="D641">
        <f t="shared" ca="1" si="37"/>
        <v>31</v>
      </c>
      <c r="E641">
        <f t="shared" ca="1" si="38"/>
        <v>0</v>
      </c>
    </row>
    <row r="642" spans="1:5" x14ac:dyDescent="0.3">
      <c r="A642">
        <v>616</v>
      </c>
      <c r="B642">
        <f t="shared" ca="1" si="39"/>
        <v>45</v>
      </c>
      <c r="C642">
        <f t="shared" ca="1" si="40"/>
        <v>36</v>
      </c>
      <c r="D642">
        <f t="shared" ca="1" si="37"/>
        <v>81</v>
      </c>
      <c r="E642">
        <f t="shared" ca="1" si="38"/>
        <v>1</v>
      </c>
    </row>
    <row r="643" spans="1:5" x14ac:dyDescent="0.3">
      <c r="A643">
        <v>617</v>
      </c>
      <c r="B643">
        <f t="shared" ca="1" si="39"/>
        <v>48</v>
      </c>
      <c r="C643">
        <f t="shared" ca="1" si="40"/>
        <v>21</v>
      </c>
      <c r="D643">
        <f t="shared" ca="1" si="37"/>
        <v>69</v>
      </c>
      <c r="E643">
        <f t="shared" ca="1" si="38"/>
        <v>1</v>
      </c>
    </row>
    <row r="644" spans="1:5" x14ac:dyDescent="0.3">
      <c r="A644">
        <v>618</v>
      </c>
      <c r="B644">
        <f t="shared" ca="1" si="39"/>
        <v>56</v>
      </c>
      <c r="C644">
        <f t="shared" ca="1" si="40"/>
        <v>32</v>
      </c>
      <c r="D644">
        <f t="shared" ca="1" si="37"/>
        <v>88</v>
      </c>
      <c r="E644">
        <f t="shared" ca="1" si="38"/>
        <v>1</v>
      </c>
    </row>
    <row r="645" spans="1:5" x14ac:dyDescent="0.3">
      <c r="A645">
        <v>619</v>
      </c>
      <c r="B645">
        <f t="shared" ca="1" si="39"/>
        <v>10</v>
      </c>
      <c r="C645">
        <f t="shared" ca="1" si="40"/>
        <v>12</v>
      </c>
      <c r="D645">
        <f t="shared" ca="1" si="37"/>
        <v>22</v>
      </c>
      <c r="E645">
        <f t="shared" ca="1" si="38"/>
        <v>0</v>
      </c>
    </row>
    <row r="646" spans="1:5" x14ac:dyDescent="0.3">
      <c r="A646">
        <v>620</v>
      </c>
      <c r="B646">
        <f t="shared" ca="1" si="39"/>
        <v>9</v>
      </c>
      <c r="C646">
        <f t="shared" ca="1" si="40"/>
        <v>39</v>
      </c>
      <c r="D646">
        <f t="shared" ca="1" si="37"/>
        <v>48</v>
      </c>
      <c r="E646">
        <f t="shared" ca="1" si="38"/>
        <v>1</v>
      </c>
    </row>
    <row r="647" spans="1:5" x14ac:dyDescent="0.3">
      <c r="A647">
        <v>621</v>
      </c>
      <c r="B647">
        <f t="shared" ca="1" si="39"/>
        <v>44</v>
      </c>
      <c r="C647">
        <f t="shared" ca="1" si="40"/>
        <v>4</v>
      </c>
      <c r="D647">
        <f t="shared" ca="1" si="37"/>
        <v>48</v>
      </c>
      <c r="E647">
        <f t="shared" ca="1" si="38"/>
        <v>1</v>
      </c>
    </row>
    <row r="648" spans="1:5" x14ac:dyDescent="0.3">
      <c r="A648">
        <v>622</v>
      </c>
      <c r="B648">
        <f t="shared" ca="1" si="39"/>
        <v>43</v>
      </c>
      <c r="C648">
        <f t="shared" ca="1" si="40"/>
        <v>17</v>
      </c>
      <c r="D648">
        <f t="shared" ca="1" si="37"/>
        <v>60</v>
      </c>
      <c r="E648">
        <f t="shared" ca="1" si="38"/>
        <v>1</v>
      </c>
    </row>
    <row r="649" spans="1:5" x14ac:dyDescent="0.3">
      <c r="A649">
        <v>623</v>
      </c>
      <c r="B649">
        <f t="shared" ca="1" si="39"/>
        <v>59</v>
      </c>
      <c r="C649">
        <f t="shared" ca="1" si="40"/>
        <v>40</v>
      </c>
      <c r="D649">
        <f t="shared" ca="1" si="37"/>
        <v>99</v>
      </c>
      <c r="E649">
        <f t="shared" ca="1" si="38"/>
        <v>1</v>
      </c>
    </row>
    <row r="650" spans="1:5" x14ac:dyDescent="0.3">
      <c r="A650">
        <v>624</v>
      </c>
      <c r="B650">
        <f t="shared" ca="1" si="39"/>
        <v>49</v>
      </c>
      <c r="C650">
        <f t="shared" ca="1" si="40"/>
        <v>25</v>
      </c>
      <c r="D650">
        <f t="shared" ca="1" si="37"/>
        <v>74</v>
      </c>
      <c r="E650">
        <f t="shared" ca="1" si="38"/>
        <v>1</v>
      </c>
    </row>
    <row r="651" spans="1:5" x14ac:dyDescent="0.3">
      <c r="A651">
        <v>625</v>
      </c>
      <c r="B651">
        <f t="shared" ca="1" si="39"/>
        <v>46</v>
      </c>
      <c r="C651">
        <f t="shared" ca="1" si="40"/>
        <v>33</v>
      </c>
      <c r="D651">
        <f t="shared" ca="1" si="37"/>
        <v>79</v>
      </c>
      <c r="E651">
        <f t="shared" ca="1" si="38"/>
        <v>1</v>
      </c>
    </row>
    <row r="652" spans="1:5" x14ac:dyDescent="0.3">
      <c r="A652">
        <v>626</v>
      </c>
      <c r="B652">
        <f t="shared" ca="1" si="39"/>
        <v>37</v>
      </c>
      <c r="C652">
        <f t="shared" ca="1" si="40"/>
        <v>15</v>
      </c>
      <c r="D652">
        <f t="shared" ca="1" si="37"/>
        <v>52</v>
      </c>
      <c r="E652">
        <f t="shared" ca="1" si="38"/>
        <v>1</v>
      </c>
    </row>
    <row r="653" spans="1:5" x14ac:dyDescent="0.3">
      <c r="A653">
        <v>627</v>
      </c>
      <c r="B653">
        <f t="shared" ca="1" si="39"/>
        <v>9</v>
      </c>
      <c r="C653">
        <f t="shared" ca="1" si="40"/>
        <v>30</v>
      </c>
      <c r="D653">
        <f t="shared" ca="1" si="37"/>
        <v>39</v>
      </c>
      <c r="E653">
        <f t="shared" ca="1" si="38"/>
        <v>0</v>
      </c>
    </row>
    <row r="654" spans="1:5" x14ac:dyDescent="0.3">
      <c r="A654">
        <v>628</v>
      </c>
      <c r="B654">
        <f t="shared" ca="1" si="39"/>
        <v>20</v>
      </c>
      <c r="C654">
        <f t="shared" ca="1" si="40"/>
        <v>13</v>
      </c>
      <c r="D654">
        <f t="shared" ca="1" si="37"/>
        <v>33</v>
      </c>
      <c r="E654">
        <f t="shared" ca="1" si="38"/>
        <v>0</v>
      </c>
    </row>
    <row r="655" spans="1:5" x14ac:dyDescent="0.3">
      <c r="A655">
        <v>629</v>
      </c>
      <c r="B655">
        <f t="shared" ca="1" si="39"/>
        <v>20</v>
      </c>
      <c r="C655">
        <f t="shared" ca="1" si="40"/>
        <v>19</v>
      </c>
      <c r="D655">
        <f t="shared" ca="1" si="37"/>
        <v>39</v>
      </c>
      <c r="E655">
        <f t="shared" ca="1" si="38"/>
        <v>0</v>
      </c>
    </row>
    <row r="656" spans="1:5" x14ac:dyDescent="0.3">
      <c r="A656">
        <v>630</v>
      </c>
      <c r="B656">
        <f t="shared" ca="1" si="39"/>
        <v>53</v>
      </c>
      <c r="C656">
        <f t="shared" ca="1" si="40"/>
        <v>2</v>
      </c>
      <c r="D656">
        <f t="shared" ca="1" si="37"/>
        <v>55</v>
      </c>
      <c r="E656">
        <f t="shared" ca="1" si="38"/>
        <v>1</v>
      </c>
    </row>
    <row r="657" spans="1:5" x14ac:dyDescent="0.3">
      <c r="A657">
        <v>631</v>
      </c>
      <c r="B657">
        <f t="shared" ca="1" si="39"/>
        <v>54</v>
      </c>
      <c r="C657">
        <f t="shared" ca="1" si="40"/>
        <v>30</v>
      </c>
      <c r="D657">
        <f t="shared" ca="1" si="37"/>
        <v>84</v>
      </c>
      <c r="E657">
        <f t="shared" ca="1" si="38"/>
        <v>1</v>
      </c>
    </row>
    <row r="658" spans="1:5" x14ac:dyDescent="0.3">
      <c r="A658">
        <v>632</v>
      </c>
      <c r="B658">
        <f t="shared" ca="1" si="39"/>
        <v>40</v>
      </c>
      <c r="C658">
        <f t="shared" ca="1" si="40"/>
        <v>9</v>
      </c>
      <c r="D658">
        <f t="shared" ca="1" si="37"/>
        <v>49</v>
      </c>
      <c r="E658">
        <f t="shared" ca="1" si="38"/>
        <v>1</v>
      </c>
    </row>
    <row r="659" spans="1:5" x14ac:dyDescent="0.3">
      <c r="A659">
        <v>633</v>
      </c>
      <c r="B659">
        <f t="shared" ca="1" si="39"/>
        <v>59</v>
      </c>
      <c r="C659">
        <f t="shared" ca="1" si="40"/>
        <v>3</v>
      </c>
      <c r="D659">
        <f t="shared" ca="1" si="37"/>
        <v>62</v>
      </c>
      <c r="E659">
        <f t="shared" ca="1" si="38"/>
        <v>1</v>
      </c>
    </row>
    <row r="660" spans="1:5" x14ac:dyDescent="0.3">
      <c r="A660">
        <v>634</v>
      </c>
      <c r="B660">
        <f t="shared" ca="1" si="39"/>
        <v>10</v>
      </c>
      <c r="C660">
        <f t="shared" ca="1" si="40"/>
        <v>34</v>
      </c>
      <c r="D660">
        <f t="shared" ca="1" si="37"/>
        <v>44</v>
      </c>
      <c r="E660">
        <f t="shared" ca="1" si="38"/>
        <v>1</v>
      </c>
    </row>
    <row r="661" spans="1:5" x14ac:dyDescent="0.3">
      <c r="A661">
        <v>635</v>
      </c>
      <c r="B661">
        <f t="shared" ca="1" si="39"/>
        <v>51</v>
      </c>
      <c r="C661">
        <f t="shared" ca="1" si="40"/>
        <v>13</v>
      </c>
      <c r="D661">
        <f t="shared" ca="1" si="37"/>
        <v>64</v>
      </c>
      <c r="E661">
        <f t="shared" ca="1" si="38"/>
        <v>1</v>
      </c>
    </row>
    <row r="662" spans="1:5" x14ac:dyDescent="0.3">
      <c r="A662">
        <v>636</v>
      </c>
      <c r="B662">
        <f t="shared" ca="1" si="39"/>
        <v>13</v>
      </c>
      <c r="C662">
        <f t="shared" ca="1" si="40"/>
        <v>33</v>
      </c>
      <c r="D662">
        <f t="shared" ca="1" si="37"/>
        <v>46</v>
      </c>
      <c r="E662">
        <f t="shared" ca="1" si="38"/>
        <v>1</v>
      </c>
    </row>
    <row r="663" spans="1:5" x14ac:dyDescent="0.3">
      <c r="A663">
        <v>637</v>
      </c>
      <c r="B663">
        <f t="shared" ca="1" si="39"/>
        <v>25</v>
      </c>
      <c r="C663">
        <f t="shared" ca="1" si="40"/>
        <v>25</v>
      </c>
      <c r="D663">
        <f t="shared" ca="1" si="37"/>
        <v>50</v>
      </c>
      <c r="E663">
        <f t="shared" ca="1" si="38"/>
        <v>1</v>
      </c>
    </row>
    <row r="664" spans="1:5" x14ac:dyDescent="0.3">
      <c r="A664">
        <v>638</v>
      </c>
      <c r="B664">
        <f t="shared" ca="1" si="39"/>
        <v>46</v>
      </c>
      <c r="C664">
        <f t="shared" ca="1" si="40"/>
        <v>11</v>
      </c>
      <c r="D664">
        <f t="shared" ca="1" si="37"/>
        <v>57</v>
      </c>
      <c r="E664">
        <f t="shared" ca="1" si="38"/>
        <v>1</v>
      </c>
    </row>
    <row r="665" spans="1:5" x14ac:dyDescent="0.3">
      <c r="A665">
        <v>639</v>
      </c>
      <c r="B665">
        <f t="shared" ca="1" si="39"/>
        <v>42</v>
      </c>
      <c r="C665">
        <f t="shared" ca="1" si="40"/>
        <v>10</v>
      </c>
      <c r="D665">
        <f t="shared" ca="1" si="37"/>
        <v>52</v>
      </c>
      <c r="E665">
        <f t="shared" ca="1" si="38"/>
        <v>1</v>
      </c>
    </row>
    <row r="666" spans="1:5" x14ac:dyDescent="0.3">
      <c r="A666">
        <v>640</v>
      </c>
      <c r="B666">
        <f t="shared" ca="1" si="39"/>
        <v>54</v>
      </c>
      <c r="C666">
        <f t="shared" ca="1" si="40"/>
        <v>36</v>
      </c>
      <c r="D666">
        <f t="shared" ca="1" si="37"/>
        <v>90</v>
      </c>
      <c r="E666">
        <f t="shared" ca="1" si="38"/>
        <v>1</v>
      </c>
    </row>
    <row r="667" spans="1:5" x14ac:dyDescent="0.3">
      <c r="A667">
        <v>641</v>
      </c>
      <c r="B667">
        <f t="shared" ca="1" si="39"/>
        <v>42</v>
      </c>
      <c r="C667">
        <f t="shared" ca="1" si="40"/>
        <v>12</v>
      </c>
      <c r="D667">
        <f t="shared" ca="1" si="37"/>
        <v>54</v>
      </c>
      <c r="E667">
        <f t="shared" ca="1" si="38"/>
        <v>1</v>
      </c>
    </row>
    <row r="668" spans="1:5" x14ac:dyDescent="0.3">
      <c r="A668">
        <v>642</v>
      </c>
      <c r="B668">
        <f t="shared" ca="1" si="39"/>
        <v>17</v>
      </c>
      <c r="C668">
        <f t="shared" ca="1" si="40"/>
        <v>40</v>
      </c>
      <c r="D668">
        <f t="shared" ref="D668:D731" ca="1" si="41">B668+C668</f>
        <v>57</v>
      </c>
      <c r="E668">
        <f t="shared" ref="E668:E731" ca="1" si="42">IF(D668&gt;=40,1,0)</f>
        <v>1</v>
      </c>
    </row>
    <row r="669" spans="1:5" x14ac:dyDescent="0.3">
      <c r="A669">
        <v>643</v>
      </c>
      <c r="B669">
        <f t="shared" ref="B669:B732" ca="1" si="43">RANDBETWEEN(5,60)</f>
        <v>50</v>
      </c>
      <c r="C669">
        <f t="shared" ref="C669:C732" ca="1" si="44">RANDBETWEEN(2,40)</f>
        <v>23</v>
      </c>
      <c r="D669">
        <f t="shared" ca="1" si="41"/>
        <v>73</v>
      </c>
      <c r="E669">
        <f t="shared" ca="1" si="42"/>
        <v>1</v>
      </c>
    </row>
    <row r="670" spans="1:5" x14ac:dyDescent="0.3">
      <c r="A670">
        <v>644</v>
      </c>
      <c r="B670">
        <f t="shared" ca="1" si="43"/>
        <v>59</v>
      </c>
      <c r="C670">
        <f t="shared" ca="1" si="44"/>
        <v>38</v>
      </c>
      <c r="D670">
        <f t="shared" ca="1" si="41"/>
        <v>97</v>
      </c>
      <c r="E670">
        <f t="shared" ca="1" si="42"/>
        <v>1</v>
      </c>
    </row>
    <row r="671" spans="1:5" x14ac:dyDescent="0.3">
      <c r="A671">
        <v>645</v>
      </c>
      <c r="B671">
        <f t="shared" ca="1" si="43"/>
        <v>24</v>
      </c>
      <c r="C671">
        <f t="shared" ca="1" si="44"/>
        <v>4</v>
      </c>
      <c r="D671">
        <f t="shared" ca="1" si="41"/>
        <v>28</v>
      </c>
      <c r="E671">
        <f t="shared" ca="1" si="42"/>
        <v>0</v>
      </c>
    </row>
    <row r="672" spans="1:5" x14ac:dyDescent="0.3">
      <c r="A672">
        <v>646</v>
      </c>
      <c r="B672">
        <f t="shared" ca="1" si="43"/>
        <v>18</v>
      </c>
      <c r="C672">
        <f t="shared" ca="1" si="44"/>
        <v>19</v>
      </c>
      <c r="D672">
        <f t="shared" ca="1" si="41"/>
        <v>37</v>
      </c>
      <c r="E672">
        <f t="shared" ca="1" si="42"/>
        <v>0</v>
      </c>
    </row>
    <row r="673" spans="1:5" x14ac:dyDescent="0.3">
      <c r="A673">
        <v>647</v>
      </c>
      <c r="B673">
        <f t="shared" ca="1" si="43"/>
        <v>12</v>
      </c>
      <c r="C673">
        <f t="shared" ca="1" si="44"/>
        <v>32</v>
      </c>
      <c r="D673">
        <f t="shared" ca="1" si="41"/>
        <v>44</v>
      </c>
      <c r="E673">
        <f t="shared" ca="1" si="42"/>
        <v>1</v>
      </c>
    </row>
    <row r="674" spans="1:5" x14ac:dyDescent="0.3">
      <c r="A674">
        <v>648</v>
      </c>
      <c r="B674">
        <f t="shared" ca="1" si="43"/>
        <v>19</v>
      </c>
      <c r="C674">
        <f t="shared" ca="1" si="44"/>
        <v>33</v>
      </c>
      <c r="D674">
        <f t="shared" ca="1" si="41"/>
        <v>52</v>
      </c>
      <c r="E674">
        <f t="shared" ca="1" si="42"/>
        <v>1</v>
      </c>
    </row>
    <row r="675" spans="1:5" x14ac:dyDescent="0.3">
      <c r="A675">
        <v>649</v>
      </c>
      <c r="B675">
        <f t="shared" ca="1" si="43"/>
        <v>45</v>
      </c>
      <c r="C675">
        <f t="shared" ca="1" si="44"/>
        <v>16</v>
      </c>
      <c r="D675">
        <f t="shared" ca="1" si="41"/>
        <v>61</v>
      </c>
      <c r="E675">
        <f t="shared" ca="1" si="42"/>
        <v>1</v>
      </c>
    </row>
    <row r="676" spans="1:5" x14ac:dyDescent="0.3">
      <c r="A676">
        <v>650</v>
      </c>
      <c r="B676">
        <f t="shared" ca="1" si="43"/>
        <v>21</v>
      </c>
      <c r="C676">
        <f t="shared" ca="1" si="44"/>
        <v>2</v>
      </c>
      <c r="D676">
        <f t="shared" ca="1" si="41"/>
        <v>23</v>
      </c>
      <c r="E676">
        <f t="shared" ca="1" si="42"/>
        <v>0</v>
      </c>
    </row>
    <row r="677" spans="1:5" x14ac:dyDescent="0.3">
      <c r="A677">
        <v>651</v>
      </c>
      <c r="B677">
        <f t="shared" ca="1" si="43"/>
        <v>8</v>
      </c>
      <c r="C677">
        <f t="shared" ca="1" si="44"/>
        <v>35</v>
      </c>
      <c r="D677">
        <f t="shared" ca="1" si="41"/>
        <v>43</v>
      </c>
      <c r="E677">
        <f t="shared" ca="1" si="42"/>
        <v>1</v>
      </c>
    </row>
    <row r="678" spans="1:5" x14ac:dyDescent="0.3">
      <c r="A678">
        <v>652</v>
      </c>
      <c r="B678">
        <f t="shared" ca="1" si="43"/>
        <v>23</v>
      </c>
      <c r="C678">
        <f t="shared" ca="1" si="44"/>
        <v>27</v>
      </c>
      <c r="D678">
        <f t="shared" ca="1" si="41"/>
        <v>50</v>
      </c>
      <c r="E678">
        <f t="shared" ca="1" si="42"/>
        <v>1</v>
      </c>
    </row>
    <row r="679" spans="1:5" x14ac:dyDescent="0.3">
      <c r="A679">
        <v>653</v>
      </c>
      <c r="B679">
        <f t="shared" ca="1" si="43"/>
        <v>30</v>
      </c>
      <c r="C679">
        <f t="shared" ca="1" si="44"/>
        <v>17</v>
      </c>
      <c r="D679">
        <f t="shared" ca="1" si="41"/>
        <v>47</v>
      </c>
      <c r="E679">
        <f t="shared" ca="1" si="42"/>
        <v>1</v>
      </c>
    </row>
    <row r="680" spans="1:5" x14ac:dyDescent="0.3">
      <c r="A680">
        <v>654</v>
      </c>
      <c r="B680">
        <f t="shared" ca="1" si="43"/>
        <v>36</v>
      </c>
      <c r="C680">
        <f t="shared" ca="1" si="44"/>
        <v>23</v>
      </c>
      <c r="D680">
        <f t="shared" ca="1" si="41"/>
        <v>59</v>
      </c>
      <c r="E680">
        <f t="shared" ca="1" si="42"/>
        <v>1</v>
      </c>
    </row>
    <row r="681" spans="1:5" x14ac:dyDescent="0.3">
      <c r="A681">
        <v>655</v>
      </c>
      <c r="B681">
        <f t="shared" ca="1" si="43"/>
        <v>19</v>
      </c>
      <c r="C681">
        <f t="shared" ca="1" si="44"/>
        <v>19</v>
      </c>
      <c r="D681">
        <f t="shared" ca="1" si="41"/>
        <v>38</v>
      </c>
      <c r="E681">
        <f t="shared" ca="1" si="42"/>
        <v>0</v>
      </c>
    </row>
    <row r="682" spans="1:5" x14ac:dyDescent="0.3">
      <c r="A682">
        <v>656</v>
      </c>
      <c r="B682">
        <f t="shared" ca="1" si="43"/>
        <v>11</v>
      </c>
      <c r="C682">
        <f t="shared" ca="1" si="44"/>
        <v>33</v>
      </c>
      <c r="D682">
        <f t="shared" ca="1" si="41"/>
        <v>44</v>
      </c>
      <c r="E682">
        <f t="shared" ca="1" si="42"/>
        <v>1</v>
      </c>
    </row>
    <row r="683" spans="1:5" x14ac:dyDescent="0.3">
      <c r="A683">
        <v>657</v>
      </c>
      <c r="B683">
        <f t="shared" ca="1" si="43"/>
        <v>35</v>
      </c>
      <c r="C683">
        <f t="shared" ca="1" si="44"/>
        <v>13</v>
      </c>
      <c r="D683">
        <f t="shared" ca="1" si="41"/>
        <v>48</v>
      </c>
      <c r="E683">
        <f t="shared" ca="1" si="42"/>
        <v>1</v>
      </c>
    </row>
    <row r="684" spans="1:5" x14ac:dyDescent="0.3">
      <c r="A684">
        <v>658</v>
      </c>
      <c r="B684">
        <f t="shared" ca="1" si="43"/>
        <v>49</v>
      </c>
      <c r="C684">
        <f t="shared" ca="1" si="44"/>
        <v>3</v>
      </c>
      <c r="D684">
        <f t="shared" ca="1" si="41"/>
        <v>52</v>
      </c>
      <c r="E684">
        <f t="shared" ca="1" si="42"/>
        <v>1</v>
      </c>
    </row>
    <row r="685" spans="1:5" x14ac:dyDescent="0.3">
      <c r="A685">
        <v>659</v>
      </c>
      <c r="B685">
        <f t="shared" ca="1" si="43"/>
        <v>20</v>
      </c>
      <c r="C685">
        <f t="shared" ca="1" si="44"/>
        <v>14</v>
      </c>
      <c r="D685">
        <f t="shared" ca="1" si="41"/>
        <v>34</v>
      </c>
      <c r="E685">
        <f t="shared" ca="1" si="42"/>
        <v>0</v>
      </c>
    </row>
    <row r="686" spans="1:5" x14ac:dyDescent="0.3">
      <c r="A686">
        <v>660</v>
      </c>
      <c r="B686">
        <f t="shared" ca="1" si="43"/>
        <v>13</v>
      </c>
      <c r="C686">
        <f t="shared" ca="1" si="44"/>
        <v>26</v>
      </c>
      <c r="D686">
        <f t="shared" ca="1" si="41"/>
        <v>39</v>
      </c>
      <c r="E686">
        <f t="shared" ca="1" si="42"/>
        <v>0</v>
      </c>
    </row>
    <row r="687" spans="1:5" x14ac:dyDescent="0.3">
      <c r="A687">
        <v>661</v>
      </c>
      <c r="B687">
        <f t="shared" ca="1" si="43"/>
        <v>39</v>
      </c>
      <c r="C687">
        <f t="shared" ca="1" si="44"/>
        <v>19</v>
      </c>
      <c r="D687">
        <f t="shared" ca="1" si="41"/>
        <v>58</v>
      </c>
      <c r="E687">
        <f t="shared" ca="1" si="42"/>
        <v>1</v>
      </c>
    </row>
    <row r="688" spans="1:5" x14ac:dyDescent="0.3">
      <c r="A688">
        <v>662</v>
      </c>
      <c r="B688">
        <f t="shared" ca="1" si="43"/>
        <v>60</v>
      </c>
      <c r="C688">
        <f t="shared" ca="1" si="44"/>
        <v>33</v>
      </c>
      <c r="D688">
        <f t="shared" ca="1" si="41"/>
        <v>93</v>
      </c>
      <c r="E688">
        <f t="shared" ca="1" si="42"/>
        <v>1</v>
      </c>
    </row>
    <row r="689" spans="1:5" x14ac:dyDescent="0.3">
      <c r="A689">
        <v>663</v>
      </c>
      <c r="B689">
        <f t="shared" ca="1" si="43"/>
        <v>31</v>
      </c>
      <c r="C689">
        <f t="shared" ca="1" si="44"/>
        <v>13</v>
      </c>
      <c r="D689">
        <f t="shared" ca="1" si="41"/>
        <v>44</v>
      </c>
      <c r="E689">
        <f t="shared" ca="1" si="42"/>
        <v>1</v>
      </c>
    </row>
    <row r="690" spans="1:5" x14ac:dyDescent="0.3">
      <c r="A690">
        <v>664</v>
      </c>
      <c r="B690">
        <f t="shared" ca="1" si="43"/>
        <v>25</v>
      </c>
      <c r="C690">
        <f t="shared" ca="1" si="44"/>
        <v>32</v>
      </c>
      <c r="D690">
        <f t="shared" ca="1" si="41"/>
        <v>57</v>
      </c>
      <c r="E690">
        <f t="shared" ca="1" si="42"/>
        <v>1</v>
      </c>
    </row>
    <row r="691" spans="1:5" x14ac:dyDescent="0.3">
      <c r="A691">
        <v>665</v>
      </c>
      <c r="B691">
        <f t="shared" ca="1" si="43"/>
        <v>25</v>
      </c>
      <c r="C691">
        <f t="shared" ca="1" si="44"/>
        <v>30</v>
      </c>
      <c r="D691">
        <f t="shared" ca="1" si="41"/>
        <v>55</v>
      </c>
      <c r="E691">
        <f t="shared" ca="1" si="42"/>
        <v>1</v>
      </c>
    </row>
    <row r="692" spans="1:5" x14ac:dyDescent="0.3">
      <c r="A692">
        <v>666</v>
      </c>
      <c r="B692">
        <f t="shared" ca="1" si="43"/>
        <v>12</v>
      </c>
      <c r="C692">
        <f t="shared" ca="1" si="44"/>
        <v>2</v>
      </c>
      <c r="D692">
        <f t="shared" ca="1" si="41"/>
        <v>14</v>
      </c>
      <c r="E692">
        <f t="shared" ca="1" si="42"/>
        <v>0</v>
      </c>
    </row>
    <row r="693" spans="1:5" x14ac:dyDescent="0.3">
      <c r="A693">
        <v>667</v>
      </c>
      <c r="B693">
        <f t="shared" ca="1" si="43"/>
        <v>54</v>
      </c>
      <c r="C693">
        <f t="shared" ca="1" si="44"/>
        <v>2</v>
      </c>
      <c r="D693">
        <f t="shared" ca="1" si="41"/>
        <v>56</v>
      </c>
      <c r="E693">
        <f t="shared" ca="1" si="42"/>
        <v>1</v>
      </c>
    </row>
    <row r="694" spans="1:5" x14ac:dyDescent="0.3">
      <c r="A694">
        <v>668</v>
      </c>
      <c r="B694">
        <f t="shared" ca="1" si="43"/>
        <v>44</v>
      </c>
      <c r="C694">
        <f t="shared" ca="1" si="44"/>
        <v>7</v>
      </c>
      <c r="D694">
        <f t="shared" ca="1" si="41"/>
        <v>51</v>
      </c>
      <c r="E694">
        <f t="shared" ca="1" si="42"/>
        <v>1</v>
      </c>
    </row>
    <row r="695" spans="1:5" x14ac:dyDescent="0.3">
      <c r="A695">
        <v>669</v>
      </c>
      <c r="B695">
        <f t="shared" ca="1" si="43"/>
        <v>24</v>
      </c>
      <c r="C695">
        <f t="shared" ca="1" si="44"/>
        <v>33</v>
      </c>
      <c r="D695">
        <f t="shared" ca="1" si="41"/>
        <v>57</v>
      </c>
      <c r="E695">
        <f t="shared" ca="1" si="42"/>
        <v>1</v>
      </c>
    </row>
    <row r="696" spans="1:5" x14ac:dyDescent="0.3">
      <c r="A696">
        <v>670</v>
      </c>
      <c r="B696">
        <f t="shared" ca="1" si="43"/>
        <v>22</v>
      </c>
      <c r="C696">
        <f t="shared" ca="1" si="44"/>
        <v>7</v>
      </c>
      <c r="D696">
        <f t="shared" ca="1" si="41"/>
        <v>29</v>
      </c>
      <c r="E696">
        <f t="shared" ca="1" si="42"/>
        <v>0</v>
      </c>
    </row>
    <row r="697" spans="1:5" x14ac:dyDescent="0.3">
      <c r="A697">
        <v>671</v>
      </c>
      <c r="B697">
        <f t="shared" ca="1" si="43"/>
        <v>46</v>
      </c>
      <c r="C697">
        <f t="shared" ca="1" si="44"/>
        <v>28</v>
      </c>
      <c r="D697">
        <f t="shared" ca="1" si="41"/>
        <v>74</v>
      </c>
      <c r="E697">
        <f t="shared" ca="1" si="42"/>
        <v>1</v>
      </c>
    </row>
    <row r="698" spans="1:5" x14ac:dyDescent="0.3">
      <c r="A698">
        <v>672</v>
      </c>
      <c r="B698">
        <f t="shared" ca="1" si="43"/>
        <v>24</v>
      </c>
      <c r="C698">
        <f t="shared" ca="1" si="44"/>
        <v>3</v>
      </c>
      <c r="D698">
        <f t="shared" ca="1" si="41"/>
        <v>27</v>
      </c>
      <c r="E698">
        <f t="shared" ca="1" si="42"/>
        <v>0</v>
      </c>
    </row>
    <row r="699" spans="1:5" x14ac:dyDescent="0.3">
      <c r="A699">
        <v>673</v>
      </c>
      <c r="B699">
        <f t="shared" ca="1" si="43"/>
        <v>22</v>
      </c>
      <c r="C699">
        <f t="shared" ca="1" si="44"/>
        <v>33</v>
      </c>
      <c r="D699">
        <f t="shared" ca="1" si="41"/>
        <v>55</v>
      </c>
      <c r="E699">
        <f t="shared" ca="1" si="42"/>
        <v>1</v>
      </c>
    </row>
    <row r="700" spans="1:5" x14ac:dyDescent="0.3">
      <c r="A700">
        <v>674</v>
      </c>
      <c r="B700">
        <f t="shared" ca="1" si="43"/>
        <v>9</v>
      </c>
      <c r="C700">
        <f t="shared" ca="1" si="44"/>
        <v>34</v>
      </c>
      <c r="D700">
        <f t="shared" ca="1" si="41"/>
        <v>43</v>
      </c>
      <c r="E700">
        <f t="shared" ca="1" si="42"/>
        <v>1</v>
      </c>
    </row>
    <row r="701" spans="1:5" x14ac:dyDescent="0.3">
      <c r="A701">
        <v>675</v>
      </c>
      <c r="B701">
        <f t="shared" ca="1" si="43"/>
        <v>51</v>
      </c>
      <c r="C701">
        <f t="shared" ca="1" si="44"/>
        <v>24</v>
      </c>
      <c r="D701">
        <f t="shared" ca="1" si="41"/>
        <v>75</v>
      </c>
      <c r="E701">
        <f t="shared" ca="1" si="42"/>
        <v>1</v>
      </c>
    </row>
    <row r="702" spans="1:5" x14ac:dyDescent="0.3">
      <c r="A702">
        <v>676</v>
      </c>
      <c r="B702">
        <f t="shared" ca="1" si="43"/>
        <v>44</v>
      </c>
      <c r="C702">
        <f t="shared" ca="1" si="44"/>
        <v>35</v>
      </c>
      <c r="D702">
        <f t="shared" ca="1" si="41"/>
        <v>79</v>
      </c>
      <c r="E702">
        <f t="shared" ca="1" si="42"/>
        <v>1</v>
      </c>
    </row>
    <row r="703" spans="1:5" x14ac:dyDescent="0.3">
      <c r="A703">
        <v>677</v>
      </c>
      <c r="B703">
        <f t="shared" ca="1" si="43"/>
        <v>6</v>
      </c>
      <c r="C703">
        <f t="shared" ca="1" si="44"/>
        <v>10</v>
      </c>
      <c r="D703">
        <f t="shared" ca="1" si="41"/>
        <v>16</v>
      </c>
      <c r="E703">
        <f t="shared" ca="1" si="42"/>
        <v>0</v>
      </c>
    </row>
    <row r="704" spans="1:5" x14ac:dyDescent="0.3">
      <c r="A704">
        <v>678</v>
      </c>
      <c r="B704">
        <f t="shared" ca="1" si="43"/>
        <v>37</v>
      </c>
      <c r="C704">
        <f t="shared" ca="1" si="44"/>
        <v>18</v>
      </c>
      <c r="D704">
        <f t="shared" ca="1" si="41"/>
        <v>55</v>
      </c>
      <c r="E704">
        <f t="shared" ca="1" si="42"/>
        <v>1</v>
      </c>
    </row>
    <row r="705" spans="1:5" x14ac:dyDescent="0.3">
      <c r="A705">
        <v>679</v>
      </c>
      <c r="B705">
        <f t="shared" ca="1" si="43"/>
        <v>30</v>
      </c>
      <c r="C705">
        <f t="shared" ca="1" si="44"/>
        <v>39</v>
      </c>
      <c r="D705">
        <f t="shared" ca="1" si="41"/>
        <v>69</v>
      </c>
      <c r="E705">
        <f t="shared" ca="1" si="42"/>
        <v>1</v>
      </c>
    </row>
    <row r="706" spans="1:5" x14ac:dyDescent="0.3">
      <c r="A706">
        <v>680</v>
      </c>
      <c r="B706">
        <f t="shared" ca="1" si="43"/>
        <v>52</v>
      </c>
      <c r="C706">
        <f t="shared" ca="1" si="44"/>
        <v>4</v>
      </c>
      <c r="D706">
        <f t="shared" ca="1" si="41"/>
        <v>56</v>
      </c>
      <c r="E706">
        <f t="shared" ca="1" si="42"/>
        <v>1</v>
      </c>
    </row>
    <row r="707" spans="1:5" x14ac:dyDescent="0.3">
      <c r="A707">
        <v>681</v>
      </c>
      <c r="B707">
        <f t="shared" ca="1" si="43"/>
        <v>26</v>
      </c>
      <c r="C707">
        <f t="shared" ca="1" si="44"/>
        <v>7</v>
      </c>
      <c r="D707">
        <f t="shared" ca="1" si="41"/>
        <v>33</v>
      </c>
      <c r="E707">
        <f t="shared" ca="1" si="42"/>
        <v>0</v>
      </c>
    </row>
    <row r="708" spans="1:5" x14ac:dyDescent="0.3">
      <c r="A708">
        <v>682</v>
      </c>
      <c r="B708">
        <f t="shared" ca="1" si="43"/>
        <v>11</v>
      </c>
      <c r="C708">
        <f t="shared" ca="1" si="44"/>
        <v>34</v>
      </c>
      <c r="D708">
        <f t="shared" ca="1" si="41"/>
        <v>45</v>
      </c>
      <c r="E708">
        <f t="shared" ca="1" si="42"/>
        <v>1</v>
      </c>
    </row>
    <row r="709" spans="1:5" x14ac:dyDescent="0.3">
      <c r="A709">
        <v>683</v>
      </c>
      <c r="B709">
        <f t="shared" ca="1" si="43"/>
        <v>45</v>
      </c>
      <c r="C709">
        <f t="shared" ca="1" si="44"/>
        <v>31</v>
      </c>
      <c r="D709">
        <f t="shared" ca="1" si="41"/>
        <v>76</v>
      </c>
      <c r="E709">
        <f t="shared" ca="1" si="42"/>
        <v>1</v>
      </c>
    </row>
    <row r="710" spans="1:5" x14ac:dyDescent="0.3">
      <c r="A710">
        <v>684</v>
      </c>
      <c r="B710">
        <f t="shared" ca="1" si="43"/>
        <v>27</v>
      </c>
      <c r="C710">
        <f t="shared" ca="1" si="44"/>
        <v>24</v>
      </c>
      <c r="D710">
        <f t="shared" ca="1" si="41"/>
        <v>51</v>
      </c>
      <c r="E710">
        <f t="shared" ca="1" si="42"/>
        <v>1</v>
      </c>
    </row>
    <row r="711" spans="1:5" x14ac:dyDescent="0.3">
      <c r="A711">
        <v>685</v>
      </c>
      <c r="B711">
        <f t="shared" ca="1" si="43"/>
        <v>7</v>
      </c>
      <c r="C711">
        <f t="shared" ca="1" si="44"/>
        <v>21</v>
      </c>
      <c r="D711">
        <f t="shared" ca="1" si="41"/>
        <v>28</v>
      </c>
      <c r="E711">
        <f t="shared" ca="1" si="42"/>
        <v>0</v>
      </c>
    </row>
    <row r="712" spans="1:5" x14ac:dyDescent="0.3">
      <c r="A712">
        <v>686</v>
      </c>
      <c r="B712">
        <f t="shared" ca="1" si="43"/>
        <v>34</v>
      </c>
      <c r="C712">
        <f t="shared" ca="1" si="44"/>
        <v>32</v>
      </c>
      <c r="D712">
        <f t="shared" ca="1" si="41"/>
        <v>66</v>
      </c>
      <c r="E712">
        <f t="shared" ca="1" si="42"/>
        <v>1</v>
      </c>
    </row>
    <row r="713" spans="1:5" x14ac:dyDescent="0.3">
      <c r="A713">
        <v>687</v>
      </c>
      <c r="B713">
        <f t="shared" ca="1" si="43"/>
        <v>21</v>
      </c>
      <c r="C713">
        <f t="shared" ca="1" si="44"/>
        <v>6</v>
      </c>
      <c r="D713">
        <f t="shared" ca="1" si="41"/>
        <v>27</v>
      </c>
      <c r="E713">
        <f t="shared" ca="1" si="42"/>
        <v>0</v>
      </c>
    </row>
    <row r="714" spans="1:5" x14ac:dyDescent="0.3">
      <c r="A714">
        <v>688</v>
      </c>
      <c r="B714">
        <f t="shared" ca="1" si="43"/>
        <v>51</v>
      </c>
      <c r="C714">
        <f t="shared" ca="1" si="44"/>
        <v>24</v>
      </c>
      <c r="D714">
        <f t="shared" ca="1" si="41"/>
        <v>75</v>
      </c>
      <c r="E714">
        <f t="shared" ca="1" si="42"/>
        <v>1</v>
      </c>
    </row>
    <row r="715" spans="1:5" x14ac:dyDescent="0.3">
      <c r="A715">
        <v>689</v>
      </c>
      <c r="B715">
        <f t="shared" ca="1" si="43"/>
        <v>30</v>
      </c>
      <c r="C715">
        <f t="shared" ca="1" si="44"/>
        <v>8</v>
      </c>
      <c r="D715">
        <f t="shared" ca="1" si="41"/>
        <v>38</v>
      </c>
      <c r="E715">
        <f t="shared" ca="1" si="42"/>
        <v>0</v>
      </c>
    </row>
    <row r="716" spans="1:5" x14ac:dyDescent="0.3">
      <c r="A716">
        <v>690</v>
      </c>
      <c r="B716">
        <f t="shared" ca="1" si="43"/>
        <v>16</v>
      </c>
      <c r="C716">
        <f t="shared" ca="1" si="44"/>
        <v>5</v>
      </c>
      <c r="D716">
        <f t="shared" ca="1" si="41"/>
        <v>21</v>
      </c>
      <c r="E716">
        <f t="shared" ca="1" si="42"/>
        <v>0</v>
      </c>
    </row>
    <row r="717" spans="1:5" x14ac:dyDescent="0.3">
      <c r="A717">
        <v>691</v>
      </c>
      <c r="B717">
        <f t="shared" ca="1" si="43"/>
        <v>54</v>
      </c>
      <c r="C717">
        <f t="shared" ca="1" si="44"/>
        <v>39</v>
      </c>
      <c r="D717">
        <f t="shared" ca="1" si="41"/>
        <v>93</v>
      </c>
      <c r="E717">
        <f t="shared" ca="1" si="42"/>
        <v>1</v>
      </c>
    </row>
    <row r="718" spans="1:5" x14ac:dyDescent="0.3">
      <c r="A718">
        <v>692</v>
      </c>
      <c r="B718">
        <f t="shared" ca="1" si="43"/>
        <v>51</v>
      </c>
      <c r="C718">
        <f t="shared" ca="1" si="44"/>
        <v>9</v>
      </c>
      <c r="D718">
        <f t="shared" ca="1" si="41"/>
        <v>60</v>
      </c>
      <c r="E718">
        <f t="shared" ca="1" si="42"/>
        <v>1</v>
      </c>
    </row>
    <row r="719" spans="1:5" x14ac:dyDescent="0.3">
      <c r="A719">
        <v>693</v>
      </c>
      <c r="B719">
        <f t="shared" ca="1" si="43"/>
        <v>39</v>
      </c>
      <c r="C719">
        <f t="shared" ca="1" si="44"/>
        <v>30</v>
      </c>
      <c r="D719">
        <f t="shared" ca="1" si="41"/>
        <v>69</v>
      </c>
      <c r="E719">
        <f t="shared" ca="1" si="42"/>
        <v>1</v>
      </c>
    </row>
    <row r="720" spans="1:5" x14ac:dyDescent="0.3">
      <c r="A720">
        <v>694</v>
      </c>
      <c r="B720">
        <f t="shared" ca="1" si="43"/>
        <v>24</v>
      </c>
      <c r="C720">
        <f t="shared" ca="1" si="44"/>
        <v>14</v>
      </c>
      <c r="D720">
        <f t="shared" ca="1" si="41"/>
        <v>38</v>
      </c>
      <c r="E720">
        <f t="shared" ca="1" si="42"/>
        <v>0</v>
      </c>
    </row>
    <row r="721" spans="1:5" x14ac:dyDescent="0.3">
      <c r="A721">
        <v>695</v>
      </c>
      <c r="B721">
        <f t="shared" ca="1" si="43"/>
        <v>25</v>
      </c>
      <c r="C721">
        <f t="shared" ca="1" si="44"/>
        <v>13</v>
      </c>
      <c r="D721">
        <f t="shared" ca="1" si="41"/>
        <v>38</v>
      </c>
      <c r="E721">
        <f t="shared" ca="1" si="42"/>
        <v>0</v>
      </c>
    </row>
    <row r="722" spans="1:5" x14ac:dyDescent="0.3">
      <c r="A722">
        <v>696</v>
      </c>
      <c r="B722">
        <f t="shared" ca="1" si="43"/>
        <v>8</v>
      </c>
      <c r="C722">
        <f t="shared" ca="1" si="44"/>
        <v>24</v>
      </c>
      <c r="D722">
        <f t="shared" ca="1" si="41"/>
        <v>32</v>
      </c>
      <c r="E722">
        <f t="shared" ca="1" si="42"/>
        <v>0</v>
      </c>
    </row>
    <row r="723" spans="1:5" x14ac:dyDescent="0.3">
      <c r="A723">
        <v>697</v>
      </c>
      <c r="B723">
        <f t="shared" ca="1" si="43"/>
        <v>16</v>
      </c>
      <c r="C723">
        <f t="shared" ca="1" si="44"/>
        <v>35</v>
      </c>
      <c r="D723">
        <f t="shared" ca="1" si="41"/>
        <v>51</v>
      </c>
      <c r="E723">
        <f t="shared" ca="1" si="42"/>
        <v>1</v>
      </c>
    </row>
    <row r="724" spans="1:5" x14ac:dyDescent="0.3">
      <c r="A724">
        <v>698</v>
      </c>
      <c r="B724">
        <f t="shared" ca="1" si="43"/>
        <v>34</v>
      </c>
      <c r="C724">
        <f t="shared" ca="1" si="44"/>
        <v>5</v>
      </c>
      <c r="D724">
        <f t="shared" ca="1" si="41"/>
        <v>39</v>
      </c>
      <c r="E724">
        <f t="shared" ca="1" si="42"/>
        <v>0</v>
      </c>
    </row>
    <row r="725" spans="1:5" x14ac:dyDescent="0.3">
      <c r="A725">
        <v>699</v>
      </c>
      <c r="B725">
        <f t="shared" ca="1" si="43"/>
        <v>55</v>
      </c>
      <c r="C725">
        <f t="shared" ca="1" si="44"/>
        <v>7</v>
      </c>
      <c r="D725">
        <f t="shared" ca="1" si="41"/>
        <v>62</v>
      </c>
      <c r="E725">
        <f t="shared" ca="1" si="42"/>
        <v>1</v>
      </c>
    </row>
    <row r="726" spans="1:5" x14ac:dyDescent="0.3">
      <c r="A726">
        <v>700</v>
      </c>
      <c r="B726">
        <f t="shared" ca="1" si="43"/>
        <v>39</v>
      </c>
      <c r="C726">
        <f t="shared" ca="1" si="44"/>
        <v>17</v>
      </c>
      <c r="D726">
        <f t="shared" ca="1" si="41"/>
        <v>56</v>
      </c>
      <c r="E726">
        <f t="shared" ca="1" si="42"/>
        <v>1</v>
      </c>
    </row>
    <row r="727" spans="1:5" x14ac:dyDescent="0.3">
      <c r="A727">
        <v>701</v>
      </c>
      <c r="B727">
        <f t="shared" ca="1" si="43"/>
        <v>20</v>
      </c>
      <c r="C727">
        <f t="shared" ca="1" si="44"/>
        <v>15</v>
      </c>
      <c r="D727">
        <f t="shared" ca="1" si="41"/>
        <v>35</v>
      </c>
      <c r="E727">
        <f t="shared" ca="1" si="42"/>
        <v>0</v>
      </c>
    </row>
    <row r="728" spans="1:5" x14ac:dyDescent="0.3">
      <c r="A728">
        <v>702</v>
      </c>
      <c r="B728">
        <f t="shared" ca="1" si="43"/>
        <v>47</v>
      </c>
      <c r="C728">
        <f t="shared" ca="1" si="44"/>
        <v>29</v>
      </c>
      <c r="D728">
        <f t="shared" ca="1" si="41"/>
        <v>76</v>
      </c>
      <c r="E728">
        <f t="shared" ca="1" si="42"/>
        <v>1</v>
      </c>
    </row>
    <row r="729" spans="1:5" x14ac:dyDescent="0.3">
      <c r="A729">
        <v>703</v>
      </c>
      <c r="B729">
        <f t="shared" ca="1" si="43"/>
        <v>45</v>
      </c>
      <c r="C729">
        <f t="shared" ca="1" si="44"/>
        <v>23</v>
      </c>
      <c r="D729">
        <f t="shared" ca="1" si="41"/>
        <v>68</v>
      </c>
      <c r="E729">
        <f t="shared" ca="1" si="42"/>
        <v>1</v>
      </c>
    </row>
    <row r="730" spans="1:5" x14ac:dyDescent="0.3">
      <c r="A730">
        <v>704</v>
      </c>
      <c r="B730">
        <f t="shared" ca="1" si="43"/>
        <v>18</v>
      </c>
      <c r="C730">
        <f t="shared" ca="1" si="44"/>
        <v>26</v>
      </c>
      <c r="D730">
        <f t="shared" ca="1" si="41"/>
        <v>44</v>
      </c>
      <c r="E730">
        <f t="shared" ca="1" si="42"/>
        <v>1</v>
      </c>
    </row>
    <row r="731" spans="1:5" x14ac:dyDescent="0.3">
      <c r="A731">
        <v>705</v>
      </c>
      <c r="B731">
        <f t="shared" ca="1" si="43"/>
        <v>16</v>
      </c>
      <c r="C731">
        <f t="shared" ca="1" si="44"/>
        <v>2</v>
      </c>
      <c r="D731">
        <f t="shared" ca="1" si="41"/>
        <v>18</v>
      </c>
      <c r="E731">
        <f t="shared" ca="1" si="42"/>
        <v>0</v>
      </c>
    </row>
    <row r="732" spans="1:5" x14ac:dyDescent="0.3">
      <c r="A732">
        <v>706</v>
      </c>
      <c r="B732">
        <f t="shared" ca="1" si="43"/>
        <v>20</v>
      </c>
      <c r="C732">
        <f t="shared" ca="1" si="44"/>
        <v>18</v>
      </c>
      <c r="D732">
        <f t="shared" ref="D732:D795" ca="1" si="45">B732+C732</f>
        <v>38</v>
      </c>
      <c r="E732">
        <f t="shared" ref="E732:E795" ca="1" si="46">IF(D732&gt;=40,1,0)</f>
        <v>0</v>
      </c>
    </row>
    <row r="733" spans="1:5" x14ac:dyDescent="0.3">
      <c r="A733">
        <v>707</v>
      </c>
      <c r="B733">
        <f t="shared" ref="B733:B796" ca="1" si="47">RANDBETWEEN(5,60)</f>
        <v>29</v>
      </c>
      <c r="C733">
        <f t="shared" ref="C733:C796" ca="1" si="48">RANDBETWEEN(2,40)</f>
        <v>14</v>
      </c>
      <c r="D733">
        <f t="shared" ca="1" si="45"/>
        <v>43</v>
      </c>
      <c r="E733">
        <f t="shared" ca="1" si="46"/>
        <v>1</v>
      </c>
    </row>
    <row r="734" spans="1:5" x14ac:dyDescent="0.3">
      <c r="A734">
        <v>708</v>
      </c>
      <c r="B734">
        <f t="shared" ca="1" si="47"/>
        <v>37</v>
      </c>
      <c r="C734">
        <f t="shared" ca="1" si="48"/>
        <v>17</v>
      </c>
      <c r="D734">
        <f t="shared" ca="1" si="45"/>
        <v>54</v>
      </c>
      <c r="E734">
        <f t="shared" ca="1" si="46"/>
        <v>1</v>
      </c>
    </row>
    <row r="735" spans="1:5" x14ac:dyDescent="0.3">
      <c r="A735">
        <v>709</v>
      </c>
      <c r="B735">
        <f t="shared" ca="1" si="47"/>
        <v>25</v>
      </c>
      <c r="C735">
        <f t="shared" ca="1" si="48"/>
        <v>6</v>
      </c>
      <c r="D735">
        <f t="shared" ca="1" si="45"/>
        <v>31</v>
      </c>
      <c r="E735">
        <f t="shared" ca="1" si="46"/>
        <v>0</v>
      </c>
    </row>
    <row r="736" spans="1:5" x14ac:dyDescent="0.3">
      <c r="A736">
        <v>710</v>
      </c>
      <c r="B736">
        <f t="shared" ca="1" si="47"/>
        <v>13</v>
      </c>
      <c r="C736">
        <f t="shared" ca="1" si="48"/>
        <v>27</v>
      </c>
      <c r="D736">
        <f t="shared" ca="1" si="45"/>
        <v>40</v>
      </c>
      <c r="E736">
        <f t="shared" ca="1" si="46"/>
        <v>1</v>
      </c>
    </row>
    <row r="737" spans="1:5" x14ac:dyDescent="0.3">
      <c r="A737">
        <v>711</v>
      </c>
      <c r="B737">
        <f t="shared" ca="1" si="47"/>
        <v>35</v>
      </c>
      <c r="C737">
        <f t="shared" ca="1" si="48"/>
        <v>15</v>
      </c>
      <c r="D737">
        <f t="shared" ca="1" si="45"/>
        <v>50</v>
      </c>
      <c r="E737">
        <f t="shared" ca="1" si="46"/>
        <v>1</v>
      </c>
    </row>
    <row r="738" spans="1:5" x14ac:dyDescent="0.3">
      <c r="A738">
        <v>712</v>
      </c>
      <c r="B738">
        <f t="shared" ca="1" si="47"/>
        <v>58</v>
      </c>
      <c r="C738">
        <f t="shared" ca="1" si="48"/>
        <v>8</v>
      </c>
      <c r="D738">
        <f t="shared" ca="1" si="45"/>
        <v>66</v>
      </c>
      <c r="E738">
        <f t="shared" ca="1" si="46"/>
        <v>1</v>
      </c>
    </row>
    <row r="739" spans="1:5" x14ac:dyDescent="0.3">
      <c r="A739">
        <v>713</v>
      </c>
      <c r="B739">
        <f t="shared" ca="1" si="47"/>
        <v>48</v>
      </c>
      <c r="C739">
        <f t="shared" ca="1" si="48"/>
        <v>37</v>
      </c>
      <c r="D739">
        <f t="shared" ca="1" si="45"/>
        <v>85</v>
      </c>
      <c r="E739">
        <f t="shared" ca="1" si="46"/>
        <v>1</v>
      </c>
    </row>
    <row r="740" spans="1:5" x14ac:dyDescent="0.3">
      <c r="A740">
        <v>714</v>
      </c>
      <c r="B740">
        <f t="shared" ca="1" si="47"/>
        <v>23</v>
      </c>
      <c r="C740">
        <f t="shared" ca="1" si="48"/>
        <v>5</v>
      </c>
      <c r="D740">
        <f t="shared" ca="1" si="45"/>
        <v>28</v>
      </c>
      <c r="E740">
        <f t="shared" ca="1" si="46"/>
        <v>0</v>
      </c>
    </row>
    <row r="741" spans="1:5" x14ac:dyDescent="0.3">
      <c r="A741">
        <v>715</v>
      </c>
      <c r="B741">
        <f t="shared" ca="1" si="47"/>
        <v>32</v>
      </c>
      <c r="C741">
        <f t="shared" ca="1" si="48"/>
        <v>21</v>
      </c>
      <c r="D741">
        <f t="shared" ca="1" si="45"/>
        <v>53</v>
      </c>
      <c r="E741">
        <f t="shared" ca="1" si="46"/>
        <v>1</v>
      </c>
    </row>
    <row r="742" spans="1:5" x14ac:dyDescent="0.3">
      <c r="A742">
        <v>716</v>
      </c>
      <c r="B742">
        <f t="shared" ca="1" si="47"/>
        <v>7</v>
      </c>
      <c r="C742">
        <f t="shared" ca="1" si="48"/>
        <v>3</v>
      </c>
      <c r="D742">
        <f t="shared" ca="1" si="45"/>
        <v>10</v>
      </c>
      <c r="E742">
        <f t="shared" ca="1" si="46"/>
        <v>0</v>
      </c>
    </row>
    <row r="743" spans="1:5" x14ac:dyDescent="0.3">
      <c r="A743">
        <v>717</v>
      </c>
      <c r="B743">
        <f t="shared" ca="1" si="47"/>
        <v>17</v>
      </c>
      <c r="C743">
        <f t="shared" ca="1" si="48"/>
        <v>40</v>
      </c>
      <c r="D743">
        <f t="shared" ca="1" si="45"/>
        <v>57</v>
      </c>
      <c r="E743">
        <f t="shared" ca="1" si="46"/>
        <v>1</v>
      </c>
    </row>
    <row r="744" spans="1:5" x14ac:dyDescent="0.3">
      <c r="A744">
        <v>718</v>
      </c>
      <c r="B744">
        <f t="shared" ca="1" si="47"/>
        <v>14</v>
      </c>
      <c r="C744">
        <f t="shared" ca="1" si="48"/>
        <v>20</v>
      </c>
      <c r="D744">
        <f t="shared" ca="1" si="45"/>
        <v>34</v>
      </c>
      <c r="E744">
        <f t="shared" ca="1" si="46"/>
        <v>0</v>
      </c>
    </row>
    <row r="745" spans="1:5" x14ac:dyDescent="0.3">
      <c r="A745">
        <v>719</v>
      </c>
      <c r="B745">
        <f t="shared" ca="1" si="47"/>
        <v>52</v>
      </c>
      <c r="C745">
        <f t="shared" ca="1" si="48"/>
        <v>35</v>
      </c>
      <c r="D745">
        <f t="shared" ca="1" si="45"/>
        <v>87</v>
      </c>
      <c r="E745">
        <f t="shared" ca="1" si="46"/>
        <v>1</v>
      </c>
    </row>
    <row r="746" spans="1:5" x14ac:dyDescent="0.3">
      <c r="A746">
        <v>720</v>
      </c>
      <c r="B746">
        <f t="shared" ca="1" si="47"/>
        <v>34</v>
      </c>
      <c r="C746">
        <f t="shared" ca="1" si="48"/>
        <v>3</v>
      </c>
      <c r="D746">
        <f t="shared" ca="1" si="45"/>
        <v>37</v>
      </c>
      <c r="E746">
        <f t="shared" ca="1" si="46"/>
        <v>0</v>
      </c>
    </row>
    <row r="747" spans="1:5" x14ac:dyDescent="0.3">
      <c r="A747">
        <v>721</v>
      </c>
      <c r="B747">
        <f t="shared" ca="1" si="47"/>
        <v>38</v>
      </c>
      <c r="C747">
        <f t="shared" ca="1" si="48"/>
        <v>26</v>
      </c>
      <c r="D747">
        <f t="shared" ca="1" si="45"/>
        <v>64</v>
      </c>
      <c r="E747">
        <f t="shared" ca="1" si="46"/>
        <v>1</v>
      </c>
    </row>
    <row r="748" spans="1:5" x14ac:dyDescent="0.3">
      <c r="A748">
        <v>722</v>
      </c>
      <c r="B748">
        <f t="shared" ca="1" si="47"/>
        <v>59</v>
      </c>
      <c r="C748">
        <f t="shared" ca="1" si="48"/>
        <v>21</v>
      </c>
      <c r="D748">
        <f t="shared" ca="1" si="45"/>
        <v>80</v>
      </c>
      <c r="E748">
        <f t="shared" ca="1" si="46"/>
        <v>1</v>
      </c>
    </row>
    <row r="749" spans="1:5" x14ac:dyDescent="0.3">
      <c r="A749">
        <v>723</v>
      </c>
      <c r="B749">
        <f t="shared" ca="1" si="47"/>
        <v>53</v>
      </c>
      <c r="C749">
        <f t="shared" ca="1" si="48"/>
        <v>38</v>
      </c>
      <c r="D749">
        <f t="shared" ca="1" si="45"/>
        <v>91</v>
      </c>
      <c r="E749">
        <f t="shared" ca="1" si="46"/>
        <v>1</v>
      </c>
    </row>
    <row r="750" spans="1:5" x14ac:dyDescent="0.3">
      <c r="A750">
        <v>724</v>
      </c>
      <c r="B750">
        <f t="shared" ca="1" si="47"/>
        <v>38</v>
      </c>
      <c r="C750">
        <f t="shared" ca="1" si="48"/>
        <v>2</v>
      </c>
      <c r="D750">
        <f t="shared" ca="1" si="45"/>
        <v>40</v>
      </c>
      <c r="E750">
        <f t="shared" ca="1" si="46"/>
        <v>1</v>
      </c>
    </row>
    <row r="751" spans="1:5" x14ac:dyDescent="0.3">
      <c r="A751">
        <v>725</v>
      </c>
      <c r="B751">
        <f t="shared" ca="1" si="47"/>
        <v>40</v>
      </c>
      <c r="C751">
        <f t="shared" ca="1" si="48"/>
        <v>29</v>
      </c>
      <c r="D751">
        <f t="shared" ca="1" si="45"/>
        <v>69</v>
      </c>
      <c r="E751">
        <f t="shared" ca="1" si="46"/>
        <v>1</v>
      </c>
    </row>
    <row r="752" spans="1:5" x14ac:dyDescent="0.3">
      <c r="A752">
        <v>726</v>
      </c>
      <c r="B752">
        <f t="shared" ca="1" si="47"/>
        <v>29</v>
      </c>
      <c r="C752">
        <f t="shared" ca="1" si="48"/>
        <v>23</v>
      </c>
      <c r="D752">
        <f t="shared" ca="1" si="45"/>
        <v>52</v>
      </c>
      <c r="E752">
        <f t="shared" ca="1" si="46"/>
        <v>1</v>
      </c>
    </row>
    <row r="753" spans="1:5" x14ac:dyDescent="0.3">
      <c r="A753">
        <v>727</v>
      </c>
      <c r="B753">
        <f t="shared" ca="1" si="47"/>
        <v>34</v>
      </c>
      <c r="C753">
        <f t="shared" ca="1" si="48"/>
        <v>4</v>
      </c>
      <c r="D753">
        <f t="shared" ca="1" si="45"/>
        <v>38</v>
      </c>
      <c r="E753">
        <f t="shared" ca="1" si="46"/>
        <v>0</v>
      </c>
    </row>
    <row r="754" spans="1:5" x14ac:dyDescent="0.3">
      <c r="A754">
        <v>728</v>
      </c>
      <c r="B754">
        <f t="shared" ca="1" si="47"/>
        <v>49</v>
      </c>
      <c r="C754">
        <f t="shared" ca="1" si="48"/>
        <v>40</v>
      </c>
      <c r="D754">
        <f t="shared" ca="1" si="45"/>
        <v>89</v>
      </c>
      <c r="E754">
        <f t="shared" ca="1" si="46"/>
        <v>1</v>
      </c>
    </row>
    <row r="755" spans="1:5" x14ac:dyDescent="0.3">
      <c r="A755">
        <v>729</v>
      </c>
      <c r="B755">
        <f t="shared" ca="1" si="47"/>
        <v>52</v>
      </c>
      <c r="C755">
        <f t="shared" ca="1" si="48"/>
        <v>24</v>
      </c>
      <c r="D755">
        <f t="shared" ca="1" si="45"/>
        <v>76</v>
      </c>
      <c r="E755">
        <f t="shared" ca="1" si="46"/>
        <v>1</v>
      </c>
    </row>
    <row r="756" spans="1:5" x14ac:dyDescent="0.3">
      <c r="A756">
        <v>730</v>
      </c>
      <c r="B756">
        <f t="shared" ca="1" si="47"/>
        <v>54</v>
      </c>
      <c r="C756">
        <f t="shared" ca="1" si="48"/>
        <v>21</v>
      </c>
      <c r="D756">
        <f t="shared" ca="1" si="45"/>
        <v>75</v>
      </c>
      <c r="E756">
        <f t="shared" ca="1" si="46"/>
        <v>1</v>
      </c>
    </row>
    <row r="757" spans="1:5" x14ac:dyDescent="0.3">
      <c r="A757">
        <v>731</v>
      </c>
      <c r="B757">
        <f t="shared" ca="1" si="47"/>
        <v>21</v>
      </c>
      <c r="C757">
        <f t="shared" ca="1" si="48"/>
        <v>38</v>
      </c>
      <c r="D757">
        <f t="shared" ca="1" si="45"/>
        <v>59</v>
      </c>
      <c r="E757">
        <f t="shared" ca="1" si="46"/>
        <v>1</v>
      </c>
    </row>
    <row r="758" spans="1:5" x14ac:dyDescent="0.3">
      <c r="A758">
        <v>732</v>
      </c>
      <c r="B758">
        <f t="shared" ca="1" si="47"/>
        <v>33</v>
      </c>
      <c r="C758">
        <f t="shared" ca="1" si="48"/>
        <v>19</v>
      </c>
      <c r="D758">
        <f t="shared" ca="1" si="45"/>
        <v>52</v>
      </c>
      <c r="E758">
        <f t="shared" ca="1" si="46"/>
        <v>1</v>
      </c>
    </row>
    <row r="759" spans="1:5" x14ac:dyDescent="0.3">
      <c r="A759">
        <v>733</v>
      </c>
      <c r="B759">
        <f t="shared" ca="1" si="47"/>
        <v>54</v>
      </c>
      <c r="C759">
        <f t="shared" ca="1" si="48"/>
        <v>7</v>
      </c>
      <c r="D759">
        <f t="shared" ca="1" si="45"/>
        <v>61</v>
      </c>
      <c r="E759">
        <f t="shared" ca="1" si="46"/>
        <v>1</v>
      </c>
    </row>
    <row r="760" spans="1:5" x14ac:dyDescent="0.3">
      <c r="A760">
        <v>734</v>
      </c>
      <c r="B760">
        <f t="shared" ca="1" si="47"/>
        <v>15</v>
      </c>
      <c r="C760">
        <f t="shared" ca="1" si="48"/>
        <v>9</v>
      </c>
      <c r="D760">
        <f t="shared" ca="1" si="45"/>
        <v>24</v>
      </c>
      <c r="E760">
        <f t="shared" ca="1" si="46"/>
        <v>0</v>
      </c>
    </row>
    <row r="761" spans="1:5" x14ac:dyDescent="0.3">
      <c r="A761">
        <v>735</v>
      </c>
      <c r="B761">
        <f t="shared" ca="1" si="47"/>
        <v>20</v>
      </c>
      <c r="C761">
        <f t="shared" ca="1" si="48"/>
        <v>30</v>
      </c>
      <c r="D761">
        <f t="shared" ca="1" si="45"/>
        <v>50</v>
      </c>
      <c r="E761">
        <f t="shared" ca="1" si="46"/>
        <v>1</v>
      </c>
    </row>
    <row r="762" spans="1:5" x14ac:dyDescent="0.3">
      <c r="A762">
        <v>736</v>
      </c>
      <c r="B762">
        <f t="shared" ca="1" si="47"/>
        <v>57</v>
      </c>
      <c r="C762">
        <f t="shared" ca="1" si="48"/>
        <v>5</v>
      </c>
      <c r="D762">
        <f t="shared" ca="1" si="45"/>
        <v>62</v>
      </c>
      <c r="E762">
        <f t="shared" ca="1" si="46"/>
        <v>1</v>
      </c>
    </row>
    <row r="763" spans="1:5" x14ac:dyDescent="0.3">
      <c r="A763">
        <v>737</v>
      </c>
      <c r="B763">
        <f t="shared" ca="1" si="47"/>
        <v>36</v>
      </c>
      <c r="C763">
        <f t="shared" ca="1" si="48"/>
        <v>2</v>
      </c>
      <c r="D763">
        <f t="shared" ca="1" si="45"/>
        <v>38</v>
      </c>
      <c r="E763">
        <f t="shared" ca="1" si="46"/>
        <v>0</v>
      </c>
    </row>
    <row r="764" spans="1:5" x14ac:dyDescent="0.3">
      <c r="A764">
        <v>738</v>
      </c>
      <c r="B764">
        <f t="shared" ca="1" si="47"/>
        <v>43</v>
      </c>
      <c r="C764">
        <f t="shared" ca="1" si="48"/>
        <v>10</v>
      </c>
      <c r="D764">
        <f t="shared" ca="1" si="45"/>
        <v>53</v>
      </c>
      <c r="E764">
        <f t="shared" ca="1" si="46"/>
        <v>1</v>
      </c>
    </row>
    <row r="765" spans="1:5" x14ac:dyDescent="0.3">
      <c r="A765">
        <v>739</v>
      </c>
      <c r="B765">
        <f t="shared" ca="1" si="47"/>
        <v>30</v>
      </c>
      <c r="C765">
        <f t="shared" ca="1" si="48"/>
        <v>13</v>
      </c>
      <c r="D765">
        <f t="shared" ca="1" si="45"/>
        <v>43</v>
      </c>
      <c r="E765">
        <f t="shared" ca="1" si="46"/>
        <v>1</v>
      </c>
    </row>
    <row r="766" spans="1:5" x14ac:dyDescent="0.3">
      <c r="A766">
        <v>740</v>
      </c>
      <c r="B766">
        <f t="shared" ca="1" si="47"/>
        <v>23</v>
      </c>
      <c r="C766">
        <f t="shared" ca="1" si="48"/>
        <v>29</v>
      </c>
      <c r="D766">
        <f t="shared" ca="1" si="45"/>
        <v>52</v>
      </c>
      <c r="E766">
        <f t="shared" ca="1" si="46"/>
        <v>1</v>
      </c>
    </row>
    <row r="767" spans="1:5" x14ac:dyDescent="0.3">
      <c r="A767">
        <v>741</v>
      </c>
      <c r="B767">
        <f t="shared" ca="1" si="47"/>
        <v>30</v>
      </c>
      <c r="C767">
        <f t="shared" ca="1" si="48"/>
        <v>18</v>
      </c>
      <c r="D767">
        <f t="shared" ca="1" si="45"/>
        <v>48</v>
      </c>
      <c r="E767">
        <f t="shared" ca="1" si="46"/>
        <v>1</v>
      </c>
    </row>
    <row r="768" spans="1:5" x14ac:dyDescent="0.3">
      <c r="A768">
        <v>742</v>
      </c>
      <c r="B768">
        <f t="shared" ca="1" si="47"/>
        <v>49</v>
      </c>
      <c r="C768">
        <f t="shared" ca="1" si="48"/>
        <v>23</v>
      </c>
      <c r="D768">
        <f t="shared" ca="1" si="45"/>
        <v>72</v>
      </c>
      <c r="E768">
        <f t="shared" ca="1" si="46"/>
        <v>1</v>
      </c>
    </row>
    <row r="769" spans="1:5" x14ac:dyDescent="0.3">
      <c r="A769">
        <v>743</v>
      </c>
      <c r="B769">
        <f t="shared" ca="1" si="47"/>
        <v>44</v>
      </c>
      <c r="C769">
        <f t="shared" ca="1" si="48"/>
        <v>32</v>
      </c>
      <c r="D769">
        <f t="shared" ca="1" si="45"/>
        <v>76</v>
      </c>
      <c r="E769">
        <f t="shared" ca="1" si="46"/>
        <v>1</v>
      </c>
    </row>
    <row r="770" spans="1:5" x14ac:dyDescent="0.3">
      <c r="A770">
        <v>744</v>
      </c>
      <c r="B770">
        <f t="shared" ca="1" si="47"/>
        <v>9</v>
      </c>
      <c r="C770">
        <f t="shared" ca="1" si="48"/>
        <v>35</v>
      </c>
      <c r="D770">
        <f t="shared" ca="1" si="45"/>
        <v>44</v>
      </c>
      <c r="E770">
        <f t="shared" ca="1" si="46"/>
        <v>1</v>
      </c>
    </row>
    <row r="771" spans="1:5" x14ac:dyDescent="0.3">
      <c r="A771">
        <v>745</v>
      </c>
      <c r="B771">
        <f t="shared" ca="1" si="47"/>
        <v>26</v>
      </c>
      <c r="C771">
        <f t="shared" ca="1" si="48"/>
        <v>36</v>
      </c>
      <c r="D771">
        <f t="shared" ca="1" si="45"/>
        <v>62</v>
      </c>
      <c r="E771">
        <f t="shared" ca="1" si="46"/>
        <v>1</v>
      </c>
    </row>
    <row r="772" spans="1:5" x14ac:dyDescent="0.3">
      <c r="A772">
        <v>746</v>
      </c>
      <c r="B772">
        <f t="shared" ca="1" si="47"/>
        <v>19</v>
      </c>
      <c r="C772">
        <f t="shared" ca="1" si="48"/>
        <v>13</v>
      </c>
      <c r="D772">
        <f t="shared" ca="1" si="45"/>
        <v>32</v>
      </c>
      <c r="E772">
        <f t="shared" ca="1" si="46"/>
        <v>0</v>
      </c>
    </row>
    <row r="773" spans="1:5" x14ac:dyDescent="0.3">
      <c r="A773">
        <v>747</v>
      </c>
      <c r="B773">
        <f t="shared" ca="1" si="47"/>
        <v>38</v>
      </c>
      <c r="C773">
        <f t="shared" ca="1" si="48"/>
        <v>39</v>
      </c>
      <c r="D773">
        <f t="shared" ca="1" si="45"/>
        <v>77</v>
      </c>
      <c r="E773">
        <f t="shared" ca="1" si="46"/>
        <v>1</v>
      </c>
    </row>
    <row r="774" spans="1:5" x14ac:dyDescent="0.3">
      <c r="A774">
        <v>748</v>
      </c>
      <c r="B774">
        <f t="shared" ca="1" si="47"/>
        <v>18</v>
      </c>
      <c r="C774">
        <f t="shared" ca="1" si="48"/>
        <v>7</v>
      </c>
      <c r="D774">
        <f t="shared" ca="1" si="45"/>
        <v>25</v>
      </c>
      <c r="E774">
        <f t="shared" ca="1" si="46"/>
        <v>0</v>
      </c>
    </row>
    <row r="775" spans="1:5" x14ac:dyDescent="0.3">
      <c r="A775">
        <v>749</v>
      </c>
      <c r="B775">
        <f t="shared" ca="1" si="47"/>
        <v>33</v>
      </c>
      <c r="C775">
        <f t="shared" ca="1" si="48"/>
        <v>36</v>
      </c>
      <c r="D775">
        <f t="shared" ca="1" si="45"/>
        <v>69</v>
      </c>
      <c r="E775">
        <f t="shared" ca="1" si="46"/>
        <v>1</v>
      </c>
    </row>
    <row r="776" spans="1:5" x14ac:dyDescent="0.3">
      <c r="A776">
        <v>750</v>
      </c>
      <c r="B776">
        <f t="shared" ca="1" si="47"/>
        <v>47</v>
      </c>
      <c r="C776">
        <f t="shared" ca="1" si="48"/>
        <v>27</v>
      </c>
      <c r="D776">
        <f t="shared" ca="1" si="45"/>
        <v>74</v>
      </c>
      <c r="E776">
        <f t="shared" ca="1" si="46"/>
        <v>1</v>
      </c>
    </row>
    <row r="777" spans="1:5" x14ac:dyDescent="0.3">
      <c r="A777">
        <v>751</v>
      </c>
      <c r="B777">
        <f t="shared" ca="1" si="47"/>
        <v>8</v>
      </c>
      <c r="C777">
        <f t="shared" ca="1" si="48"/>
        <v>6</v>
      </c>
      <c r="D777">
        <f t="shared" ca="1" si="45"/>
        <v>14</v>
      </c>
      <c r="E777">
        <f t="shared" ca="1" si="46"/>
        <v>0</v>
      </c>
    </row>
    <row r="778" spans="1:5" x14ac:dyDescent="0.3">
      <c r="A778">
        <v>752</v>
      </c>
      <c r="B778">
        <f t="shared" ca="1" si="47"/>
        <v>55</v>
      </c>
      <c r="C778">
        <f t="shared" ca="1" si="48"/>
        <v>4</v>
      </c>
      <c r="D778">
        <f t="shared" ca="1" si="45"/>
        <v>59</v>
      </c>
      <c r="E778">
        <f t="shared" ca="1" si="46"/>
        <v>1</v>
      </c>
    </row>
    <row r="779" spans="1:5" x14ac:dyDescent="0.3">
      <c r="A779">
        <v>753</v>
      </c>
      <c r="B779">
        <f t="shared" ca="1" si="47"/>
        <v>46</v>
      </c>
      <c r="C779">
        <f t="shared" ca="1" si="48"/>
        <v>35</v>
      </c>
      <c r="D779">
        <f t="shared" ca="1" si="45"/>
        <v>81</v>
      </c>
      <c r="E779">
        <f t="shared" ca="1" si="46"/>
        <v>1</v>
      </c>
    </row>
    <row r="780" spans="1:5" x14ac:dyDescent="0.3">
      <c r="A780">
        <v>754</v>
      </c>
      <c r="B780">
        <f t="shared" ca="1" si="47"/>
        <v>18</v>
      </c>
      <c r="C780">
        <f t="shared" ca="1" si="48"/>
        <v>28</v>
      </c>
      <c r="D780">
        <f t="shared" ca="1" si="45"/>
        <v>46</v>
      </c>
      <c r="E780">
        <f t="shared" ca="1" si="46"/>
        <v>1</v>
      </c>
    </row>
    <row r="781" spans="1:5" x14ac:dyDescent="0.3">
      <c r="A781">
        <v>755</v>
      </c>
      <c r="B781">
        <f t="shared" ca="1" si="47"/>
        <v>40</v>
      </c>
      <c r="C781">
        <f t="shared" ca="1" si="48"/>
        <v>10</v>
      </c>
      <c r="D781">
        <f t="shared" ca="1" si="45"/>
        <v>50</v>
      </c>
      <c r="E781">
        <f t="shared" ca="1" si="46"/>
        <v>1</v>
      </c>
    </row>
    <row r="782" spans="1:5" x14ac:dyDescent="0.3">
      <c r="A782">
        <v>756</v>
      </c>
      <c r="B782">
        <f t="shared" ca="1" si="47"/>
        <v>31</v>
      </c>
      <c r="C782">
        <f t="shared" ca="1" si="48"/>
        <v>28</v>
      </c>
      <c r="D782">
        <f t="shared" ca="1" si="45"/>
        <v>59</v>
      </c>
      <c r="E782">
        <f t="shared" ca="1" si="46"/>
        <v>1</v>
      </c>
    </row>
    <row r="783" spans="1:5" x14ac:dyDescent="0.3">
      <c r="A783">
        <v>757</v>
      </c>
      <c r="B783">
        <f t="shared" ca="1" si="47"/>
        <v>41</v>
      </c>
      <c r="C783">
        <f t="shared" ca="1" si="48"/>
        <v>34</v>
      </c>
      <c r="D783">
        <f t="shared" ca="1" si="45"/>
        <v>75</v>
      </c>
      <c r="E783">
        <f t="shared" ca="1" si="46"/>
        <v>1</v>
      </c>
    </row>
    <row r="784" spans="1:5" x14ac:dyDescent="0.3">
      <c r="A784">
        <v>758</v>
      </c>
      <c r="B784">
        <f t="shared" ca="1" si="47"/>
        <v>45</v>
      </c>
      <c r="C784">
        <f t="shared" ca="1" si="48"/>
        <v>18</v>
      </c>
      <c r="D784">
        <f t="shared" ca="1" si="45"/>
        <v>63</v>
      </c>
      <c r="E784">
        <f t="shared" ca="1" si="46"/>
        <v>1</v>
      </c>
    </row>
    <row r="785" spans="1:5" x14ac:dyDescent="0.3">
      <c r="A785">
        <v>759</v>
      </c>
      <c r="B785">
        <f t="shared" ca="1" si="47"/>
        <v>34</v>
      </c>
      <c r="C785">
        <f t="shared" ca="1" si="48"/>
        <v>15</v>
      </c>
      <c r="D785">
        <f t="shared" ca="1" si="45"/>
        <v>49</v>
      </c>
      <c r="E785">
        <f t="shared" ca="1" si="46"/>
        <v>1</v>
      </c>
    </row>
    <row r="786" spans="1:5" x14ac:dyDescent="0.3">
      <c r="A786">
        <v>760</v>
      </c>
      <c r="B786">
        <f t="shared" ca="1" si="47"/>
        <v>58</v>
      </c>
      <c r="C786">
        <f t="shared" ca="1" si="48"/>
        <v>17</v>
      </c>
      <c r="D786">
        <f t="shared" ca="1" si="45"/>
        <v>75</v>
      </c>
      <c r="E786">
        <f t="shared" ca="1" si="46"/>
        <v>1</v>
      </c>
    </row>
    <row r="787" spans="1:5" x14ac:dyDescent="0.3">
      <c r="A787">
        <v>761</v>
      </c>
      <c r="B787">
        <f t="shared" ca="1" si="47"/>
        <v>37</v>
      </c>
      <c r="C787">
        <f t="shared" ca="1" si="48"/>
        <v>33</v>
      </c>
      <c r="D787">
        <f t="shared" ca="1" si="45"/>
        <v>70</v>
      </c>
      <c r="E787">
        <f t="shared" ca="1" si="46"/>
        <v>1</v>
      </c>
    </row>
    <row r="788" spans="1:5" x14ac:dyDescent="0.3">
      <c r="A788">
        <v>762</v>
      </c>
      <c r="B788">
        <f t="shared" ca="1" si="47"/>
        <v>32</v>
      </c>
      <c r="C788">
        <f t="shared" ca="1" si="48"/>
        <v>11</v>
      </c>
      <c r="D788">
        <f t="shared" ca="1" si="45"/>
        <v>43</v>
      </c>
      <c r="E788">
        <f t="shared" ca="1" si="46"/>
        <v>1</v>
      </c>
    </row>
    <row r="789" spans="1:5" x14ac:dyDescent="0.3">
      <c r="A789">
        <v>763</v>
      </c>
      <c r="B789">
        <f t="shared" ca="1" si="47"/>
        <v>50</v>
      </c>
      <c r="C789">
        <f t="shared" ca="1" si="48"/>
        <v>40</v>
      </c>
      <c r="D789">
        <f t="shared" ca="1" si="45"/>
        <v>90</v>
      </c>
      <c r="E789">
        <f t="shared" ca="1" si="46"/>
        <v>1</v>
      </c>
    </row>
    <row r="790" spans="1:5" x14ac:dyDescent="0.3">
      <c r="A790">
        <v>764</v>
      </c>
      <c r="B790">
        <f t="shared" ca="1" si="47"/>
        <v>32</v>
      </c>
      <c r="C790">
        <f t="shared" ca="1" si="48"/>
        <v>38</v>
      </c>
      <c r="D790">
        <f t="shared" ca="1" si="45"/>
        <v>70</v>
      </c>
      <c r="E790">
        <f t="shared" ca="1" si="46"/>
        <v>1</v>
      </c>
    </row>
    <row r="791" spans="1:5" x14ac:dyDescent="0.3">
      <c r="A791">
        <v>765</v>
      </c>
      <c r="B791">
        <f t="shared" ca="1" si="47"/>
        <v>5</v>
      </c>
      <c r="C791">
        <f t="shared" ca="1" si="48"/>
        <v>36</v>
      </c>
      <c r="D791">
        <f t="shared" ca="1" si="45"/>
        <v>41</v>
      </c>
      <c r="E791">
        <f t="shared" ca="1" si="46"/>
        <v>1</v>
      </c>
    </row>
    <row r="792" spans="1:5" x14ac:dyDescent="0.3">
      <c r="A792">
        <v>766</v>
      </c>
      <c r="B792">
        <f t="shared" ca="1" si="47"/>
        <v>58</v>
      </c>
      <c r="C792">
        <f t="shared" ca="1" si="48"/>
        <v>8</v>
      </c>
      <c r="D792">
        <f t="shared" ca="1" si="45"/>
        <v>66</v>
      </c>
      <c r="E792">
        <f t="shared" ca="1" si="46"/>
        <v>1</v>
      </c>
    </row>
    <row r="793" spans="1:5" x14ac:dyDescent="0.3">
      <c r="A793">
        <v>767</v>
      </c>
      <c r="B793">
        <f t="shared" ca="1" si="47"/>
        <v>59</v>
      </c>
      <c r="C793">
        <f t="shared" ca="1" si="48"/>
        <v>34</v>
      </c>
      <c r="D793">
        <f t="shared" ca="1" si="45"/>
        <v>93</v>
      </c>
      <c r="E793">
        <f t="shared" ca="1" si="46"/>
        <v>1</v>
      </c>
    </row>
    <row r="794" spans="1:5" x14ac:dyDescent="0.3">
      <c r="A794">
        <v>768</v>
      </c>
      <c r="B794">
        <f t="shared" ca="1" si="47"/>
        <v>31</v>
      </c>
      <c r="C794">
        <f t="shared" ca="1" si="48"/>
        <v>39</v>
      </c>
      <c r="D794">
        <f t="shared" ca="1" si="45"/>
        <v>70</v>
      </c>
      <c r="E794">
        <f t="shared" ca="1" si="46"/>
        <v>1</v>
      </c>
    </row>
    <row r="795" spans="1:5" x14ac:dyDescent="0.3">
      <c r="A795">
        <v>769</v>
      </c>
      <c r="B795">
        <f t="shared" ca="1" si="47"/>
        <v>22</v>
      </c>
      <c r="C795">
        <f t="shared" ca="1" si="48"/>
        <v>32</v>
      </c>
      <c r="D795">
        <f t="shared" ca="1" si="45"/>
        <v>54</v>
      </c>
      <c r="E795">
        <f t="shared" ca="1" si="46"/>
        <v>1</v>
      </c>
    </row>
    <row r="796" spans="1:5" x14ac:dyDescent="0.3">
      <c r="A796">
        <v>770</v>
      </c>
      <c r="B796">
        <f t="shared" ca="1" si="47"/>
        <v>12</v>
      </c>
      <c r="C796">
        <f t="shared" ca="1" si="48"/>
        <v>26</v>
      </c>
      <c r="D796">
        <f t="shared" ref="D796:D859" ca="1" si="49">B796+C796</f>
        <v>38</v>
      </c>
      <c r="E796">
        <f t="shared" ref="E796:E859" ca="1" si="50">IF(D796&gt;=40,1,0)</f>
        <v>0</v>
      </c>
    </row>
    <row r="797" spans="1:5" x14ac:dyDescent="0.3">
      <c r="A797">
        <v>771</v>
      </c>
      <c r="B797">
        <f t="shared" ref="B797:B860" ca="1" si="51">RANDBETWEEN(5,60)</f>
        <v>39</v>
      </c>
      <c r="C797">
        <f t="shared" ref="C797:C860" ca="1" si="52">RANDBETWEEN(2,40)</f>
        <v>25</v>
      </c>
      <c r="D797">
        <f t="shared" ca="1" si="49"/>
        <v>64</v>
      </c>
      <c r="E797">
        <f t="shared" ca="1" si="50"/>
        <v>1</v>
      </c>
    </row>
    <row r="798" spans="1:5" x14ac:dyDescent="0.3">
      <c r="A798">
        <v>772</v>
      </c>
      <c r="B798">
        <f t="shared" ca="1" si="51"/>
        <v>36</v>
      </c>
      <c r="C798">
        <f t="shared" ca="1" si="52"/>
        <v>35</v>
      </c>
      <c r="D798">
        <f t="shared" ca="1" si="49"/>
        <v>71</v>
      </c>
      <c r="E798">
        <f t="shared" ca="1" si="50"/>
        <v>1</v>
      </c>
    </row>
    <row r="799" spans="1:5" x14ac:dyDescent="0.3">
      <c r="A799">
        <v>773</v>
      </c>
      <c r="B799">
        <f t="shared" ca="1" si="51"/>
        <v>39</v>
      </c>
      <c r="C799">
        <f t="shared" ca="1" si="52"/>
        <v>6</v>
      </c>
      <c r="D799">
        <f t="shared" ca="1" si="49"/>
        <v>45</v>
      </c>
      <c r="E799">
        <f t="shared" ca="1" si="50"/>
        <v>1</v>
      </c>
    </row>
    <row r="800" spans="1:5" x14ac:dyDescent="0.3">
      <c r="A800">
        <v>774</v>
      </c>
      <c r="B800">
        <f t="shared" ca="1" si="51"/>
        <v>46</v>
      </c>
      <c r="C800">
        <f t="shared" ca="1" si="52"/>
        <v>28</v>
      </c>
      <c r="D800">
        <f t="shared" ca="1" si="49"/>
        <v>74</v>
      </c>
      <c r="E800">
        <f t="shared" ca="1" si="50"/>
        <v>1</v>
      </c>
    </row>
    <row r="801" spans="1:5" x14ac:dyDescent="0.3">
      <c r="A801">
        <v>775</v>
      </c>
      <c r="B801">
        <f t="shared" ca="1" si="51"/>
        <v>9</v>
      </c>
      <c r="C801">
        <f t="shared" ca="1" si="52"/>
        <v>36</v>
      </c>
      <c r="D801">
        <f t="shared" ca="1" si="49"/>
        <v>45</v>
      </c>
      <c r="E801">
        <f t="shared" ca="1" si="50"/>
        <v>1</v>
      </c>
    </row>
    <row r="802" spans="1:5" x14ac:dyDescent="0.3">
      <c r="A802">
        <v>776</v>
      </c>
      <c r="B802">
        <f t="shared" ca="1" si="51"/>
        <v>44</v>
      </c>
      <c r="C802">
        <f t="shared" ca="1" si="52"/>
        <v>21</v>
      </c>
      <c r="D802">
        <f t="shared" ca="1" si="49"/>
        <v>65</v>
      </c>
      <c r="E802">
        <f t="shared" ca="1" si="50"/>
        <v>1</v>
      </c>
    </row>
    <row r="803" spans="1:5" x14ac:dyDescent="0.3">
      <c r="A803">
        <v>777</v>
      </c>
      <c r="B803">
        <f t="shared" ca="1" si="51"/>
        <v>27</v>
      </c>
      <c r="C803">
        <f t="shared" ca="1" si="52"/>
        <v>27</v>
      </c>
      <c r="D803">
        <f t="shared" ca="1" si="49"/>
        <v>54</v>
      </c>
      <c r="E803">
        <f t="shared" ca="1" si="50"/>
        <v>1</v>
      </c>
    </row>
    <row r="804" spans="1:5" x14ac:dyDescent="0.3">
      <c r="A804">
        <v>778</v>
      </c>
      <c r="B804">
        <f t="shared" ca="1" si="51"/>
        <v>45</v>
      </c>
      <c r="C804">
        <f t="shared" ca="1" si="52"/>
        <v>27</v>
      </c>
      <c r="D804">
        <f t="shared" ca="1" si="49"/>
        <v>72</v>
      </c>
      <c r="E804">
        <f t="shared" ca="1" si="50"/>
        <v>1</v>
      </c>
    </row>
    <row r="805" spans="1:5" x14ac:dyDescent="0.3">
      <c r="A805">
        <v>779</v>
      </c>
      <c r="B805">
        <f t="shared" ca="1" si="51"/>
        <v>5</v>
      </c>
      <c r="C805">
        <f t="shared" ca="1" si="52"/>
        <v>40</v>
      </c>
      <c r="D805">
        <f t="shared" ca="1" si="49"/>
        <v>45</v>
      </c>
      <c r="E805">
        <f t="shared" ca="1" si="50"/>
        <v>1</v>
      </c>
    </row>
    <row r="806" spans="1:5" x14ac:dyDescent="0.3">
      <c r="A806">
        <v>780</v>
      </c>
      <c r="B806">
        <f t="shared" ca="1" si="51"/>
        <v>36</v>
      </c>
      <c r="C806">
        <f t="shared" ca="1" si="52"/>
        <v>31</v>
      </c>
      <c r="D806">
        <f t="shared" ca="1" si="49"/>
        <v>67</v>
      </c>
      <c r="E806">
        <f t="shared" ca="1" si="50"/>
        <v>1</v>
      </c>
    </row>
    <row r="807" spans="1:5" x14ac:dyDescent="0.3">
      <c r="A807">
        <v>781</v>
      </c>
      <c r="B807">
        <f t="shared" ca="1" si="51"/>
        <v>23</v>
      </c>
      <c r="C807">
        <f t="shared" ca="1" si="52"/>
        <v>26</v>
      </c>
      <c r="D807">
        <f t="shared" ca="1" si="49"/>
        <v>49</v>
      </c>
      <c r="E807">
        <f t="shared" ca="1" si="50"/>
        <v>1</v>
      </c>
    </row>
    <row r="808" spans="1:5" x14ac:dyDescent="0.3">
      <c r="A808">
        <v>782</v>
      </c>
      <c r="B808">
        <f t="shared" ca="1" si="51"/>
        <v>25</v>
      </c>
      <c r="C808">
        <f t="shared" ca="1" si="52"/>
        <v>17</v>
      </c>
      <c r="D808">
        <f t="shared" ca="1" si="49"/>
        <v>42</v>
      </c>
      <c r="E808">
        <f t="shared" ca="1" si="50"/>
        <v>1</v>
      </c>
    </row>
    <row r="809" spans="1:5" x14ac:dyDescent="0.3">
      <c r="A809">
        <v>783</v>
      </c>
      <c r="B809">
        <f t="shared" ca="1" si="51"/>
        <v>10</v>
      </c>
      <c r="C809">
        <f t="shared" ca="1" si="52"/>
        <v>26</v>
      </c>
      <c r="D809">
        <f t="shared" ca="1" si="49"/>
        <v>36</v>
      </c>
      <c r="E809">
        <f t="shared" ca="1" si="50"/>
        <v>0</v>
      </c>
    </row>
    <row r="810" spans="1:5" x14ac:dyDescent="0.3">
      <c r="A810">
        <v>784</v>
      </c>
      <c r="B810">
        <f t="shared" ca="1" si="51"/>
        <v>23</v>
      </c>
      <c r="C810">
        <f t="shared" ca="1" si="52"/>
        <v>10</v>
      </c>
      <c r="D810">
        <f t="shared" ca="1" si="49"/>
        <v>33</v>
      </c>
      <c r="E810">
        <f t="shared" ca="1" si="50"/>
        <v>0</v>
      </c>
    </row>
    <row r="811" spans="1:5" x14ac:dyDescent="0.3">
      <c r="A811">
        <v>785</v>
      </c>
      <c r="B811">
        <f t="shared" ca="1" si="51"/>
        <v>46</v>
      </c>
      <c r="C811">
        <f t="shared" ca="1" si="52"/>
        <v>30</v>
      </c>
      <c r="D811">
        <f t="shared" ca="1" si="49"/>
        <v>76</v>
      </c>
      <c r="E811">
        <f t="shared" ca="1" si="50"/>
        <v>1</v>
      </c>
    </row>
    <row r="812" spans="1:5" x14ac:dyDescent="0.3">
      <c r="A812">
        <v>786</v>
      </c>
      <c r="B812">
        <f t="shared" ca="1" si="51"/>
        <v>47</v>
      </c>
      <c r="C812">
        <f t="shared" ca="1" si="52"/>
        <v>12</v>
      </c>
      <c r="D812">
        <f t="shared" ca="1" si="49"/>
        <v>59</v>
      </c>
      <c r="E812">
        <f t="shared" ca="1" si="50"/>
        <v>1</v>
      </c>
    </row>
    <row r="813" spans="1:5" x14ac:dyDescent="0.3">
      <c r="A813">
        <v>787</v>
      </c>
      <c r="B813">
        <f t="shared" ca="1" si="51"/>
        <v>28</v>
      </c>
      <c r="C813">
        <f t="shared" ca="1" si="52"/>
        <v>39</v>
      </c>
      <c r="D813">
        <f t="shared" ca="1" si="49"/>
        <v>67</v>
      </c>
      <c r="E813">
        <f t="shared" ca="1" si="50"/>
        <v>1</v>
      </c>
    </row>
    <row r="814" spans="1:5" x14ac:dyDescent="0.3">
      <c r="A814">
        <v>788</v>
      </c>
      <c r="B814">
        <f t="shared" ca="1" si="51"/>
        <v>53</v>
      </c>
      <c r="C814">
        <f t="shared" ca="1" si="52"/>
        <v>12</v>
      </c>
      <c r="D814">
        <f t="shared" ca="1" si="49"/>
        <v>65</v>
      </c>
      <c r="E814">
        <f t="shared" ca="1" si="50"/>
        <v>1</v>
      </c>
    </row>
    <row r="815" spans="1:5" x14ac:dyDescent="0.3">
      <c r="A815">
        <v>789</v>
      </c>
      <c r="B815">
        <f t="shared" ca="1" si="51"/>
        <v>24</v>
      </c>
      <c r="C815">
        <f t="shared" ca="1" si="52"/>
        <v>24</v>
      </c>
      <c r="D815">
        <f t="shared" ca="1" si="49"/>
        <v>48</v>
      </c>
      <c r="E815">
        <f t="shared" ca="1" si="50"/>
        <v>1</v>
      </c>
    </row>
    <row r="816" spans="1:5" x14ac:dyDescent="0.3">
      <c r="A816">
        <v>790</v>
      </c>
      <c r="B816">
        <f t="shared" ca="1" si="51"/>
        <v>14</v>
      </c>
      <c r="C816">
        <f t="shared" ca="1" si="52"/>
        <v>38</v>
      </c>
      <c r="D816">
        <f t="shared" ca="1" si="49"/>
        <v>52</v>
      </c>
      <c r="E816">
        <f t="shared" ca="1" si="50"/>
        <v>1</v>
      </c>
    </row>
    <row r="817" spans="1:5" x14ac:dyDescent="0.3">
      <c r="A817">
        <v>791</v>
      </c>
      <c r="B817">
        <f t="shared" ca="1" si="51"/>
        <v>11</v>
      </c>
      <c r="C817">
        <f t="shared" ca="1" si="52"/>
        <v>33</v>
      </c>
      <c r="D817">
        <f t="shared" ca="1" si="49"/>
        <v>44</v>
      </c>
      <c r="E817">
        <f t="shared" ca="1" si="50"/>
        <v>1</v>
      </c>
    </row>
    <row r="818" spans="1:5" x14ac:dyDescent="0.3">
      <c r="A818">
        <v>792</v>
      </c>
      <c r="B818">
        <f t="shared" ca="1" si="51"/>
        <v>5</v>
      </c>
      <c r="C818">
        <f t="shared" ca="1" si="52"/>
        <v>26</v>
      </c>
      <c r="D818">
        <f t="shared" ca="1" si="49"/>
        <v>31</v>
      </c>
      <c r="E818">
        <f t="shared" ca="1" si="50"/>
        <v>0</v>
      </c>
    </row>
    <row r="819" spans="1:5" x14ac:dyDescent="0.3">
      <c r="A819">
        <v>793</v>
      </c>
      <c r="B819">
        <f t="shared" ca="1" si="51"/>
        <v>19</v>
      </c>
      <c r="C819">
        <f t="shared" ca="1" si="52"/>
        <v>4</v>
      </c>
      <c r="D819">
        <f t="shared" ca="1" si="49"/>
        <v>23</v>
      </c>
      <c r="E819">
        <f t="shared" ca="1" si="50"/>
        <v>0</v>
      </c>
    </row>
    <row r="820" spans="1:5" x14ac:dyDescent="0.3">
      <c r="A820">
        <v>794</v>
      </c>
      <c r="B820">
        <f t="shared" ca="1" si="51"/>
        <v>15</v>
      </c>
      <c r="C820">
        <f t="shared" ca="1" si="52"/>
        <v>5</v>
      </c>
      <c r="D820">
        <f t="shared" ca="1" si="49"/>
        <v>20</v>
      </c>
      <c r="E820">
        <f t="shared" ca="1" si="50"/>
        <v>0</v>
      </c>
    </row>
    <row r="821" spans="1:5" x14ac:dyDescent="0.3">
      <c r="A821">
        <v>795</v>
      </c>
      <c r="B821">
        <f t="shared" ca="1" si="51"/>
        <v>59</v>
      </c>
      <c r="C821">
        <f t="shared" ca="1" si="52"/>
        <v>8</v>
      </c>
      <c r="D821">
        <f t="shared" ca="1" si="49"/>
        <v>67</v>
      </c>
      <c r="E821">
        <f t="shared" ca="1" si="50"/>
        <v>1</v>
      </c>
    </row>
    <row r="822" spans="1:5" x14ac:dyDescent="0.3">
      <c r="A822">
        <v>796</v>
      </c>
      <c r="B822">
        <f t="shared" ca="1" si="51"/>
        <v>18</v>
      </c>
      <c r="C822">
        <f t="shared" ca="1" si="52"/>
        <v>27</v>
      </c>
      <c r="D822">
        <f t="shared" ca="1" si="49"/>
        <v>45</v>
      </c>
      <c r="E822">
        <f t="shared" ca="1" si="50"/>
        <v>1</v>
      </c>
    </row>
    <row r="823" spans="1:5" x14ac:dyDescent="0.3">
      <c r="A823">
        <v>797</v>
      </c>
      <c r="B823">
        <f t="shared" ca="1" si="51"/>
        <v>39</v>
      </c>
      <c r="C823">
        <f t="shared" ca="1" si="52"/>
        <v>29</v>
      </c>
      <c r="D823">
        <f t="shared" ca="1" si="49"/>
        <v>68</v>
      </c>
      <c r="E823">
        <f t="shared" ca="1" si="50"/>
        <v>1</v>
      </c>
    </row>
    <row r="824" spans="1:5" x14ac:dyDescent="0.3">
      <c r="A824">
        <v>798</v>
      </c>
      <c r="B824">
        <f t="shared" ca="1" si="51"/>
        <v>42</v>
      </c>
      <c r="C824">
        <f t="shared" ca="1" si="52"/>
        <v>32</v>
      </c>
      <c r="D824">
        <f t="shared" ca="1" si="49"/>
        <v>74</v>
      </c>
      <c r="E824">
        <f t="shared" ca="1" si="50"/>
        <v>1</v>
      </c>
    </row>
    <row r="825" spans="1:5" x14ac:dyDescent="0.3">
      <c r="A825">
        <v>799</v>
      </c>
      <c r="B825">
        <f t="shared" ca="1" si="51"/>
        <v>29</v>
      </c>
      <c r="C825">
        <f t="shared" ca="1" si="52"/>
        <v>4</v>
      </c>
      <c r="D825">
        <f t="shared" ca="1" si="49"/>
        <v>33</v>
      </c>
      <c r="E825">
        <f t="shared" ca="1" si="50"/>
        <v>0</v>
      </c>
    </row>
    <row r="826" spans="1:5" x14ac:dyDescent="0.3">
      <c r="A826">
        <v>800</v>
      </c>
      <c r="B826">
        <f t="shared" ca="1" si="51"/>
        <v>28</v>
      </c>
      <c r="C826">
        <f t="shared" ca="1" si="52"/>
        <v>34</v>
      </c>
      <c r="D826">
        <f t="shared" ca="1" si="49"/>
        <v>62</v>
      </c>
      <c r="E826">
        <f t="shared" ca="1" si="50"/>
        <v>1</v>
      </c>
    </row>
    <row r="827" spans="1:5" x14ac:dyDescent="0.3">
      <c r="A827">
        <v>801</v>
      </c>
      <c r="B827">
        <f t="shared" ca="1" si="51"/>
        <v>27</v>
      </c>
      <c r="C827">
        <f t="shared" ca="1" si="52"/>
        <v>32</v>
      </c>
      <c r="D827">
        <f t="shared" ca="1" si="49"/>
        <v>59</v>
      </c>
      <c r="E827">
        <f t="shared" ca="1" si="50"/>
        <v>1</v>
      </c>
    </row>
    <row r="828" spans="1:5" x14ac:dyDescent="0.3">
      <c r="A828">
        <v>802</v>
      </c>
      <c r="B828">
        <f t="shared" ca="1" si="51"/>
        <v>5</v>
      </c>
      <c r="C828">
        <f t="shared" ca="1" si="52"/>
        <v>22</v>
      </c>
      <c r="D828">
        <f t="shared" ca="1" si="49"/>
        <v>27</v>
      </c>
      <c r="E828">
        <f t="shared" ca="1" si="50"/>
        <v>0</v>
      </c>
    </row>
    <row r="829" spans="1:5" x14ac:dyDescent="0.3">
      <c r="A829">
        <v>803</v>
      </c>
      <c r="B829">
        <f t="shared" ca="1" si="51"/>
        <v>47</v>
      </c>
      <c r="C829">
        <f t="shared" ca="1" si="52"/>
        <v>22</v>
      </c>
      <c r="D829">
        <f t="shared" ca="1" si="49"/>
        <v>69</v>
      </c>
      <c r="E829">
        <f t="shared" ca="1" si="50"/>
        <v>1</v>
      </c>
    </row>
    <row r="830" spans="1:5" x14ac:dyDescent="0.3">
      <c r="A830">
        <v>804</v>
      </c>
      <c r="B830">
        <f t="shared" ca="1" si="51"/>
        <v>30</v>
      </c>
      <c r="C830">
        <f t="shared" ca="1" si="52"/>
        <v>31</v>
      </c>
      <c r="D830">
        <f t="shared" ca="1" si="49"/>
        <v>61</v>
      </c>
      <c r="E830">
        <f t="shared" ca="1" si="50"/>
        <v>1</v>
      </c>
    </row>
    <row r="831" spans="1:5" x14ac:dyDescent="0.3">
      <c r="A831">
        <v>805</v>
      </c>
      <c r="B831">
        <f t="shared" ca="1" si="51"/>
        <v>30</v>
      </c>
      <c r="C831">
        <f t="shared" ca="1" si="52"/>
        <v>34</v>
      </c>
      <c r="D831">
        <f t="shared" ca="1" si="49"/>
        <v>64</v>
      </c>
      <c r="E831">
        <f t="shared" ca="1" si="50"/>
        <v>1</v>
      </c>
    </row>
    <row r="832" spans="1:5" x14ac:dyDescent="0.3">
      <c r="A832">
        <v>806</v>
      </c>
      <c r="B832">
        <f t="shared" ca="1" si="51"/>
        <v>42</v>
      </c>
      <c r="C832">
        <f t="shared" ca="1" si="52"/>
        <v>20</v>
      </c>
      <c r="D832">
        <f t="shared" ca="1" si="49"/>
        <v>62</v>
      </c>
      <c r="E832">
        <f t="shared" ca="1" si="50"/>
        <v>1</v>
      </c>
    </row>
    <row r="833" spans="1:5" x14ac:dyDescent="0.3">
      <c r="A833">
        <v>807</v>
      </c>
      <c r="B833">
        <f t="shared" ca="1" si="51"/>
        <v>19</v>
      </c>
      <c r="C833">
        <f t="shared" ca="1" si="52"/>
        <v>10</v>
      </c>
      <c r="D833">
        <f t="shared" ca="1" si="49"/>
        <v>29</v>
      </c>
      <c r="E833">
        <f t="shared" ca="1" si="50"/>
        <v>0</v>
      </c>
    </row>
    <row r="834" spans="1:5" x14ac:dyDescent="0.3">
      <c r="A834">
        <v>808</v>
      </c>
      <c r="B834">
        <f t="shared" ca="1" si="51"/>
        <v>24</v>
      </c>
      <c r="C834">
        <f t="shared" ca="1" si="52"/>
        <v>35</v>
      </c>
      <c r="D834">
        <f t="shared" ca="1" si="49"/>
        <v>59</v>
      </c>
      <c r="E834">
        <f t="shared" ca="1" si="50"/>
        <v>1</v>
      </c>
    </row>
    <row r="835" spans="1:5" x14ac:dyDescent="0.3">
      <c r="A835">
        <v>809</v>
      </c>
      <c r="B835">
        <f t="shared" ca="1" si="51"/>
        <v>27</v>
      </c>
      <c r="C835">
        <f t="shared" ca="1" si="52"/>
        <v>4</v>
      </c>
      <c r="D835">
        <f t="shared" ca="1" si="49"/>
        <v>31</v>
      </c>
      <c r="E835">
        <f t="shared" ca="1" si="50"/>
        <v>0</v>
      </c>
    </row>
    <row r="836" spans="1:5" x14ac:dyDescent="0.3">
      <c r="A836">
        <v>810</v>
      </c>
      <c r="B836">
        <f t="shared" ca="1" si="51"/>
        <v>60</v>
      </c>
      <c r="C836">
        <f t="shared" ca="1" si="52"/>
        <v>34</v>
      </c>
      <c r="D836">
        <f t="shared" ca="1" si="49"/>
        <v>94</v>
      </c>
      <c r="E836">
        <f t="shared" ca="1" si="50"/>
        <v>1</v>
      </c>
    </row>
    <row r="837" spans="1:5" x14ac:dyDescent="0.3">
      <c r="A837">
        <v>811</v>
      </c>
      <c r="B837">
        <f t="shared" ca="1" si="51"/>
        <v>32</v>
      </c>
      <c r="C837">
        <f t="shared" ca="1" si="52"/>
        <v>21</v>
      </c>
      <c r="D837">
        <f t="shared" ca="1" si="49"/>
        <v>53</v>
      </c>
      <c r="E837">
        <f t="shared" ca="1" si="50"/>
        <v>1</v>
      </c>
    </row>
    <row r="838" spans="1:5" x14ac:dyDescent="0.3">
      <c r="A838">
        <v>812</v>
      </c>
      <c r="B838">
        <f t="shared" ca="1" si="51"/>
        <v>49</v>
      </c>
      <c r="C838">
        <f t="shared" ca="1" si="52"/>
        <v>8</v>
      </c>
      <c r="D838">
        <f t="shared" ca="1" si="49"/>
        <v>57</v>
      </c>
      <c r="E838">
        <f t="shared" ca="1" si="50"/>
        <v>1</v>
      </c>
    </row>
    <row r="839" spans="1:5" x14ac:dyDescent="0.3">
      <c r="A839">
        <v>813</v>
      </c>
      <c r="B839">
        <f t="shared" ca="1" si="51"/>
        <v>37</v>
      </c>
      <c r="C839">
        <f t="shared" ca="1" si="52"/>
        <v>5</v>
      </c>
      <c r="D839">
        <f t="shared" ca="1" si="49"/>
        <v>42</v>
      </c>
      <c r="E839">
        <f t="shared" ca="1" si="50"/>
        <v>1</v>
      </c>
    </row>
    <row r="840" spans="1:5" x14ac:dyDescent="0.3">
      <c r="A840">
        <v>814</v>
      </c>
      <c r="B840">
        <f t="shared" ca="1" si="51"/>
        <v>40</v>
      </c>
      <c r="C840">
        <f t="shared" ca="1" si="52"/>
        <v>35</v>
      </c>
      <c r="D840">
        <f t="shared" ca="1" si="49"/>
        <v>75</v>
      </c>
      <c r="E840">
        <f t="shared" ca="1" si="50"/>
        <v>1</v>
      </c>
    </row>
    <row r="841" spans="1:5" x14ac:dyDescent="0.3">
      <c r="A841">
        <v>815</v>
      </c>
      <c r="B841">
        <f t="shared" ca="1" si="51"/>
        <v>40</v>
      </c>
      <c r="C841">
        <f t="shared" ca="1" si="52"/>
        <v>36</v>
      </c>
      <c r="D841">
        <f t="shared" ca="1" si="49"/>
        <v>76</v>
      </c>
      <c r="E841">
        <f t="shared" ca="1" si="50"/>
        <v>1</v>
      </c>
    </row>
    <row r="842" spans="1:5" x14ac:dyDescent="0.3">
      <c r="A842">
        <v>816</v>
      </c>
      <c r="B842">
        <f t="shared" ca="1" si="51"/>
        <v>49</v>
      </c>
      <c r="C842">
        <f t="shared" ca="1" si="52"/>
        <v>19</v>
      </c>
      <c r="D842">
        <f t="shared" ca="1" si="49"/>
        <v>68</v>
      </c>
      <c r="E842">
        <f t="shared" ca="1" si="50"/>
        <v>1</v>
      </c>
    </row>
    <row r="843" spans="1:5" x14ac:dyDescent="0.3">
      <c r="A843">
        <v>817</v>
      </c>
      <c r="B843">
        <f t="shared" ca="1" si="51"/>
        <v>41</v>
      </c>
      <c r="C843">
        <f t="shared" ca="1" si="52"/>
        <v>23</v>
      </c>
      <c r="D843">
        <f t="shared" ca="1" si="49"/>
        <v>64</v>
      </c>
      <c r="E843">
        <f t="shared" ca="1" si="50"/>
        <v>1</v>
      </c>
    </row>
    <row r="844" spans="1:5" x14ac:dyDescent="0.3">
      <c r="A844">
        <v>818</v>
      </c>
      <c r="B844">
        <f t="shared" ca="1" si="51"/>
        <v>40</v>
      </c>
      <c r="C844">
        <f t="shared" ca="1" si="52"/>
        <v>27</v>
      </c>
      <c r="D844">
        <f t="shared" ca="1" si="49"/>
        <v>67</v>
      </c>
      <c r="E844">
        <f t="shared" ca="1" si="50"/>
        <v>1</v>
      </c>
    </row>
    <row r="845" spans="1:5" x14ac:dyDescent="0.3">
      <c r="A845">
        <v>819</v>
      </c>
      <c r="B845">
        <f t="shared" ca="1" si="51"/>
        <v>39</v>
      </c>
      <c r="C845">
        <f t="shared" ca="1" si="52"/>
        <v>14</v>
      </c>
      <c r="D845">
        <f t="shared" ca="1" si="49"/>
        <v>53</v>
      </c>
      <c r="E845">
        <f t="shared" ca="1" si="50"/>
        <v>1</v>
      </c>
    </row>
    <row r="846" spans="1:5" x14ac:dyDescent="0.3">
      <c r="A846">
        <v>820</v>
      </c>
      <c r="B846">
        <f t="shared" ca="1" si="51"/>
        <v>52</v>
      </c>
      <c r="C846">
        <f t="shared" ca="1" si="52"/>
        <v>30</v>
      </c>
      <c r="D846">
        <f t="shared" ca="1" si="49"/>
        <v>82</v>
      </c>
      <c r="E846">
        <f t="shared" ca="1" si="50"/>
        <v>1</v>
      </c>
    </row>
    <row r="847" spans="1:5" x14ac:dyDescent="0.3">
      <c r="A847">
        <v>821</v>
      </c>
      <c r="B847">
        <f t="shared" ca="1" si="51"/>
        <v>13</v>
      </c>
      <c r="C847">
        <f t="shared" ca="1" si="52"/>
        <v>33</v>
      </c>
      <c r="D847">
        <f t="shared" ca="1" si="49"/>
        <v>46</v>
      </c>
      <c r="E847">
        <f t="shared" ca="1" si="50"/>
        <v>1</v>
      </c>
    </row>
    <row r="848" spans="1:5" x14ac:dyDescent="0.3">
      <c r="A848">
        <v>822</v>
      </c>
      <c r="B848">
        <f t="shared" ca="1" si="51"/>
        <v>43</v>
      </c>
      <c r="C848">
        <f t="shared" ca="1" si="52"/>
        <v>4</v>
      </c>
      <c r="D848">
        <f t="shared" ca="1" si="49"/>
        <v>47</v>
      </c>
      <c r="E848">
        <f t="shared" ca="1" si="50"/>
        <v>1</v>
      </c>
    </row>
    <row r="849" spans="1:5" x14ac:dyDescent="0.3">
      <c r="A849">
        <v>823</v>
      </c>
      <c r="B849">
        <f t="shared" ca="1" si="51"/>
        <v>17</v>
      </c>
      <c r="C849">
        <f t="shared" ca="1" si="52"/>
        <v>20</v>
      </c>
      <c r="D849">
        <f t="shared" ca="1" si="49"/>
        <v>37</v>
      </c>
      <c r="E849">
        <f t="shared" ca="1" si="50"/>
        <v>0</v>
      </c>
    </row>
    <row r="850" spans="1:5" x14ac:dyDescent="0.3">
      <c r="A850">
        <v>824</v>
      </c>
      <c r="B850">
        <f t="shared" ca="1" si="51"/>
        <v>59</v>
      </c>
      <c r="C850">
        <f t="shared" ca="1" si="52"/>
        <v>35</v>
      </c>
      <c r="D850">
        <f t="shared" ca="1" si="49"/>
        <v>94</v>
      </c>
      <c r="E850">
        <f t="shared" ca="1" si="50"/>
        <v>1</v>
      </c>
    </row>
    <row r="851" spans="1:5" x14ac:dyDescent="0.3">
      <c r="A851">
        <v>825</v>
      </c>
      <c r="B851">
        <f t="shared" ca="1" si="51"/>
        <v>34</v>
      </c>
      <c r="C851">
        <f t="shared" ca="1" si="52"/>
        <v>14</v>
      </c>
      <c r="D851">
        <f t="shared" ca="1" si="49"/>
        <v>48</v>
      </c>
      <c r="E851">
        <f t="shared" ca="1" si="50"/>
        <v>1</v>
      </c>
    </row>
    <row r="852" spans="1:5" x14ac:dyDescent="0.3">
      <c r="A852">
        <v>826</v>
      </c>
      <c r="B852">
        <f t="shared" ca="1" si="51"/>
        <v>10</v>
      </c>
      <c r="C852">
        <f t="shared" ca="1" si="52"/>
        <v>28</v>
      </c>
      <c r="D852">
        <f t="shared" ca="1" si="49"/>
        <v>38</v>
      </c>
      <c r="E852">
        <f t="shared" ca="1" si="50"/>
        <v>0</v>
      </c>
    </row>
    <row r="853" spans="1:5" x14ac:dyDescent="0.3">
      <c r="A853">
        <v>827</v>
      </c>
      <c r="B853">
        <f t="shared" ca="1" si="51"/>
        <v>19</v>
      </c>
      <c r="C853">
        <f t="shared" ca="1" si="52"/>
        <v>31</v>
      </c>
      <c r="D853">
        <f t="shared" ca="1" si="49"/>
        <v>50</v>
      </c>
      <c r="E853">
        <f t="shared" ca="1" si="50"/>
        <v>1</v>
      </c>
    </row>
    <row r="854" spans="1:5" x14ac:dyDescent="0.3">
      <c r="A854">
        <v>828</v>
      </c>
      <c r="B854">
        <f t="shared" ca="1" si="51"/>
        <v>58</v>
      </c>
      <c r="C854">
        <f t="shared" ca="1" si="52"/>
        <v>15</v>
      </c>
      <c r="D854">
        <f t="shared" ca="1" si="49"/>
        <v>73</v>
      </c>
      <c r="E854">
        <f t="shared" ca="1" si="50"/>
        <v>1</v>
      </c>
    </row>
    <row r="855" spans="1:5" x14ac:dyDescent="0.3">
      <c r="A855">
        <v>829</v>
      </c>
      <c r="B855">
        <f t="shared" ca="1" si="51"/>
        <v>56</v>
      </c>
      <c r="C855">
        <f t="shared" ca="1" si="52"/>
        <v>3</v>
      </c>
      <c r="D855">
        <f t="shared" ca="1" si="49"/>
        <v>59</v>
      </c>
      <c r="E855">
        <f t="shared" ca="1" si="50"/>
        <v>1</v>
      </c>
    </row>
    <row r="856" spans="1:5" x14ac:dyDescent="0.3">
      <c r="A856">
        <v>830</v>
      </c>
      <c r="B856">
        <f t="shared" ca="1" si="51"/>
        <v>39</v>
      </c>
      <c r="C856">
        <f t="shared" ca="1" si="52"/>
        <v>8</v>
      </c>
      <c r="D856">
        <f t="shared" ca="1" si="49"/>
        <v>47</v>
      </c>
      <c r="E856">
        <f t="shared" ca="1" si="50"/>
        <v>1</v>
      </c>
    </row>
    <row r="857" spans="1:5" x14ac:dyDescent="0.3">
      <c r="A857">
        <v>831</v>
      </c>
      <c r="B857">
        <f t="shared" ca="1" si="51"/>
        <v>27</v>
      </c>
      <c r="C857">
        <f t="shared" ca="1" si="52"/>
        <v>32</v>
      </c>
      <c r="D857">
        <f t="shared" ca="1" si="49"/>
        <v>59</v>
      </c>
      <c r="E857">
        <f t="shared" ca="1" si="50"/>
        <v>1</v>
      </c>
    </row>
    <row r="858" spans="1:5" x14ac:dyDescent="0.3">
      <c r="A858">
        <v>832</v>
      </c>
      <c r="B858">
        <f t="shared" ca="1" si="51"/>
        <v>40</v>
      </c>
      <c r="C858">
        <f t="shared" ca="1" si="52"/>
        <v>7</v>
      </c>
      <c r="D858">
        <f t="shared" ca="1" si="49"/>
        <v>47</v>
      </c>
      <c r="E858">
        <f t="shared" ca="1" si="50"/>
        <v>1</v>
      </c>
    </row>
    <row r="859" spans="1:5" x14ac:dyDescent="0.3">
      <c r="A859">
        <v>833</v>
      </c>
      <c r="B859">
        <f t="shared" ca="1" si="51"/>
        <v>48</v>
      </c>
      <c r="C859">
        <f t="shared" ca="1" si="52"/>
        <v>38</v>
      </c>
      <c r="D859">
        <f t="shared" ca="1" si="49"/>
        <v>86</v>
      </c>
      <c r="E859">
        <f t="shared" ca="1" si="50"/>
        <v>1</v>
      </c>
    </row>
    <row r="860" spans="1:5" x14ac:dyDescent="0.3">
      <c r="A860">
        <v>834</v>
      </c>
      <c r="B860">
        <f t="shared" ca="1" si="51"/>
        <v>17</v>
      </c>
      <c r="C860">
        <f t="shared" ca="1" si="52"/>
        <v>7</v>
      </c>
      <c r="D860">
        <f t="shared" ref="D860:D923" ca="1" si="53">B860+C860</f>
        <v>24</v>
      </c>
      <c r="E860">
        <f t="shared" ref="E860:E923" ca="1" si="54">IF(D860&gt;=40,1,0)</f>
        <v>0</v>
      </c>
    </row>
    <row r="861" spans="1:5" x14ac:dyDescent="0.3">
      <c r="A861">
        <v>835</v>
      </c>
      <c r="B861">
        <f t="shared" ref="B861:B924" ca="1" si="55">RANDBETWEEN(5,60)</f>
        <v>51</v>
      </c>
      <c r="C861">
        <f t="shared" ref="C861:C924" ca="1" si="56">RANDBETWEEN(2,40)</f>
        <v>18</v>
      </c>
      <c r="D861">
        <f t="shared" ca="1" si="53"/>
        <v>69</v>
      </c>
      <c r="E861">
        <f t="shared" ca="1" si="54"/>
        <v>1</v>
      </c>
    </row>
    <row r="862" spans="1:5" x14ac:dyDescent="0.3">
      <c r="A862">
        <v>836</v>
      </c>
      <c r="B862">
        <f t="shared" ca="1" si="55"/>
        <v>15</v>
      </c>
      <c r="C862">
        <f t="shared" ca="1" si="56"/>
        <v>22</v>
      </c>
      <c r="D862">
        <f t="shared" ca="1" si="53"/>
        <v>37</v>
      </c>
      <c r="E862">
        <f t="shared" ca="1" si="54"/>
        <v>0</v>
      </c>
    </row>
    <row r="863" spans="1:5" x14ac:dyDescent="0.3">
      <c r="A863">
        <v>837</v>
      </c>
      <c r="B863">
        <f t="shared" ca="1" si="55"/>
        <v>17</v>
      </c>
      <c r="C863">
        <f t="shared" ca="1" si="56"/>
        <v>28</v>
      </c>
      <c r="D863">
        <f t="shared" ca="1" si="53"/>
        <v>45</v>
      </c>
      <c r="E863">
        <f t="shared" ca="1" si="54"/>
        <v>1</v>
      </c>
    </row>
    <row r="864" spans="1:5" x14ac:dyDescent="0.3">
      <c r="A864">
        <v>838</v>
      </c>
      <c r="B864">
        <f t="shared" ca="1" si="55"/>
        <v>37</v>
      </c>
      <c r="C864">
        <f t="shared" ca="1" si="56"/>
        <v>39</v>
      </c>
      <c r="D864">
        <f t="shared" ca="1" si="53"/>
        <v>76</v>
      </c>
      <c r="E864">
        <f t="shared" ca="1" si="54"/>
        <v>1</v>
      </c>
    </row>
    <row r="865" spans="1:5" x14ac:dyDescent="0.3">
      <c r="A865">
        <v>839</v>
      </c>
      <c r="B865">
        <f t="shared" ca="1" si="55"/>
        <v>52</v>
      </c>
      <c r="C865">
        <f t="shared" ca="1" si="56"/>
        <v>22</v>
      </c>
      <c r="D865">
        <f t="shared" ca="1" si="53"/>
        <v>74</v>
      </c>
      <c r="E865">
        <f t="shared" ca="1" si="54"/>
        <v>1</v>
      </c>
    </row>
    <row r="866" spans="1:5" x14ac:dyDescent="0.3">
      <c r="A866">
        <v>840</v>
      </c>
      <c r="B866">
        <f t="shared" ca="1" si="55"/>
        <v>41</v>
      </c>
      <c r="C866">
        <f t="shared" ca="1" si="56"/>
        <v>15</v>
      </c>
      <c r="D866">
        <f t="shared" ca="1" si="53"/>
        <v>56</v>
      </c>
      <c r="E866">
        <f t="shared" ca="1" si="54"/>
        <v>1</v>
      </c>
    </row>
    <row r="867" spans="1:5" x14ac:dyDescent="0.3">
      <c r="A867">
        <v>841</v>
      </c>
      <c r="B867">
        <f t="shared" ca="1" si="55"/>
        <v>6</v>
      </c>
      <c r="C867">
        <f t="shared" ca="1" si="56"/>
        <v>34</v>
      </c>
      <c r="D867">
        <f t="shared" ca="1" si="53"/>
        <v>40</v>
      </c>
      <c r="E867">
        <f t="shared" ca="1" si="54"/>
        <v>1</v>
      </c>
    </row>
    <row r="868" spans="1:5" x14ac:dyDescent="0.3">
      <c r="A868">
        <v>842</v>
      </c>
      <c r="B868">
        <f t="shared" ca="1" si="55"/>
        <v>60</v>
      </c>
      <c r="C868">
        <f t="shared" ca="1" si="56"/>
        <v>11</v>
      </c>
      <c r="D868">
        <f t="shared" ca="1" si="53"/>
        <v>71</v>
      </c>
      <c r="E868">
        <f t="shared" ca="1" si="54"/>
        <v>1</v>
      </c>
    </row>
    <row r="869" spans="1:5" x14ac:dyDescent="0.3">
      <c r="A869">
        <v>843</v>
      </c>
      <c r="B869">
        <f t="shared" ca="1" si="55"/>
        <v>49</v>
      </c>
      <c r="C869">
        <f t="shared" ca="1" si="56"/>
        <v>27</v>
      </c>
      <c r="D869">
        <f t="shared" ca="1" si="53"/>
        <v>76</v>
      </c>
      <c r="E869">
        <f t="shared" ca="1" si="54"/>
        <v>1</v>
      </c>
    </row>
    <row r="870" spans="1:5" x14ac:dyDescent="0.3">
      <c r="A870">
        <v>844</v>
      </c>
      <c r="B870">
        <f t="shared" ca="1" si="55"/>
        <v>59</v>
      </c>
      <c r="C870">
        <f t="shared" ca="1" si="56"/>
        <v>37</v>
      </c>
      <c r="D870">
        <f t="shared" ca="1" si="53"/>
        <v>96</v>
      </c>
      <c r="E870">
        <f t="shared" ca="1" si="54"/>
        <v>1</v>
      </c>
    </row>
    <row r="871" spans="1:5" x14ac:dyDescent="0.3">
      <c r="A871">
        <v>845</v>
      </c>
      <c r="B871">
        <f t="shared" ca="1" si="55"/>
        <v>50</v>
      </c>
      <c r="C871">
        <f t="shared" ca="1" si="56"/>
        <v>17</v>
      </c>
      <c r="D871">
        <f t="shared" ca="1" si="53"/>
        <v>67</v>
      </c>
      <c r="E871">
        <f t="shared" ca="1" si="54"/>
        <v>1</v>
      </c>
    </row>
    <row r="872" spans="1:5" x14ac:dyDescent="0.3">
      <c r="A872">
        <v>846</v>
      </c>
      <c r="B872">
        <f t="shared" ca="1" si="55"/>
        <v>45</v>
      </c>
      <c r="C872">
        <f t="shared" ca="1" si="56"/>
        <v>15</v>
      </c>
      <c r="D872">
        <f t="shared" ca="1" si="53"/>
        <v>60</v>
      </c>
      <c r="E872">
        <f t="shared" ca="1" si="54"/>
        <v>1</v>
      </c>
    </row>
    <row r="873" spans="1:5" x14ac:dyDescent="0.3">
      <c r="A873">
        <v>847</v>
      </c>
      <c r="B873">
        <f t="shared" ca="1" si="55"/>
        <v>41</v>
      </c>
      <c r="C873">
        <f t="shared" ca="1" si="56"/>
        <v>6</v>
      </c>
      <c r="D873">
        <f t="shared" ca="1" si="53"/>
        <v>47</v>
      </c>
      <c r="E873">
        <f t="shared" ca="1" si="54"/>
        <v>1</v>
      </c>
    </row>
    <row r="874" spans="1:5" x14ac:dyDescent="0.3">
      <c r="A874">
        <v>848</v>
      </c>
      <c r="B874">
        <f t="shared" ca="1" si="55"/>
        <v>18</v>
      </c>
      <c r="C874">
        <f t="shared" ca="1" si="56"/>
        <v>3</v>
      </c>
      <c r="D874">
        <f t="shared" ca="1" si="53"/>
        <v>21</v>
      </c>
      <c r="E874">
        <f t="shared" ca="1" si="54"/>
        <v>0</v>
      </c>
    </row>
    <row r="875" spans="1:5" x14ac:dyDescent="0.3">
      <c r="A875">
        <v>849</v>
      </c>
      <c r="B875">
        <f t="shared" ca="1" si="55"/>
        <v>60</v>
      </c>
      <c r="C875">
        <f t="shared" ca="1" si="56"/>
        <v>14</v>
      </c>
      <c r="D875">
        <f t="shared" ca="1" si="53"/>
        <v>74</v>
      </c>
      <c r="E875">
        <f t="shared" ca="1" si="54"/>
        <v>1</v>
      </c>
    </row>
    <row r="876" spans="1:5" x14ac:dyDescent="0.3">
      <c r="A876">
        <v>850</v>
      </c>
      <c r="B876">
        <f t="shared" ca="1" si="55"/>
        <v>22</v>
      </c>
      <c r="C876">
        <f t="shared" ca="1" si="56"/>
        <v>39</v>
      </c>
      <c r="D876">
        <f t="shared" ca="1" si="53"/>
        <v>61</v>
      </c>
      <c r="E876">
        <f t="shared" ca="1" si="54"/>
        <v>1</v>
      </c>
    </row>
    <row r="877" spans="1:5" x14ac:dyDescent="0.3">
      <c r="A877">
        <v>851</v>
      </c>
      <c r="B877">
        <f t="shared" ca="1" si="55"/>
        <v>16</v>
      </c>
      <c r="C877">
        <f t="shared" ca="1" si="56"/>
        <v>28</v>
      </c>
      <c r="D877">
        <f t="shared" ca="1" si="53"/>
        <v>44</v>
      </c>
      <c r="E877">
        <f t="shared" ca="1" si="54"/>
        <v>1</v>
      </c>
    </row>
    <row r="878" spans="1:5" x14ac:dyDescent="0.3">
      <c r="A878">
        <v>852</v>
      </c>
      <c r="B878">
        <f t="shared" ca="1" si="55"/>
        <v>18</v>
      </c>
      <c r="C878">
        <f t="shared" ca="1" si="56"/>
        <v>17</v>
      </c>
      <c r="D878">
        <f t="shared" ca="1" si="53"/>
        <v>35</v>
      </c>
      <c r="E878">
        <f t="shared" ca="1" si="54"/>
        <v>0</v>
      </c>
    </row>
    <row r="879" spans="1:5" x14ac:dyDescent="0.3">
      <c r="A879">
        <v>853</v>
      </c>
      <c r="B879">
        <f t="shared" ca="1" si="55"/>
        <v>52</v>
      </c>
      <c r="C879">
        <f t="shared" ca="1" si="56"/>
        <v>13</v>
      </c>
      <c r="D879">
        <f t="shared" ca="1" si="53"/>
        <v>65</v>
      </c>
      <c r="E879">
        <f t="shared" ca="1" si="54"/>
        <v>1</v>
      </c>
    </row>
    <row r="880" spans="1:5" x14ac:dyDescent="0.3">
      <c r="A880">
        <v>854</v>
      </c>
      <c r="B880">
        <f t="shared" ca="1" si="55"/>
        <v>40</v>
      </c>
      <c r="C880">
        <f t="shared" ca="1" si="56"/>
        <v>9</v>
      </c>
      <c r="D880">
        <f t="shared" ca="1" si="53"/>
        <v>49</v>
      </c>
      <c r="E880">
        <f t="shared" ca="1" si="54"/>
        <v>1</v>
      </c>
    </row>
    <row r="881" spans="1:5" x14ac:dyDescent="0.3">
      <c r="A881">
        <v>855</v>
      </c>
      <c r="B881">
        <f t="shared" ca="1" si="55"/>
        <v>32</v>
      </c>
      <c r="C881">
        <f t="shared" ca="1" si="56"/>
        <v>21</v>
      </c>
      <c r="D881">
        <f t="shared" ca="1" si="53"/>
        <v>53</v>
      </c>
      <c r="E881">
        <f t="shared" ca="1" si="54"/>
        <v>1</v>
      </c>
    </row>
    <row r="882" spans="1:5" x14ac:dyDescent="0.3">
      <c r="A882">
        <v>856</v>
      </c>
      <c r="B882">
        <f t="shared" ca="1" si="55"/>
        <v>19</v>
      </c>
      <c r="C882">
        <f t="shared" ca="1" si="56"/>
        <v>21</v>
      </c>
      <c r="D882">
        <f t="shared" ca="1" si="53"/>
        <v>40</v>
      </c>
      <c r="E882">
        <f t="shared" ca="1" si="54"/>
        <v>1</v>
      </c>
    </row>
    <row r="883" spans="1:5" x14ac:dyDescent="0.3">
      <c r="A883">
        <v>857</v>
      </c>
      <c r="B883">
        <f t="shared" ca="1" si="55"/>
        <v>30</v>
      </c>
      <c r="C883">
        <f t="shared" ca="1" si="56"/>
        <v>7</v>
      </c>
      <c r="D883">
        <f t="shared" ca="1" si="53"/>
        <v>37</v>
      </c>
      <c r="E883">
        <f t="shared" ca="1" si="54"/>
        <v>0</v>
      </c>
    </row>
    <row r="884" spans="1:5" x14ac:dyDescent="0.3">
      <c r="A884">
        <v>858</v>
      </c>
      <c r="B884">
        <f t="shared" ca="1" si="55"/>
        <v>20</v>
      </c>
      <c r="C884">
        <f t="shared" ca="1" si="56"/>
        <v>17</v>
      </c>
      <c r="D884">
        <f t="shared" ca="1" si="53"/>
        <v>37</v>
      </c>
      <c r="E884">
        <f t="shared" ca="1" si="54"/>
        <v>0</v>
      </c>
    </row>
    <row r="885" spans="1:5" x14ac:dyDescent="0.3">
      <c r="A885">
        <v>859</v>
      </c>
      <c r="B885">
        <f t="shared" ca="1" si="55"/>
        <v>47</v>
      </c>
      <c r="C885">
        <f t="shared" ca="1" si="56"/>
        <v>4</v>
      </c>
      <c r="D885">
        <f t="shared" ca="1" si="53"/>
        <v>51</v>
      </c>
      <c r="E885">
        <f t="shared" ca="1" si="54"/>
        <v>1</v>
      </c>
    </row>
    <row r="886" spans="1:5" x14ac:dyDescent="0.3">
      <c r="A886">
        <v>860</v>
      </c>
      <c r="B886">
        <f t="shared" ca="1" si="55"/>
        <v>23</v>
      </c>
      <c r="C886">
        <f t="shared" ca="1" si="56"/>
        <v>3</v>
      </c>
      <c r="D886">
        <f t="shared" ca="1" si="53"/>
        <v>26</v>
      </c>
      <c r="E886">
        <f t="shared" ca="1" si="54"/>
        <v>0</v>
      </c>
    </row>
    <row r="887" spans="1:5" x14ac:dyDescent="0.3">
      <c r="A887">
        <v>861</v>
      </c>
      <c r="B887">
        <f t="shared" ca="1" si="55"/>
        <v>41</v>
      </c>
      <c r="C887">
        <f t="shared" ca="1" si="56"/>
        <v>22</v>
      </c>
      <c r="D887">
        <f t="shared" ca="1" si="53"/>
        <v>63</v>
      </c>
      <c r="E887">
        <f t="shared" ca="1" si="54"/>
        <v>1</v>
      </c>
    </row>
    <row r="888" spans="1:5" x14ac:dyDescent="0.3">
      <c r="A888">
        <v>862</v>
      </c>
      <c r="B888">
        <f t="shared" ca="1" si="55"/>
        <v>50</v>
      </c>
      <c r="C888">
        <f t="shared" ca="1" si="56"/>
        <v>35</v>
      </c>
      <c r="D888">
        <f t="shared" ca="1" si="53"/>
        <v>85</v>
      </c>
      <c r="E888">
        <f t="shared" ca="1" si="54"/>
        <v>1</v>
      </c>
    </row>
    <row r="889" spans="1:5" x14ac:dyDescent="0.3">
      <c r="A889">
        <v>863</v>
      </c>
      <c r="B889">
        <f t="shared" ca="1" si="55"/>
        <v>27</v>
      </c>
      <c r="C889">
        <f t="shared" ca="1" si="56"/>
        <v>8</v>
      </c>
      <c r="D889">
        <f t="shared" ca="1" si="53"/>
        <v>35</v>
      </c>
      <c r="E889">
        <f t="shared" ca="1" si="54"/>
        <v>0</v>
      </c>
    </row>
    <row r="890" spans="1:5" x14ac:dyDescent="0.3">
      <c r="A890">
        <v>864</v>
      </c>
      <c r="B890">
        <f t="shared" ca="1" si="55"/>
        <v>29</v>
      </c>
      <c r="C890">
        <f t="shared" ca="1" si="56"/>
        <v>22</v>
      </c>
      <c r="D890">
        <f t="shared" ca="1" si="53"/>
        <v>51</v>
      </c>
      <c r="E890">
        <f t="shared" ca="1" si="54"/>
        <v>1</v>
      </c>
    </row>
    <row r="891" spans="1:5" x14ac:dyDescent="0.3">
      <c r="A891">
        <v>865</v>
      </c>
      <c r="B891">
        <f t="shared" ca="1" si="55"/>
        <v>34</v>
      </c>
      <c r="C891">
        <f t="shared" ca="1" si="56"/>
        <v>34</v>
      </c>
      <c r="D891">
        <f t="shared" ca="1" si="53"/>
        <v>68</v>
      </c>
      <c r="E891">
        <f t="shared" ca="1" si="54"/>
        <v>1</v>
      </c>
    </row>
    <row r="892" spans="1:5" x14ac:dyDescent="0.3">
      <c r="A892">
        <v>866</v>
      </c>
      <c r="B892">
        <f t="shared" ca="1" si="55"/>
        <v>54</v>
      </c>
      <c r="C892">
        <f t="shared" ca="1" si="56"/>
        <v>6</v>
      </c>
      <c r="D892">
        <f t="shared" ca="1" si="53"/>
        <v>60</v>
      </c>
      <c r="E892">
        <f t="shared" ca="1" si="54"/>
        <v>1</v>
      </c>
    </row>
    <row r="893" spans="1:5" x14ac:dyDescent="0.3">
      <c r="A893">
        <v>867</v>
      </c>
      <c r="B893">
        <f t="shared" ca="1" si="55"/>
        <v>43</v>
      </c>
      <c r="C893">
        <f t="shared" ca="1" si="56"/>
        <v>37</v>
      </c>
      <c r="D893">
        <f t="shared" ca="1" si="53"/>
        <v>80</v>
      </c>
      <c r="E893">
        <f t="shared" ca="1" si="54"/>
        <v>1</v>
      </c>
    </row>
    <row r="894" spans="1:5" x14ac:dyDescent="0.3">
      <c r="A894">
        <v>868</v>
      </c>
      <c r="B894">
        <f t="shared" ca="1" si="55"/>
        <v>6</v>
      </c>
      <c r="C894">
        <f t="shared" ca="1" si="56"/>
        <v>26</v>
      </c>
      <c r="D894">
        <f t="shared" ca="1" si="53"/>
        <v>32</v>
      </c>
      <c r="E894">
        <f t="shared" ca="1" si="54"/>
        <v>0</v>
      </c>
    </row>
    <row r="895" spans="1:5" x14ac:dyDescent="0.3">
      <c r="A895">
        <v>869</v>
      </c>
      <c r="B895">
        <f t="shared" ca="1" si="55"/>
        <v>24</v>
      </c>
      <c r="C895">
        <f t="shared" ca="1" si="56"/>
        <v>18</v>
      </c>
      <c r="D895">
        <f t="shared" ca="1" si="53"/>
        <v>42</v>
      </c>
      <c r="E895">
        <f t="shared" ca="1" si="54"/>
        <v>1</v>
      </c>
    </row>
    <row r="896" spans="1:5" x14ac:dyDescent="0.3">
      <c r="A896">
        <v>870</v>
      </c>
      <c r="B896">
        <f t="shared" ca="1" si="55"/>
        <v>27</v>
      </c>
      <c r="C896">
        <f t="shared" ca="1" si="56"/>
        <v>28</v>
      </c>
      <c r="D896">
        <f t="shared" ca="1" si="53"/>
        <v>55</v>
      </c>
      <c r="E896">
        <f t="shared" ca="1" si="54"/>
        <v>1</v>
      </c>
    </row>
    <row r="897" spans="1:5" x14ac:dyDescent="0.3">
      <c r="A897">
        <v>871</v>
      </c>
      <c r="B897">
        <f t="shared" ca="1" si="55"/>
        <v>15</v>
      </c>
      <c r="C897">
        <f t="shared" ca="1" si="56"/>
        <v>8</v>
      </c>
      <c r="D897">
        <f t="shared" ca="1" si="53"/>
        <v>23</v>
      </c>
      <c r="E897">
        <f t="shared" ca="1" si="54"/>
        <v>0</v>
      </c>
    </row>
    <row r="898" spans="1:5" x14ac:dyDescent="0.3">
      <c r="A898">
        <v>872</v>
      </c>
      <c r="B898">
        <f t="shared" ca="1" si="55"/>
        <v>47</v>
      </c>
      <c r="C898">
        <f t="shared" ca="1" si="56"/>
        <v>21</v>
      </c>
      <c r="D898">
        <f t="shared" ca="1" si="53"/>
        <v>68</v>
      </c>
      <c r="E898">
        <f t="shared" ca="1" si="54"/>
        <v>1</v>
      </c>
    </row>
    <row r="899" spans="1:5" x14ac:dyDescent="0.3">
      <c r="A899">
        <v>873</v>
      </c>
      <c r="B899">
        <f t="shared" ca="1" si="55"/>
        <v>27</v>
      </c>
      <c r="C899">
        <f t="shared" ca="1" si="56"/>
        <v>38</v>
      </c>
      <c r="D899">
        <f t="shared" ca="1" si="53"/>
        <v>65</v>
      </c>
      <c r="E899">
        <f t="shared" ca="1" si="54"/>
        <v>1</v>
      </c>
    </row>
    <row r="900" spans="1:5" x14ac:dyDescent="0.3">
      <c r="A900">
        <v>874</v>
      </c>
      <c r="B900">
        <f t="shared" ca="1" si="55"/>
        <v>16</v>
      </c>
      <c r="C900">
        <f t="shared" ca="1" si="56"/>
        <v>21</v>
      </c>
      <c r="D900">
        <f t="shared" ca="1" si="53"/>
        <v>37</v>
      </c>
      <c r="E900">
        <f t="shared" ca="1" si="54"/>
        <v>0</v>
      </c>
    </row>
    <row r="901" spans="1:5" x14ac:dyDescent="0.3">
      <c r="A901">
        <v>875</v>
      </c>
      <c r="B901">
        <f t="shared" ca="1" si="55"/>
        <v>6</v>
      </c>
      <c r="C901">
        <f t="shared" ca="1" si="56"/>
        <v>35</v>
      </c>
      <c r="D901">
        <f t="shared" ca="1" si="53"/>
        <v>41</v>
      </c>
      <c r="E901">
        <f t="shared" ca="1" si="54"/>
        <v>1</v>
      </c>
    </row>
    <row r="902" spans="1:5" x14ac:dyDescent="0.3">
      <c r="A902">
        <v>876</v>
      </c>
      <c r="B902">
        <f t="shared" ca="1" si="55"/>
        <v>22</v>
      </c>
      <c r="C902">
        <f t="shared" ca="1" si="56"/>
        <v>17</v>
      </c>
      <c r="D902">
        <f t="shared" ca="1" si="53"/>
        <v>39</v>
      </c>
      <c r="E902">
        <f t="shared" ca="1" si="54"/>
        <v>0</v>
      </c>
    </row>
    <row r="903" spans="1:5" x14ac:dyDescent="0.3">
      <c r="A903">
        <v>877</v>
      </c>
      <c r="B903">
        <f t="shared" ca="1" si="55"/>
        <v>41</v>
      </c>
      <c r="C903">
        <f t="shared" ca="1" si="56"/>
        <v>22</v>
      </c>
      <c r="D903">
        <f t="shared" ca="1" si="53"/>
        <v>63</v>
      </c>
      <c r="E903">
        <f t="shared" ca="1" si="54"/>
        <v>1</v>
      </c>
    </row>
    <row r="904" spans="1:5" x14ac:dyDescent="0.3">
      <c r="A904">
        <v>878</v>
      </c>
      <c r="B904">
        <f t="shared" ca="1" si="55"/>
        <v>8</v>
      </c>
      <c r="C904">
        <f t="shared" ca="1" si="56"/>
        <v>24</v>
      </c>
      <c r="D904">
        <f t="shared" ca="1" si="53"/>
        <v>32</v>
      </c>
      <c r="E904">
        <f t="shared" ca="1" si="54"/>
        <v>0</v>
      </c>
    </row>
    <row r="905" spans="1:5" x14ac:dyDescent="0.3">
      <c r="A905">
        <v>879</v>
      </c>
      <c r="B905">
        <f t="shared" ca="1" si="55"/>
        <v>56</v>
      </c>
      <c r="C905">
        <f t="shared" ca="1" si="56"/>
        <v>38</v>
      </c>
      <c r="D905">
        <f t="shared" ca="1" si="53"/>
        <v>94</v>
      </c>
      <c r="E905">
        <f t="shared" ca="1" si="54"/>
        <v>1</v>
      </c>
    </row>
    <row r="906" spans="1:5" x14ac:dyDescent="0.3">
      <c r="A906">
        <v>880</v>
      </c>
      <c r="B906">
        <f t="shared" ca="1" si="55"/>
        <v>21</v>
      </c>
      <c r="C906">
        <f t="shared" ca="1" si="56"/>
        <v>18</v>
      </c>
      <c r="D906">
        <f t="shared" ca="1" si="53"/>
        <v>39</v>
      </c>
      <c r="E906">
        <f t="shared" ca="1" si="54"/>
        <v>0</v>
      </c>
    </row>
    <row r="907" spans="1:5" x14ac:dyDescent="0.3">
      <c r="A907">
        <v>881</v>
      </c>
      <c r="B907">
        <f t="shared" ca="1" si="55"/>
        <v>27</v>
      </c>
      <c r="C907">
        <f t="shared" ca="1" si="56"/>
        <v>2</v>
      </c>
      <c r="D907">
        <f t="shared" ca="1" si="53"/>
        <v>29</v>
      </c>
      <c r="E907">
        <f t="shared" ca="1" si="54"/>
        <v>0</v>
      </c>
    </row>
    <row r="908" spans="1:5" x14ac:dyDescent="0.3">
      <c r="A908">
        <v>882</v>
      </c>
      <c r="B908">
        <f t="shared" ca="1" si="55"/>
        <v>28</v>
      </c>
      <c r="C908">
        <f t="shared" ca="1" si="56"/>
        <v>25</v>
      </c>
      <c r="D908">
        <f t="shared" ca="1" si="53"/>
        <v>53</v>
      </c>
      <c r="E908">
        <f t="shared" ca="1" si="54"/>
        <v>1</v>
      </c>
    </row>
    <row r="909" spans="1:5" x14ac:dyDescent="0.3">
      <c r="A909">
        <v>883</v>
      </c>
      <c r="B909">
        <f t="shared" ca="1" si="55"/>
        <v>31</v>
      </c>
      <c r="C909">
        <f t="shared" ca="1" si="56"/>
        <v>34</v>
      </c>
      <c r="D909">
        <f t="shared" ca="1" si="53"/>
        <v>65</v>
      </c>
      <c r="E909">
        <f t="shared" ca="1" si="54"/>
        <v>1</v>
      </c>
    </row>
    <row r="910" spans="1:5" x14ac:dyDescent="0.3">
      <c r="A910">
        <v>884</v>
      </c>
      <c r="B910">
        <f t="shared" ca="1" si="55"/>
        <v>56</v>
      </c>
      <c r="C910">
        <f t="shared" ca="1" si="56"/>
        <v>11</v>
      </c>
      <c r="D910">
        <f t="shared" ca="1" si="53"/>
        <v>67</v>
      </c>
      <c r="E910">
        <f t="shared" ca="1" si="54"/>
        <v>1</v>
      </c>
    </row>
    <row r="911" spans="1:5" x14ac:dyDescent="0.3">
      <c r="A911">
        <v>885</v>
      </c>
      <c r="B911">
        <f t="shared" ca="1" si="55"/>
        <v>18</v>
      </c>
      <c r="C911">
        <f t="shared" ca="1" si="56"/>
        <v>4</v>
      </c>
      <c r="D911">
        <f t="shared" ca="1" si="53"/>
        <v>22</v>
      </c>
      <c r="E911">
        <f t="shared" ca="1" si="54"/>
        <v>0</v>
      </c>
    </row>
    <row r="912" spans="1:5" x14ac:dyDescent="0.3">
      <c r="A912">
        <v>886</v>
      </c>
      <c r="B912">
        <f t="shared" ca="1" si="55"/>
        <v>20</v>
      </c>
      <c r="C912">
        <f t="shared" ca="1" si="56"/>
        <v>21</v>
      </c>
      <c r="D912">
        <f t="shared" ca="1" si="53"/>
        <v>41</v>
      </c>
      <c r="E912">
        <f t="shared" ca="1" si="54"/>
        <v>1</v>
      </c>
    </row>
    <row r="913" spans="1:5" x14ac:dyDescent="0.3">
      <c r="A913">
        <v>887</v>
      </c>
      <c r="B913">
        <f t="shared" ca="1" si="55"/>
        <v>16</v>
      </c>
      <c r="C913">
        <f t="shared" ca="1" si="56"/>
        <v>2</v>
      </c>
      <c r="D913">
        <f t="shared" ca="1" si="53"/>
        <v>18</v>
      </c>
      <c r="E913">
        <f t="shared" ca="1" si="54"/>
        <v>0</v>
      </c>
    </row>
    <row r="914" spans="1:5" x14ac:dyDescent="0.3">
      <c r="A914">
        <v>888</v>
      </c>
      <c r="B914">
        <f t="shared" ca="1" si="55"/>
        <v>33</v>
      </c>
      <c r="C914">
        <f t="shared" ca="1" si="56"/>
        <v>17</v>
      </c>
      <c r="D914">
        <f t="shared" ca="1" si="53"/>
        <v>50</v>
      </c>
      <c r="E914">
        <f t="shared" ca="1" si="54"/>
        <v>1</v>
      </c>
    </row>
    <row r="915" spans="1:5" x14ac:dyDescent="0.3">
      <c r="A915">
        <v>889</v>
      </c>
      <c r="B915">
        <f t="shared" ca="1" si="55"/>
        <v>13</v>
      </c>
      <c r="C915">
        <f t="shared" ca="1" si="56"/>
        <v>24</v>
      </c>
      <c r="D915">
        <f t="shared" ca="1" si="53"/>
        <v>37</v>
      </c>
      <c r="E915">
        <f t="shared" ca="1" si="54"/>
        <v>0</v>
      </c>
    </row>
    <row r="916" spans="1:5" x14ac:dyDescent="0.3">
      <c r="A916">
        <v>890</v>
      </c>
      <c r="B916">
        <f t="shared" ca="1" si="55"/>
        <v>32</v>
      </c>
      <c r="C916">
        <f t="shared" ca="1" si="56"/>
        <v>6</v>
      </c>
      <c r="D916">
        <f t="shared" ca="1" si="53"/>
        <v>38</v>
      </c>
      <c r="E916">
        <f t="shared" ca="1" si="54"/>
        <v>0</v>
      </c>
    </row>
    <row r="917" spans="1:5" x14ac:dyDescent="0.3">
      <c r="A917">
        <v>891</v>
      </c>
      <c r="B917">
        <f t="shared" ca="1" si="55"/>
        <v>52</v>
      </c>
      <c r="C917">
        <f t="shared" ca="1" si="56"/>
        <v>10</v>
      </c>
      <c r="D917">
        <f t="shared" ca="1" si="53"/>
        <v>62</v>
      </c>
      <c r="E917">
        <f t="shared" ca="1" si="54"/>
        <v>1</v>
      </c>
    </row>
    <row r="918" spans="1:5" x14ac:dyDescent="0.3">
      <c r="A918">
        <v>892</v>
      </c>
      <c r="B918">
        <f t="shared" ca="1" si="55"/>
        <v>46</v>
      </c>
      <c r="C918">
        <f t="shared" ca="1" si="56"/>
        <v>18</v>
      </c>
      <c r="D918">
        <f t="shared" ca="1" si="53"/>
        <v>64</v>
      </c>
      <c r="E918">
        <f t="shared" ca="1" si="54"/>
        <v>1</v>
      </c>
    </row>
    <row r="919" spans="1:5" x14ac:dyDescent="0.3">
      <c r="A919">
        <v>893</v>
      </c>
      <c r="B919">
        <f t="shared" ca="1" si="55"/>
        <v>36</v>
      </c>
      <c r="C919">
        <f t="shared" ca="1" si="56"/>
        <v>40</v>
      </c>
      <c r="D919">
        <f t="shared" ca="1" si="53"/>
        <v>76</v>
      </c>
      <c r="E919">
        <f t="shared" ca="1" si="54"/>
        <v>1</v>
      </c>
    </row>
    <row r="920" spans="1:5" x14ac:dyDescent="0.3">
      <c r="A920">
        <v>894</v>
      </c>
      <c r="B920">
        <f t="shared" ca="1" si="55"/>
        <v>55</v>
      </c>
      <c r="C920">
        <f t="shared" ca="1" si="56"/>
        <v>9</v>
      </c>
      <c r="D920">
        <f t="shared" ca="1" si="53"/>
        <v>64</v>
      </c>
      <c r="E920">
        <f t="shared" ca="1" si="54"/>
        <v>1</v>
      </c>
    </row>
    <row r="921" spans="1:5" x14ac:dyDescent="0.3">
      <c r="A921">
        <v>895</v>
      </c>
      <c r="B921">
        <f t="shared" ca="1" si="55"/>
        <v>38</v>
      </c>
      <c r="C921">
        <f t="shared" ca="1" si="56"/>
        <v>15</v>
      </c>
      <c r="D921">
        <f t="shared" ca="1" si="53"/>
        <v>53</v>
      </c>
      <c r="E921">
        <f t="shared" ca="1" si="54"/>
        <v>1</v>
      </c>
    </row>
    <row r="922" spans="1:5" x14ac:dyDescent="0.3">
      <c r="A922">
        <v>896</v>
      </c>
      <c r="B922">
        <f t="shared" ca="1" si="55"/>
        <v>10</v>
      </c>
      <c r="C922">
        <f t="shared" ca="1" si="56"/>
        <v>25</v>
      </c>
      <c r="D922">
        <f t="shared" ca="1" si="53"/>
        <v>35</v>
      </c>
      <c r="E922">
        <f t="shared" ca="1" si="54"/>
        <v>0</v>
      </c>
    </row>
    <row r="923" spans="1:5" x14ac:dyDescent="0.3">
      <c r="A923">
        <v>897</v>
      </c>
      <c r="B923">
        <f t="shared" ca="1" si="55"/>
        <v>12</v>
      </c>
      <c r="C923">
        <f t="shared" ca="1" si="56"/>
        <v>12</v>
      </c>
      <c r="D923">
        <f t="shared" ca="1" si="53"/>
        <v>24</v>
      </c>
      <c r="E923">
        <f t="shared" ca="1" si="54"/>
        <v>0</v>
      </c>
    </row>
    <row r="924" spans="1:5" x14ac:dyDescent="0.3">
      <c r="A924">
        <v>898</v>
      </c>
      <c r="B924">
        <f t="shared" ca="1" si="55"/>
        <v>56</v>
      </c>
      <c r="C924">
        <f t="shared" ca="1" si="56"/>
        <v>37</v>
      </c>
      <c r="D924">
        <f t="shared" ref="D924:D987" ca="1" si="57">B924+C924</f>
        <v>93</v>
      </c>
      <c r="E924">
        <f t="shared" ref="E924:E987" ca="1" si="58">IF(D924&gt;=40,1,0)</f>
        <v>1</v>
      </c>
    </row>
    <row r="925" spans="1:5" x14ac:dyDescent="0.3">
      <c r="A925">
        <v>899</v>
      </c>
      <c r="B925">
        <f t="shared" ref="B925:B988" ca="1" si="59">RANDBETWEEN(5,60)</f>
        <v>47</v>
      </c>
      <c r="C925">
        <f t="shared" ref="C925:C988" ca="1" si="60">RANDBETWEEN(2,40)</f>
        <v>19</v>
      </c>
      <c r="D925">
        <f t="shared" ca="1" si="57"/>
        <v>66</v>
      </c>
      <c r="E925">
        <f t="shared" ca="1" si="58"/>
        <v>1</v>
      </c>
    </row>
    <row r="926" spans="1:5" x14ac:dyDescent="0.3">
      <c r="A926">
        <v>900</v>
      </c>
      <c r="B926">
        <f t="shared" ca="1" si="59"/>
        <v>30</v>
      </c>
      <c r="C926">
        <f t="shared" ca="1" si="60"/>
        <v>18</v>
      </c>
      <c r="D926">
        <f t="shared" ca="1" si="57"/>
        <v>48</v>
      </c>
      <c r="E926">
        <f t="shared" ca="1" si="58"/>
        <v>1</v>
      </c>
    </row>
    <row r="927" spans="1:5" x14ac:dyDescent="0.3">
      <c r="A927">
        <v>901</v>
      </c>
      <c r="B927">
        <f t="shared" ca="1" si="59"/>
        <v>22</v>
      </c>
      <c r="C927">
        <f t="shared" ca="1" si="60"/>
        <v>17</v>
      </c>
      <c r="D927">
        <f t="shared" ca="1" si="57"/>
        <v>39</v>
      </c>
      <c r="E927">
        <f t="shared" ca="1" si="58"/>
        <v>0</v>
      </c>
    </row>
    <row r="928" spans="1:5" x14ac:dyDescent="0.3">
      <c r="A928">
        <v>902</v>
      </c>
      <c r="B928">
        <f t="shared" ca="1" si="59"/>
        <v>43</v>
      </c>
      <c r="C928">
        <f t="shared" ca="1" si="60"/>
        <v>33</v>
      </c>
      <c r="D928">
        <f t="shared" ca="1" si="57"/>
        <v>76</v>
      </c>
      <c r="E928">
        <f t="shared" ca="1" si="58"/>
        <v>1</v>
      </c>
    </row>
    <row r="929" spans="1:5" x14ac:dyDescent="0.3">
      <c r="A929">
        <v>903</v>
      </c>
      <c r="B929">
        <f t="shared" ca="1" si="59"/>
        <v>14</v>
      </c>
      <c r="C929">
        <f t="shared" ca="1" si="60"/>
        <v>6</v>
      </c>
      <c r="D929">
        <f t="shared" ca="1" si="57"/>
        <v>20</v>
      </c>
      <c r="E929">
        <f t="shared" ca="1" si="58"/>
        <v>0</v>
      </c>
    </row>
    <row r="930" spans="1:5" x14ac:dyDescent="0.3">
      <c r="A930">
        <v>904</v>
      </c>
      <c r="B930">
        <f t="shared" ca="1" si="59"/>
        <v>8</v>
      </c>
      <c r="C930">
        <f t="shared" ca="1" si="60"/>
        <v>33</v>
      </c>
      <c r="D930">
        <f t="shared" ca="1" si="57"/>
        <v>41</v>
      </c>
      <c r="E930">
        <f t="shared" ca="1" si="58"/>
        <v>1</v>
      </c>
    </row>
    <row r="931" spans="1:5" x14ac:dyDescent="0.3">
      <c r="A931">
        <v>905</v>
      </c>
      <c r="B931">
        <f t="shared" ca="1" si="59"/>
        <v>49</v>
      </c>
      <c r="C931">
        <f t="shared" ca="1" si="60"/>
        <v>4</v>
      </c>
      <c r="D931">
        <f t="shared" ca="1" si="57"/>
        <v>53</v>
      </c>
      <c r="E931">
        <f t="shared" ca="1" si="58"/>
        <v>1</v>
      </c>
    </row>
    <row r="932" spans="1:5" x14ac:dyDescent="0.3">
      <c r="A932">
        <v>906</v>
      </c>
      <c r="B932">
        <f t="shared" ca="1" si="59"/>
        <v>54</v>
      </c>
      <c r="C932">
        <f t="shared" ca="1" si="60"/>
        <v>39</v>
      </c>
      <c r="D932">
        <f t="shared" ca="1" si="57"/>
        <v>93</v>
      </c>
      <c r="E932">
        <f t="shared" ca="1" si="58"/>
        <v>1</v>
      </c>
    </row>
    <row r="933" spans="1:5" x14ac:dyDescent="0.3">
      <c r="A933">
        <v>907</v>
      </c>
      <c r="B933">
        <f t="shared" ca="1" si="59"/>
        <v>60</v>
      </c>
      <c r="C933">
        <f t="shared" ca="1" si="60"/>
        <v>13</v>
      </c>
      <c r="D933">
        <f t="shared" ca="1" si="57"/>
        <v>73</v>
      </c>
      <c r="E933">
        <f t="shared" ca="1" si="58"/>
        <v>1</v>
      </c>
    </row>
    <row r="934" spans="1:5" x14ac:dyDescent="0.3">
      <c r="A934">
        <v>908</v>
      </c>
      <c r="B934">
        <f t="shared" ca="1" si="59"/>
        <v>8</v>
      </c>
      <c r="C934">
        <f t="shared" ca="1" si="60"/>
        <v>36</v>
      </c>
      <c r="D934">
        <f t="shared" ca="1" si="57"/>
        <v>44</v>
      </c>
      <c r="E934">
        <f t="shared" ca="1" si="58"/>
        <v>1</v>
      </c>
    </row>
    <row r="935" spans="1:5" x14ac:dyDescent="0.3">
      <c r="A935">
        <v>909</v>
      </c>
      <c r="B935">
        <f t="shared" ca="1" si="59"/>
        <v>22</v>
      </c>
      <c r="C935">
        <f t="shared" ca="1" si="60"/>
        <v>37</v>
      </c>
      <c r="D935">
        <f t="shared" ca="1" si="57"/>
        <v>59</v>
      </c>
      <c r="E935">
        <f t="shared" ca="1" si="58"/>
        <v>1</v>
      </c>
    </row>
    <row r="936" spans="1:5" x14ac:dyDescent="0.3">
      <c r="A936">
        <v>910</v>
      </c>
      <c r="B936">
        <f t="shared" ca="1" si="59"/>
        <v>48</v>
      </c>
      <c r="C936">
        <f t="shared" ca="1" si="60"/>
        <v>21</v>
      </c>
      <c r="D936">
        <f t="shared" ca="1" si="57"/>
        <v>69</v>
      </c>
      <c r="E936">
        <f t="shared" ca="1" si="58"/>
        <v>1</v>
      </c>
    </row>
    <row r="937" spans="1:5" x14ac:dyDescent="0.3">
      <c r="A937">
        <v>911</v>
      </c>
      <c r="B937">
        <f t="shared" ca="1" si="59"/>
        <v>52</v>
      </c>
      <c r="C937">
        <f t="shared" ca="1" si="60"/>
        <v>35</v>
      </c>
      <c r="D937">
        <f t="shared" ca="1" si="57"/>
        <v>87</v>
      </c>
      <c r="E937">
        <f t="shared" ca="1" si="58"/>
        <v>1</v>
      </c>
    </row>
    <row r="938" spans="1:5" x14ac:dyDescent="0.3">
      <c r="A938">
        <v>912</v>
      </c>
      <c r="B938">
        <f t="shared" ca="1" si="59"/>
        <v>18</v>
      </c>
      <c r="C938">
        <f t="shared" ca="1" si="60"/>
        <v>14</v>
      </c>
      <c r="D938">
        <f t="shared" ca="1" si="57"/>
        <v>32</v>
      </c>
      <c r="E938">
        <f t="shared" ca="1" si="58"/>
        <v>0</v>
      </c>
    </row>
    <row r="939" spans="1:5" x14ac:dyDescent="0.3">
      <c r="A939">
        <v>913</v>
      </c>
      <c r="B939">
        <f t="shared" ca="1" si="59"/>
        <v>37</v>
      </c>
      <c r="C939">
        <f t="shared" ca="1" si="60"/>
        <v>38</v>
      </c>
      <c r="D939">
        <f t="shared" ca="1" si="57"/>
        <v>75</v>
      </c>
      <c r="E939">
        <f t="shared" ca="1" si="58"/>
        <v>1</v>
      </c>
    </row>
    <row r="940" spans="1:5" x14ac:dyDescent="0.3">
      <c r="A940">
        <v>914</v>
      </c>
      <c r="B940">
        <f t="shared" ca="1" si="59"/>
        <v>57</v>
      </c>
      <c r="C940">
        <f t="shared" ca="1" si="60"/>
        <v>11</v>
      </c>
      <c r="D940">
        <f t="shared" ca="1" si="57"/>
        <v>68</v>
      </c>
      <c r="E940">
        <f t="shared" ca="1" si="58"/>
        <v>1</v>
      </c>
    </row>
    <row r="941" spans="1:5" x14ac:dyDescent="0.3">
      <c r="A941">
        <v>915</v>
      </c>
      <c r="B941">
        <f t="shared" ca="1" si="59"/>
        <v>30</v>
      </c>
      <c r="C941">
        <f t="shared" ca="1" si="60"/>
        <v>27</v>
      </c>
      <c r="D941">
        <f t="shared" ca="1" si="57"/>
        <v>57</v>
      </c>
      <c r="E941">
        <f t="shared" ca="1" si="58"/>
        <v>1</v>
      </c>
    </row>
    <row r="942" spans="1:5" x14ac:dyDescent="0.3">
      <c r="A942">
        <v>916</v>
      </c>
      <c r="B942">
        <f t="shared" ca="1" si="59"/>
        <v>21</v>
      </c>
      <c r="C942">
        <f t="shared" ca="1" si="60"/>
        <v>23</v>
      </c>
      <c r="D942">
        <f t="shared" ca="1" si="57"/>
        <v>44</v>
      </c>
      <c r="E942">
        <f t="shared" ca="1" si="58"/>
        <v>1</v>
      </c>
    </row>
    <row r="943" spans="1:5" x14ac:dyDescent="0.3">
      <c r="A943">
        <v>917</v>
      </c>
      <c r="B943">
        <f t="shared" ca="1" si="59"/>
        <v>47</v>
      </c>
      <c r="C943">
        <f t="shared" ca="1" si="60"/>
        <v>39</v>
      </c>
      <c r="D943">
        <f t="shared" ca="1" si="57"/>
        <v>86</v>
      </c>
      <c r="E943">
        <f t="shared" ca="1" si="58"/>
        <v>1</v>
      </c>
    </row>
    <row r="944" spans="1:5" x14ac:dyDescent="0.3">
      <c r="A944">
        <v>918</v>
      </c>
      <c r="B944">
        <f t="shared" ca="1" si="59"/>
        <v>9</v>
      </c>
      <c r="C944">
        <f t="shared" ca="1" si="60"/>
        <v>29</v>
      </c>
      <c r="D944">
        <f t="shared" ca="1" si="57"/>
        <v>38</v>
      </c>
      <c r="E944">
        <f t="shared" ca="1" si="58"/>
        <v>0</v>
      </c>
    </row>
    <row r="945" spans="1:5" x14ac:dyDescent="0.3">
      <c r="A945">
        <v>919</v>
      </c>
      <c r="B945">
        <f t="shared" ca="1" si="59"/>
        <v>60</v>
      </c>
      <c r="C945">
        <f t="shared" ca="1" si="60"/>
        <v>27</v>
      </c>
      <c r="D945">
        <f t="shared" ca="1" si="57"/>
        <v>87</v>
      </c>
      <c r="E945">
        <f t="shared" ca="1" si="58"/>
        <v>1</v>
      </c>
    </row>
    <row r="946" spans="1:5" x14ac:dyDescent="0.3">
      <c r="A946">
        <v>920</v>
      </c>
      <c r="B946">
        <f t="shared" ca="1" si="59"/>
        <v>44</v>
      </c>
      <c r="C946">
        <f t="shared" ca="1" si="60"/>
        <v>22</v>
      </c>
      <c r="D946">
        <f t="shared" ca="1" si="57"/>
        <v>66</v>
      </c>
      <c r="E946">
        <f t="shared" ca="1" si="58"/>
        <v>1</v>
      </c>
    </row>
    <row r="947" spans="1:5" x14ac:dyDescent="0.3">
      <c r="A947">
        <v>921</v>
      </c>
      <c r="B947">
        <f t="shared" ca="1" si="59"/>
        <v>15</v>
      </c>
      <c r="C947">
        <f t="shared" ca="1" si="60"/>
        <v>26</v>
      </c>
      <c r="D947">
        <f t="shared" ca="1" si="57"/>
        <v>41</v>
      </c>
      <c r="E947">
        <f t="shared" ca="1" si="58"/>
        <v>1</v>
      </c>
    </row>
    <row r="948" spans="1:5" x14ac:dyDescent="0.3">
      <c r="A948">
        <v>922</v>
      </c>
      <c r="B948">
        <f t="shared" ca="1" si="59"/>
        <v>16</v>
      </c>
      <c r="C948">
        <f t="shared" ca="1" si="60"/>
        <v>10</v>
      </c>
      <c r="D948">
        <f t="shared" ca="1" si="57"/>
        <v>26</v>
      </c>
      <c r="E948">
        <f t="shared" ca="1" si="58"/>
        <v>0</v>
      </c>
    </row>
    <row r="949" spans="1:5" x14ac:dyDescent="0.3">
      <c r="A949">
        <v>923</v>
      </c>
      <c r="B949">
        <f t="shared" ca="1" si="59"/>
        <v>36</v>
      </c>
      <c r="C949">
        <f t="shared" ca="1" si="60"/>
        <v>27</v>
      </c>
      <c r="D949">
        <f t="shared" ca="1" si="57"/>
        <v>63</v>
      </c>
      <c r="E949">
        <f t="shared" ca="1" si="58"/>
        <v>1</v>
      </c>
    </row>
    <row r="950" spans="1:5" x14ac:dyDescent="0.3">
      <c r="A950">
        <v>924</v>
      </c>
      <c r="B950">
        <f t="shared" ca="1" si="59"/>
        <v>56</v>
      </c>
      <c r="C950">
        <f t="shared" ca="1" si="60"/>
        <v>20</v>
      </c>
      <c r="D950">
        <f t="shared" ca="1" si="57"/>
        <v>76</v>
      </c>
      <c r="E950">
        <f t="shared" ca="1" si="58"/>
        <v>1</v>
      </c>
    </row>
    <row r="951" spans="1:5" x14ac:dyDescent="0.3">
      <c r="A951">
        <v>925</v>
      </c>
      <c r="B951">
        <f t="shared" ca="1" si="59"/>
        <v>50</v>
      </c>
      <c r="C951">
        <f t="shared" ca="1" si="60"/>
        <v>39</v>
      </c>
      <c r="D951">
        <f t="shared" ca="1" si="57"/>
        <v>89</v>
      </c>
      <c r="E951">
        <f t="shared" ca="1" si="58"/>
        <v>1</v>
      </c>
    </row>
    <row r="952" spans="1:5" x14ac:dyDescent="0.3">
      <c r="A952">
        <v>926</v>
      </c>
      <c r="B952">
        <f t="shared" ca="1" si="59"/>
        <v>42</v>
      </c>
      <c r="C952">
        <f t="shared" ca="1" si="60"/>
        <v>13</v>
      </c>
      <c r="D952">
        <f t="shared" ca="1" si="57"/>
        <v>55</v>
      </c>
      <c r="E952">
        <f t="shared" ca="1" si="58"/>
        <v>1</v>
      </c>
    </row>
    <row r="953" spans="1:5" x14ac:dyDescent="0.3">
      <c r="A953">
        <v>927</v>
      </c>
      <c r="B953">
        <f t="shared" ca="1" si="59"/>
        <v>58</v>
      </c>
      <c r="C953">
        <f t="shared" ca="1" si="60"/>
        <v>6</v>
      </c>
      <c r="D953">
        <f t="shared" ca="1" si="57"/>
        <v>64</v>
      </c>
      <c r="E953">
        <f t="shared" ca="1" si="58"/>
        <v>1</v>
      </c>
    </row>
    <row r="954" spans="1:5" x14ac:dyDescent="0.3">
      <c r="A954">
        <v>928</v>
      </c>
      <c r="B954">
        <f t="shared" ca="1" si="59"/>
        <v>29</v>
      </c>
      <c r="C954">
        <f t="shared" ca="1" si="60"/>
        <v>40</v>
      </c>
      <c r="D954">
        <f t="shared" ca="1" si="57"/>
        <v>69</v>
      </c>
      <c r="E954">
        <f t="shared" ca="1" si="58"/>
        <v>1</v>
      </c>
    </row>
    <row r="955" spans="1:5" x14ac:dyDescent="0.3">
      <c r="A955">
        <v>929</v>
      </c>
      <c r="B955">
        <f t="shared" ca="1" si="59"/>
        <v>50</v>
      </c>
      <c r="C955">
        <f t="shared" ca="1" si="60"/>
        <v>24</v>
      </c>
      <c r="D955">
        <f t="shared" ca="1" si="57"/>
        <v>74</v>
      </c>
      <c r="E955">
        <f t="shared" ca="1" si="58"/>
        <v>1</v>
      </c>
    </row>
    <row r="956" spans="1:5" x14ac:dyDescent="0.3">
      <c r="A956">
        <v>930</v>
      </c>
      <c r="B956">
        <f t="shared" ca="1" si="59"/>
        <v>44</v>
      </c>
      <c r="C956">
        <f t="shared" ca="1" si="60"/>
        <v>34</v>
      </c>
      <c r="D956">
        <f t="shared" ca="1" si="57"/>
        <v>78</v>
      </c>
      <c r="E956">
        <f t="shared" ca="1" si="58"/>
        <v>1</v>
      </c>
    </row>
    <row r="957" spans="1:5" x14ac:dyDescent="0.3">
      <c r="A957">
        <v>931</v>
      </c>
      <c r="B957">
        <f t="shared" ca="1" si="59"/>
        <v>54</v>
      </c>
      <c r="C957">
        <f t="shared" ca="1" si="60"/>
        <v>11</v>
      </c>
      <c r="D957">
        <f t="shared" ca="1" si="57"/>
        <v>65</v>
      </c>
      <c r="E957">
        <f t="shared" ca="1" si="58"/>
        <v>1</v>
      </c>
    </row>
    <row r="958" spans="1:5" x14ac:dyDescent="0.3">
      <c r="A958">
        <v>932</v>
      </c>
      <c r="B958">
        <f t="shared" ca="1" si="59"/>
        <v>26</v>
      </c>
      <c r="C958">
        <f t="shared" ca="1" si="60"/>
        <v>29</v>
      </c>
      <c r="D958">
        <f t="shared" ca="1" si="57"/>
        <v>55</v>
      </c>
      <c r="E958">
        <f t="shared" ca="1" si="58"/>
        <v>1</v>
      </c>
    </row>
    <row r="959" spans="1:5" x14ac:dyDescent="0.3">
      <c r="A959">
        <v>933</v>
      </c>
      <c r="B959">
        <f t="shared" ca="1" si="59"/>
        <v>21</v>
      </c>
      <c r="C959">
        <f t="shared" ca="1" si="60"/>
        <v>24</v>
      </c>
      <c r="D959">
        <f t="shared" ca="1" si="57"/>
        <v>45</v>
      </c>
      <c r="E959">
        <f t="shared" ca="1" si="58"/>
        <v>1</v>
      </c>
    </row>
    <row r="960" spans="1:5" x14ac:dyDescent="0.3">
      <c r="A960">
        <v>934</v>
      </c>
      <c r="B960">
        <f t="shared" ca="1" si="59"/>
        <v>57</v>
      </c>
      <c r="C960">
        <f t="shared" ca="1" si="60"/>
        <v>5</v>
      </c>
      <c r="D960">
        <f t="shared" ca="1" si="57"/>
        <v>62</v>
      </c>
      <c r="E960">
        <f t="shared" ca="1" si="58"/>
        <v>1</v>
      </c>
    </row>
    <row r="961" spans="1:5" x14ac:dyDescent="0.3">
      <c r="A961">
        <v>935</v>
      </c>
      <c r="B961">
        <f t="shared" ca="1" si="59"/>
        <v>59</v>
      </c>
      <c r="C961">
        <f t="shared" ca="1" si="60"/>
        <v>33</v>
      </c>
      <c r="D961">
        <f t="shared" ca="1" si="57"/>
        <v>92</v>
      </c>
      <c r="E961">
        <f t="shared" ca="1" si="58"/>
        <v>1</v>
      </c>
    </row>
    <row r="962" spans="1:5" x14ac:dyDescent="0.3">
      <c r="A962">
        <v>936</v>
      </c>
      <c r="B962">
        <f t="shared" ca="1" si="59"/>
        <v>35</v>
      </c>
      <c r="C962">
        <f t="shared" ca="1" si="60"/>
        <v>39</v>
      </c>
      <c r="D962">
        <f t="shared" ca="1" si="57"/>
        <v>74</v>
      </c>
      <c r="E962">
        <f t="shared" ca="1" si="58"/>
        <v>1</v>
      </c>
    </row>
    <row r="963" spans="1:5" x14ac:dyDescent="0.3">
      <c r="A963">
        <v>937</v>
      </c>
      <c r="B963">
        <f t="shared" ca="1" si="59"/>
        <v>22</v>
      </c>
      <c r="C963">
        <f t="shared" ca="1" si="60"/>
        <v>9</v>
      </c>
      <c r="D963">
        <f t="shared" ca="1" si="57"/>
        <v>31</v>
      </c>
      <c r="E963">
        <f t="shared" ca="1" si="58"/>
        <v>0</v>
      </c>
    </row>
    <row r="964" spans="1:5" x14ac:dyDescent="0.3">
      <c r="A964">
        <v>938</v>
      </c>
      <c r="B964">
        <f t="shared" ca="1" si="59"/>
        <v>28</v>
      </c>
      <c r="C964">
        <f t="shared" ca="1" si="60"/>
        <v>27</v>
      </c>
      <c r="D964">
        <f t="shared" ca="1" si="57"/>
        <v>55</v>
      </c>
      <c r="E964">
        <f t="shared" ca="1" si="58"/>
        <v>1</v>
      </c>
    </row>
    <row r="965" spans="1:5" x14ac:dyDescent="0.3">
      <c r="A965">
        <v>939</v>
      </c>
      <c r="B965">
        <f t="shared" ca="1" si="59"/>
        <v>40</v>
      </c>
      <c r="C965">
        <f t="shared" ca="1" si="60"/>
        <v>36</v>
      </c>
      <c r="D965">
        <f t="shared" ca="1" si="57"/>
        <v>76</v>
      </c>
      <c r="E965">
        <f t="shared" ca="1" si="58"/>
        <v>1</v>
      </c>
    </row>
    <row r="966" spans="1:5" x14ac:dyDescent="0.3">
      <c r="A966">
        <v>940</v>
      </c>
      <c r="B966">
        <f t="shared" ca="1" si="59"/>
        <v>38</v>
      </c>
      <c r="C966">
        <f t="shared" ca="1" si="60"/>
        <v>36</v>
      </c>
      <c r="D966">
        <f t="shared" ca="1" si="57"/>
        <v>74</v>
      </c>
      <c r="E966">
        <f t="shared" ca="1" si="58"/>
        <v>1</v>
      </c>
    </row>
    <row r="967" spans="1:5" x14ac:dyDescent="0.3">
      <c r="A967">
        <v>941</v>
      </c>
      <c r="B967">
        <f t="shared" ca="1" si="59"/>
        <v>10</v>
      </c>
      <c r="C967">
        <f t="shared" ca="1" si="60"/>
        <v>13</v>
      </c>
      <c r="D967">
        <f t="shared" ca="1" si="57"/>
        <v>23</v>
      </c>
      <c r="E967">
        <f t="shared" ca="1" si="58"/>
        <v>0</v>
      </c>
    </row>
    <row r="968" spans="1:5" x14ac:dyDescent="0.3">
      <c r="A968">
        <v>942</v>
      </c>
      <c r="B968">
        <f t="shared" ca="1" si="59"/>
        <v>47</v>
      </c>
      <c r="C968">
        <f t="shared" ca="1" si="60"/>
        <v>33</v>
      </c>
      <c r="D968">
        <f t="shared" ca="1" si="57"/>
        <v>80</v>
      </c>
      <c r="E968">
        <f t="shared" ca="1" si="58"/>
        <v>1</v>
      </c>
    </row>
    <row r="969" spans="1:5" x14ac:dyDescent="0.3">
      <c r="A969">
        <v>943</v>
      </c>
      <c r="B969">
        <f t="shared" ca="1" si="59"/>
        <v>26</v>
      </c>
      <c r="C969">
        <f t="shared" ca="1" si="60"/>
        <v>13</v>
      </c>
      <c r="D969">
        <f t="shared" ca="1" si="57"/>
        <v>39</v>
      </c>
      <c r="E969">
        <f t="shared" ca="1" si="58"/>
        <v>0</v>
      </c>
    </row>
    <row r="970" spans="1:5" x14ac:dyDescent="0.3">
      <c r="A970">
        <v>944</v>
      </c>
      <c r="B970">
        <f t="shared" ca="1" si="59"/>
        <v>45</v>
      </c>
      <c r="C970">
        <f t="shared" ca="1" si="60"/>
        <v>12</v>
      </c>
      <c r="D970">
        <f t="shared" ca="1" si="57"/>
        <v>57</v>
      </c>
      <c r="E970">
        <f t="shared" ca="1" si="58"/>
        <v>1</v>
      </c>
    </row>
    <row r="971" spans="1:5" x14ac:dyDescent="0.3">
      <c r="A971">
        <v>945</v>
      </c>
      <c r="B971">
        <f t="shared" ca="1" si="59"/>
        <v>10</v>
      </c>
      <c r="C971">
        <f t="shared" ca="1" si="60"/>
        <v>32</v>
      </c>
      <c r="D971">
        <f t="shared" ca="1" si="57"/>
        <v>42</v>
      </c>
      <c r="E971">
        <f t="shared" ca="1" si="58"/>
        <v>1</v>
      </c>
    </row>
    <row r="972" spans="1:5" x14ac:dyDescent="0.3">
      <c r="A972">
        <v>946</v>
      </c>
      <c r="B972">
        <f t="shared" ca="1" si="59"/>
        <v>6</v>
      </c>
      <c r="C972">
        <f t="shared" ca="1" si="60"/>
        <v>16</v>
      </c>
      <c r="D972">
        <f t="shared" ca="1" si="57"/>
        <v>22</v>
      </c>
      <c r="E972">
        <f t="shared" ca="1" si="58"/>
        <v>0</v>
      </c>
    </row>
    <row r="973" spans="1:5" x14ac:dyDescent="0.3">
      <c r="A973">
        <v>947</v>
      </c>
      <c r="B973">
        <f t="shared" ca="1" si="59"/>
        <v>57</v>
      </c>
      <c r="C973">
        <f t="shared" ca="1" si="60"/>
        <v>13</v>
      </c>
      <c r="D973">
        <f t="shared" ca="1" si="57"/>
        <v>70</v>
      </c>
      <c r="E973">
        <f t="shared" ca="1" si="58"/>
        <v>1</v>
      </c>
    </row>
    <row r="974" spans="1:5" x14ac:dyDescent="0.3">
      <c r="A974">
        <v>948</v>
      </c>
      <c r="B974">
        <f t="shared" ca="1" si="59"/>
        <v>54</v>
      </c>
      <c r="C974">
        <f t="shared" ca="1" si="60"/>
        <v>3</v>
      </c>
      <c r="D974">
        <f t="shared" ca="1" si="57"/>
        <v>57</v>
      </c>
      <c r="E974">
        <f t="shared" ca="1" si="58"/>
        <v>1</v>
      </c>
    </row>
    <row r="975" spans="1:5" x14ac:dyDescent="0.3">
      <c r="A975">
        <v>949</v>
      </c>
      <c r="B975">
        <f t="shared" ca="1" si="59"/>
        <v>37</v>
      </c>
      <c r="C975">
        <f t="shared" ca="1" si="60"/>
        <v>3</v>
      </c>
      <c r="D975">
        <f t="shared" ca="1" si="57"/>
        <v>40</v>
      </c>
      <c r="E975">
        <f t="shared" ca="1" si="58"/>
        <v>1</v>
      </c>
    </row>
    <row r="976" spans="1:5" x14ac:dyDescent="0.3">
      <c r="A976">
        <v>950</v>
      </c>
      <c r="B976">
        <f t="shared" ca="1" si="59"/>
        <v>48</v>
      </c>
      <c r="C976">
        <f t="shared" ca="1" si="60"/>
        <v>38</v>
      </c>
      <c r="D976">
        <f t="shared" ca="1" si="57"/>
        <v>86</v>
      </c>
      <c r="E976">
        <f t="shared" ca="1" si="58"/>
        <v>1</v>
      </c>
    </row>
    <row r="977" spans="1:5" x14ac:dyDescent="0.3">
      <c r="A977">
        <v>951</v>
      </c>
      <c r="B977">
        <f t="shared" ca="1" si="59"/>
        <v>28</v>
      </c>
      <c r="C977">
        <f t="shared" ca="1" si="60"/>
        <v>29</v>
      </c>
      <c r="D977">
        <f t="shared" ca="1" si="57"/>
        <v>57</v>
      </c>
      <c r="E977">
        <f t="shared" ca="1" si="58"/>
        <v>1</v>
      </c>
    </row>
    <row r="978" spans="1:5" x14ac:dyDescent="0.3">
      <c r="A978">
        <v>952</v>
      </c>
      <c r="B978">
        <f t="shared" ca="1" si="59"/>
        <v>57</v>
      </c>
      <c r="C978">
        <f t="shared" ca="1" si="60"/>
        <v>9</v>
      </c>
      <c r="D978">
        <f t="shared" ca="1" si="57"/>
        <v>66</v>
      </c>
      <c r="E978">
        <f t="shared" ca="1" si="58"/>
        <v>1</v>
      </c>
    </row>
    <row r="979" spans="1:5" x14ac:dyDescent="0.3">
      <c r="A979">
        <v>953</v>
      </c>
      <c r="B979">
        <f t="shared" ca="1" si="59"/>
        <v>44</v>
      </c>
      <c r="C979">
        <f t="shared" ca="1" si="60"/>
        <v>11</v>
      </c>
      <c r="D979">
        <f t="shared" ca="1" si="57"/>
        <v>55</v>
      </c>
      <c r="E979">
        <f t="shared" ca="1" si="58"/>
        <v>1</v>
      </c>
    </row>
    <row r="980" spans="1:5" x14ac:dyDescent="0.3">
      <c r="A980">
        <v>954</v>
      </c>
      <c r="B980">
        <f t="shared" ca="1" si="59"/>
        <v>13</v>
      </c>
      <c r="C980">
        <f t="shared" ca="1" si="60"/>
        <v>19</v>
      </c>
      <c r="D980">
        <f t="shared" ca="1" si="57"/>
        <v>32</v>
      </c>
      <c r="E980">
        <f t="shared" ca="1" si="58"/>
        <v>0</v>
      </c>
    </row>
    <row r="981" spans="1:5" x14ac:dyDescent="0.3">
      <c r="A981">
        <v>955</v>
      </c>
      <c r="B981">
        <f t="shared" ca="1" si="59"/>
        <v>6</v>
      </c>
      <c r="C981">
        <f t="shared" ca="1" si="60"/>
        <v>36</v>
      </c>
      <c r="D981">
        <f t="shared" ca="1" si="57"/>
        <v>42</v>
      </c>
      <c r="E981">
        <f t="shared" ca="1" si="58"/>
        <v>1</v>
      </c>
    </row>
    <row r="982" spans="1:5" x14ac:dyDescent="0.3">
      <c r="A982">
        <v>956</v>
      </c>
      <c r="B982">
        <f t="shared" ca="1" si="59"/>
        <v>60</v>
      </c>
      <c r="C982">
        <f t="shared" ca="1" si="60"/>
        <v>31</v>
      </c>
      <c r="D982">
        <f t="shared" ca="1" si="57"/>
        <v>91</v>
      </c>
      <c r="E982">
        <f t="shared" ca="1" si="58"/>
        <v>1</v>
      </c>
    </row>
    <row r="983" spans="1:5" x14ac:dyDescent="0.3">
      <c r="A983">
        <v>957</v>
      </c>
      <c r="B983">
        <f t="shared" ca="1" si="59"/>
        <v>60</v>
      </c>
      <c r="C983">
        <f t="shared" ca="1" si="60"/>
        <v>5</v>
      </c>
      <c r="D983">
        <f t="shared" ca="1" si="57"/>
        <v>65</v>
      </c>
      <c r="E983">
        <f t="shared" ca="1" si="58"/>
        <v>1</v>
      </c>
    </row>
    <row r="984" spans="1:5" x14ac:dyDescent="0.3">
      <c r="A984">
        <v>958</v>
      </c>
      <c r="B984">
        <f t="shared" ca="1" si="59"/>
        <v>56</v>
      </c>
      <c r="C984">
        <f t="shared" ca="1" si="60"/>
        <v>34</v>
      </c>
      <c r="D984">
        <f t="shared" ca="1" si="57"/>
        <v>90</v>
      </c>
      <c r="E984">
        <f t="shared" ca="1" si="58"/>
        <v>1</v>
      </c>
    </row>
    <row r="985" spans="1:5" x14ac:dyDescent="0.3">
      <c r="A985">
        <v>959</v>
      </c>
      <c r="B985">
        <f t="shared" ca="1" si="59"/>
        <v>38</v>
      </c>
      <c r="C985">
        <f t="shared" ca="1" si="60"/>
        <v>20</v>
      </c>
      <c r="D985">
        <f t="shared" ca="1" si="57"/>
        <v>58</v>
      </c>
      <c r="E985">
        <f t="shared" ca="1" si="58"/>
        <v>1</v>
      </c>
    </row>
    <row r="986" spans="1:5" x14ac:dyDescent="0.3">
      <c r="A986">
        <v>960</v>
      </c>
      <c r="B986">
        <f t="shared" ca="1" si="59"/>
        <v>58</v>
      </c>
      <c r="C986">
        <f t="shared" ca="1" si="60"/>
        <v>28</v>
      </c>
      <c r="D986">
        <f t="shared" ca="1" si="57"/>
        <v>86</v>
      </c>
      <c r="E986">
        <f t="shared" ca="1" si="58"/>
        <v>1</v>
      </c>
    </row>
    <row r="987" spans="1:5" x14ac:dyDescent="0.3">
      <c r="A987">
        <v>961</v>
      </c>
      <c r="B987">
        <f t="shared" ca="1" si="59"/>
        <v>21</v>
      </c>
      <c r="C987">
        <f t="shared" ca="1" si="60"/>
        <v>26</v>
      </c>
      <c r="D987">
        <f t="shared" ca="1" si="57"/>
        <v>47</v>
      </c>
      <c r="E987">
        <f t="shared" ca="1" si="58"/>
        <v>1</v>
      </c>
    </row>
    <row r="988" spans="1:5" x14ac:dyDescent="0.3">
      <c r="A988">
        <v>962</v>
      </c>
      <c r="B988">
        <f t="shared" ca="1" si="59"/>
        <v>46</v>
      </c>
      <c r="C988">
        <f t="shared" ca="1" si="60"/>
        <v>3</v>
      </c>
      <c r="D988">
        <f t="shared" ref="D988:D1026" ca="1" si="61">B988+C988</f>
        <v>49</v>
      </c>
      <c r="E988">
        <f t="shared" ref="E988:E1026" ca="1" si="62">IF(D988&gt;=40,1,0)</f>
        <v>1</v>
      </c>
    </row>
    <row r="989" spans="1:5" x14ac:dyDescent="0.3">
      <c r="A989">
        <v>963</v>
      </c>
      <c r="B989">
        <f t="shared" ref="B989:B1026" ca="1" si="63">RANDBETWEEN(5,60)</f>
        <v>25</v>
      </c>
      <c r="C989">
        <f t="shared" ref="C989:C1026" ca="1" si="64">RANDBETWEEN(2,40)</f>
        <v>28</v>
      </c>
      <c r="D989">
        <f t="shared" ca="1" si="61"/>
        <v>53</v>
      </c>
      <c r="E989">
        <f t="shared" ca="1" si="62"/>
        <v>1</v>
      </c>
    </row>
    <row r="990" spans="1:5" x14ac:dyDescent="0.3">
      <c r="A990">
        <v>964</v>
      </c>
      <c r="B990">
        <f t="shared" ca="1" si="63"/>
        <v>58</v>
      </c>
      <c r="C990">
        <f t="shared" ca="1" si="64"/>
        <v>30</v>
      </c>
      <c r="D990">
        <f t="shared" ca="1" si="61"/>
        <v>88</v>
      </c>
      <c r="E990">
        <f t="shared" ca="1" si="62"/>
        <v>1</v>
      </c>
    </row>
    <row r="991" spans="1:5" x14ac:dyDescent="0.3">
      <c r="A991">
        <v>965</v>
      </c>
      <c r="B991">
        <f t="shared" ca="1" si="63"/>
        <v>49</v>
      </c>
      <c r="C991">
        <f t="shared" ca="1" si="64"/>
        <v>11</v>
      </c>
      <c r="D991">
        <f t="shared" ca="1" si="61"/>
        <v>60</v>
      </c>
      <c r="E991">
        <f t="shared" ca="1" si="62"/>
        <v>1</v>
      </c>
    </row>
    <row r="992" spans="1:5" x14ac:dyDescent="0.3">
      <c r="A992">
        <v>966</v>
      </c>
      <c r="B992">
        <f t="shared" ca="1" si="63"/>
        <v>31</v>
      </c>
      <c r="C992">
        <f t="shared" ca="1" si="64"/>
        <v>40</v>
      </c>
      <c r="D992">
        <f t="shared" ca="1" si="61"/>
        <v>71</v>
      </c>
      <c r="E992">
        <f t="shared" ca="1" si="62"/>
        <v>1</v>
      </c>
    </row>
    <row r="993" spans="1:5" x14ac:dyDescent="0.3">
      <c r="A993">
        <v>967</v>
      </c>
      <c r="B993">
        <f t="shared" ca="1" si="63"/>
        <v>53</v>
      </c>
      <c r="C993">
        <f t="shared" ca="1" si="64"/>
        <v>27</v>
      </c>
      <c r="D993">
        <f t="shared" ca="1" si="61"/>
        <v>80</v>
      </c>
      <c r="E993">
        <f t="shared" ca="1" si="62"/>
        <v>1</v>
      </c>
    </row>
    <row r="994" spans="1:5" x14ac:dyDescent="0.3">
      <c r="A994">
        <v>968</v>
      </c>
      <c r="B994">
        <f t="shared" ca="1" si="63"/>
        <v>10</v>
      </c>
      <c r="C994">
        <f t="shared" ca="1" si="64"/>
        <v>21</v>
      </c>
      <c r="D994">
        <f t="shared" ca="1" si="61"/>
        <v>31</v>
      </c>
      <c r="E994">
        <f t="shared" ca="1" si="62"/>
        <v>0</v>
      </c>
    </row>
    <row r="995" spans="1:5" x14ac:dyDescent="0.3">
      <c r="A995">
        <v>969</v>
      </c>
      <c r="B995">
        <f t="shared" ca="1" si="63"/>
        <v>23</v>
      </c>
      <c r="C995">
        <f t="shared" ca="1" si="64"/>
        <v>21</v>
      </c>
      <c r="D995">
        <f t="shared" ca="1" si="61"/>
        <v>44</v>
      </c>
      <c r="E995">
        <f t="shared" ca="1" si="62"/>
        <v>1</v>
      </c>
    </row>
    <row r="996" spans="1:5" x14ac:dyDescent="0.3">
      <c r="A996">
        <v>970</v>
      </c>
      <c r="B996">
        <f t="shared" ca="1" si="63"/>
        <v>10</v>
      </c>
      <c r="C996">
        <f t="shared" ca="1" si="64"/>
        <v>31</v>
      </c>
      <c r="D996">
        <f t="shared" ca="1" si="61"/>
        <v>41</v>
      </c>
      <c r="E996">
        <f t="shared" ca="1" si="62"/>
        <v>1</v>
      </c>
    </row>
    <row r="997" spans="1:5" x14ac:dyDescent="0.3">
      <c r="A997">
        <v>971</v>
      </c>
      <c r="B997">
        <f t="shared" ca="1" si="63"/>
        <v>16</v>
      </c>
      <c r="C997">
        <f t="shared" ca="1" si="64"/>
        <v>24</v>
      </c>
      <c r="D997">
        <f t="shared" ca="1" si="61"/>
        <v>40</v>
      </c>
      <c r="E997">
        <f t="shared" ca="1" si="62"/>
        <v>1</v>
      </c>
    </row>
    <row r="998" spans="1:5" x14ac:dyDescent="0.3">
      <c r="A998">
        <v>972</v>
      </c>
      <c r="B998">
        <f t="shared" ca="1" si="63"/>
        <v>43</v>
      </c>
      <c r="C998">
        <f t="shared" ca="1" si="64"/>
        <v>6</v>
      </c>
      <c r="D998">
        <f t="shared" ca="1" si="61"/>
        <v>49</v>
      </c>
      <c r="E998">
        <f t="shared" ca="1" si="62"/>
        <v>1</v>
      </c>
    </row>
    <row r="999" spans="1:5" x14ac:dyDescent="0.3">
      <c r="A999">
        <v>973</v>
      </c>
      <c r="B999">
        <f t="shared" ca="1" si="63"/>
        <v>59</v>
      </c>
      <c r="C999">
        <f t="shared" ca="1" si="64"/>
        <v>10</v>
      </c>
      <c r="D999">
        <f t="shared" ca="1" si="61"/>
        <v>69</v>
      </c>
      <c r="E999">
        <f t="shared" ca="1" si="62"/>
        <v>1</v>
      </c>
    </row>
    <row r="1000" spans="1:5" x14ac:dyDescent="0.3">
      <c r="A1000">
        <v>974</v>
      </c>
      <c r="B1000">
        <f t="shared" ca="1" si="63"/>
        <v>23</v>
      </c>
      <c r="C1000">
        <f t="shared" ca="1" si="64"/>
        <v>28</v>
      </c>
      <c r="D1000">
        <f t="shared" ca="1" si="61"/>
        <v>51</v>
      </c>
      <c r="E1000">
        <f t="shared" ca="1" si="62"/>
        <v>1</v>
      </c>
    </row>
    <row r="1001" spans="1:5" x14ac:dyDescent="0.3">
      <c r="A1001">
        <v>975</v>
      </c>
      <c r="B1001">
        <f t="shared" ca="1" si="63"/>
        <v>40</v>
      </c>
      <c r="C1001">
        <f t="shared" ca="1" si="64"/>
        <v>11</v>
      </c>
      <c r="D1001">
        <f t="shared" ca="1" si="61"/>
        <v>51</v>
      </c>
      <c r="E1001">
        <f t="shared" ca="1" si="62"/>
        <v>1</v>
      </c>
    </row>
    <row r="1002" spans="1:5" x14ac:dyDescent="0.3">
      <c r="A1002">
        <v>976</v>
      </c>
      <c r="B1002">
        <f t="shared" ca="1" si="63"/>
        <v>57</v>
      </c>
      <c r="C1002">
        <f t="shared" ca="1" si="64"/>
        <v>7</v>
      </c>
      <c r="D1002">
        <f t="shared" ca="1" si="61"/>
        <v>64</v>
      </c>
      <c r="E1002">
        <f t="shared" ca="1" si="62"/>
        <v>1</v>
      </c>
    </row>
    <row r="1003" spans="1:5" x14ac:dyDescent="0.3">
      <c r="A1003">
        <v>977</v>
      </c>
      <c r="B1003">
        <f t="shared" ca="1" si="63"/>
        <v>6</v>
      </c>
      <c r="C1003">
        <f t="shared" ca="1" si="64"/>
        <v>17</v>
      </c>
      <c r="D1003">
        <f t="shared" ca="1" si="61"/>
        <v>23</v>
      </c>
      <c r="E1003">
        <f t="shared" ca="1" si="62"/>
        <v>0</v>
      </c>
    </row>
    <row r="1004" spans="1:5" x14ac:dyDescent="0.3">
      <c r="A1004">
        <v>978</v>
      </c>
      <c r="B1004">
        <f t="shared" ca="1" si="63"/>
        <v>41</v>
      </c>
      <c r="C1004">
        <f t="shared" ca="1" si="64"/>
        <v>39</v>
      </c>
      <c r="D1004">
        <f t="shared" ca="1" si="61"/>
        <v>80</v>
      </c>
      <c r="E1004">
        <f t="shared" ca="1" si="62"/>
        <v>1</v>
      </c>
    </row>
    <row r="1005" spans="1:5" x14ac:dyDescent="0.3">
      <c r="A1005">
        <v>979</v>
      </c>
      <c r="B1005">
        <f t="shared" ca="1" si="63"/>
        <v>17</v>
      </c>
      <c r="C1005">
        <f t="shared" ca="1" si="64"/>
        <v>5</v>
      </c>
      <c r="D1005">
        <f t="shared" ca="1" si="61"/>
        <v>22</v>
      </c>
      <c r="E1005">
        <f t="shared" ca="1" si="62"/>
        <v>0</v>
      </c>
    </row>
    <row r="1006" spans="1:5" x14ac:dyDescent="0.3">
      <c r="A1006">
        <v>980</v>
      </c>
      <c r="B1006">
        <f t="shared" ca="1" si="63"/>
        <v>46</v>
      </c>
      <c r="C1006">
        <f t="shared" ca="1" si="64"/>
        <v>33</v>
      </c>
      <c r="D1006">
        <f t="shared" ca="1" si="61"/>
        <v>79</v>
      </c>
      <c r="E1006">
        <f t="shared" ca="1" si="62"/>
        <v>1</v>
      </c>
    </row>
    <row r="1007" spans="1:5" x14ac:dyDescent="0.3">
      <c r="A1007">
        <v>981</v>
      </c>
      <c r="B1007">
        <f t="shared" ca="1" si="63"/>
        <v>20</v>
      </c>
      <c r="C1007">
        <f t="shared" ca="1" si="64"/>
        <v>6</v>
      </c>
      <c r="D1007">
        <f t="shared" ca="1" si="61"/>
        <v>26</v>
      </c>
      <c r="E1007">
        <f t="shared" ca="1" si="62"/>
        <v>0</v>
      </c>
    </row>
    <row r="1008" spans="1:5" x14ac:dyDescent="0.3">
      <c r="A1008">
        <v>982</v>
      </c>
      <c r="B1008">
        <f t="shared" ca="1" si="63"/>
        <v>55</v>
      </c>
      <c r="C1008">
        <f t="shared" ca="1" si="64"/>
        <v>18</v>
      </c>
      <c r="D1008">
        <f t="shared" ca="1" si="61"/>
        <v>73</v>
      </c>
      <c r="E1008">
        <f t="shared" ca="1" si="62"/>
        <v>1</v>
      </c>
    </row>
    <row r="1009" spans="1:5" x14ac:dyDescent="0.3">
      <c r="A1009">
        <v>983</v>
      </c>
      <c r="B1009">
        <f t="shared" ca="1" si="63"/>
        <v>42</v>
      </c>
      <c r="C1009">
        <f t="shared" ca="1" si="64"/>
        <v>9</v>
      </c>
      <c r="D1009">
        <f t="shared" ca="1" si="61"/>
        <v>51</v>
      </c>
      <c r="E1009">
        <f t="shared" ca="1" si="62"/>
        <v>1</v>
      </c>
    </row>
    <row r="1010" spans="1:5" x14ac:dyDescent="0.3">
      <c r="A1010">
        <v>984</v>
      </c>
      <c r="B1010">
        <f t="shared" ca="1" si="63"/>
        <v>24</v>
      </c>
      <c r="C1010">
        <f t="shared" ca="1" si="64"/>
        <v>38</v>
      </c>
      <c r="D1010">
        <f t="shared" ca="1" si="61"/>
        <v>62</v>
      </c>
      <c r="E1010">
        <f t="shared" ca="1" si="62"/>
        <v>1</v>
      </c>
    </row>
    <row r="1011" spans="1:5" x14ac:dyDescent="0.3">
      <c r="A1011">
        <v>985</v>
      </c>
      <c r="B1011">
        <f t="shared" ca="1" si="63"/>
        <v>9</v>
      </c>
      <c r="C1011">
        <f t="shared" ca="1" si="64"/>
        <v>29</v>
      </c>
      <c r="D1011">
        <f t="shared" ca="1" si="61"/>
        <v>38</v>
      </c>
      <c r="E1011">
        <f t="shared" ca="1" si="62"/>
        <v>0</v>
      </c>
    </row>
    <row r="1012" spans="1:5" x14ac:dyDescent="0.3">
      <c r="A1012">
        <v>986</v>
      </c>
      <c r="B1012">
        <f t="shared" ca="1" si="63"/>
        <v>55</v>
      </c>
      <c r="C1012">
        <f t="shared" ca="1" si="64"/>
        <v>24</v>
      </c>
      <c r="D1012">
        <f t="shared" ca="1" si="61"/>
        <v>79</v>
      </c>
      <c r="E1012">
        <f t="shared" ca="1" si="62"/>
        <v>1</v>
      </c>
    </row>
    <row r="1013" spans="1:5" x14ac:dyDescent="0.3">
      <c r="A1013">
        <v>987</v>
      </c>
      <c r="B1013">
        <f t="shared" ca="1" si="63"/>
        <v>8</v>
      </c>
      <c r="C1013">
        <f t="shared" ca="1" si="64"/>
        <v>25</v>
      </c>
      <c r="D1013">
        <f t="shared" ca="1" si="61"/>
        <v>33</v>
      </c>
      <c r="E1013">
        <f t="shared" ca="1" si="62"/>
        <v>0</v>
      </c>
    </row>
    <row r="1014" spans="1:5" x14ac:dyDescent="0.3">
      <c r="A1014">
        <v>988</v>
      </c>
      <c r="B1014">
        <f t="shared" ca="1" si="63"/>
        <v>58</v>
      </c>
      <c r="C1014">
        <f t="shared" ca="1" si="64"/>
        <v>15</v>
      </c>
      <c r="D1014">
        <f t="shared" ca="1" si="61"/>
        <v>73</v>
      </c>
      <c r="E1014">
        <f t="shared" ca="1" si="62"/>
        <v>1</v>
      </c>
    </row>
    <row r="1015" spans="1:5" x14ac:dyDescent="0.3">
      <c r="A1015">
        <v>989</v>
      </c>
      <c r="B1015">
        <f t="shared" ca="1" si="63"/>
        <v>37</v>
      </c>
      <c r="C1015">
        <f t="shared" ca="1" si="64"/>
        <v>2</v>
      </c>
      <c r="D1015">
        <f t="shared" ca="1" si="61"/>
        <v>39</v>
      </c>
      <c r="E1015">
        <f t="shared" ca="1" si="62"/>
        <v>0</v>
      </c>
    </row>
    <row r="1016" spans="1:5" x14ac:dyDescent="0.3">
      <c r="A1016">
        <v>990</v>
      </c>
      <c r="B1016">
        <f t="shared" ca="1" si="63"/>
        <v>35</v>
      </c>
      <c r="C1016">
        <f t="shared" ca="1" si="64"/>
        <v>27</v>
      </c>
      <c r="D1016">
        <f t="shared" ca="1" si="61"/>
        <v>62</v>
      </c>
      <c r="E1016">
        <f t="shared" ca="1" si="62"/>
        <v>1</v>
      </c>
    </row>
    <row r="1017" spans="1:5" x14ac:dyDescent="0.3">
      <c r="A1017">
        <v>991</v>
      </c>
      <c r="B1017">
        <f t="shared" ca="1" si="63"/>
        <v>44</v>
      </c>
      <c r="C1017">
        <f t="shared" ca="1" si="64"/>
        <v>40</v>
      </c>
      <c r="D1017">
        <f t="shared" ca="1" si="61"/>
        <v>84</v>
      </c>
      <c r="E1017">
        <f t="shared" ca="1" si="62"/>
        <v>1</v>
      </c>
    </row>
    <row r="1018" spans="1:5" x14ac:dyDescent="0.3">
      <c r="A1018">
        <v>992</v>
      </c>
      <c r="B1018">
        <f t="shared" ca="1" si="63"/>
        <v>34</v>
      </c>
      <c r="C1018">
        <f t="shared" ca="1" si="64"/>
        <v>8</v>
      </c>
      <c r="D1018">
        <f t="shared" ca="1" si="61"/>
        <v>42</v>
      </c>
      <c r="E1018">
        <f t="shared" ca="1" si="62"/>
        <v>1</v>
      </c>
    </row>
    <row r="1019" spans="1:5" x14ac:dyDescent="0.3">
      <c r="A1019">
        <v>993</v>
      </c>
      <c r="B1019">
        <f t="shared" ca="1" si="63"/>
        <v>9</v>
      </c>
      <c r="C1019">
        <f t="shared" ca="1" si="64"/>
        <v>8</v>
      </c>
      <c r="D1019">
        <f t="shared" ca="1" si="61"/>
        <v>17</v>
      </c>
      <c r="E1019">
        <f t="shared" ca="1" si="62"/>
        <v>0</v>
      </c>
    </row>
    <row r="1020" spans="1:5" x14ac:dyDescent="0.3">
      <c r="A1020">
        <v>994</v>
      </c>
      <c r="B1020">
        <f t="shared" ca="1" si="63"/>
        <v>43</v>
      </c>
      <c r="C1020">
        <f t="shared" ca="1" si="64"/>
        <v>8</v>
      </c>
      <c r="D1020">
        <f t="shared" ca="1" si="61"/>
        <v>51</v>
      </c>
      <c r="E1020">
        <f t="shared" ca="1" si="62"/>
        <v>1</v>
      </c>
    </row>
    <row r="1021" spans="1:5" x14ac:dyDescent="0.3">
      <c r="A1021">
        <v>995</v>
      </c>
      <c r="B1021">
        <f t="shared" ca="1" si="63"/>
        <v>40</v>
      </c>
      <c r="C1021">
        <f t="shared" ca="1" si="64"/>
        <v>14</v>
      </c>
      <c r="D1021">
        <f t="shared" ca="1" si="61"/>
        <v>54</v>
      </c>
      <c r="E1021">
        <f t="shared" ca="1" si="62"/>
        <v>1</v>
      </c>
    </row>
    <row r="1022" spans="1:5" x14ac:dyDescent="0.3">
      <c r="A1022">
        <v>996</v>
      </c>
      <c r="B1022">
        <f t="shared" ca="1" si="63"/>
        <v>46</v>
      </c>
      <c r="C1022">
        <f t="shared" ca="1" si="64"/>
        <v>3</v>
      </c>
      <c r="D1022">
        <f t="shared" ca="1" si="61"/>
        <v>49</v>
      </c>
      <c r="E1022">
        <f t="shared" ca="1" si="62"/>
        <v>1</v>
      </c>
    </row>
    <row r="1023" spans="1:5" x14ac:dyDescent="0.3">
      <c r="A1023">
        <v>997</v>
      </c>
      <c r="B1023">
        <f t="shared" ca="1" si="63"/>
        <v>54</v>
      </c>
      <c r="C1023">
        <f t="shared" ca="1" si="64"/>
        <v>6</v>
      </c>
      <c r="D1023">
        <f t="shared" ca="1" si="61"/>
        <v>60</v>
      </c>
      <c r="E1023">
        <f t="shared" ca="1" si="62"/>
        <v>1</v>
      </c>
    </row>
    <row r="1024" spans="1:5" x14ac:dyDescent="0.3">
      <c r="A1024">
        <v>998</v>
      </c>
      <c r="B1024">
        <f t="shared" ca="1" si="63"/>
        <v>13</v>
      </c>
      <c r="C1024">
        <f t="shared" ca="1" si="64"/>
        <v>22</v>
      </c>
      <c r="D1024">
        <f t="shared" ca="1" si="61"/>
        <v>35</v>
      </c>
      <c r="E1024">
        <f t="shared" ca="1" si="62"/>
        <v>0</v>
      </c>
    </row>
    <row r="1025" spans="1:5" x14ac:dyDescent="0.3">
      <c r="A1025">
        <v>999</v>
      </c>
      <c r="B1025">
        <f t="shared" ca="1" si="63"/>
        <v>19</v>
      </c>
      <c r="C1025">
        <f t="shared" ca="1" si="64"/>
        <v>33</v>
      </c>
      <c r="D1025">
        <f t="shared" ca="1" si="61"/>
        <v>52</v>
      </c>
      <c r="E1025">
        <f t="shared" ca="1" si="62"/>
        <v>1</v>
      </c>
    </row>
    <row r="1026" spans="1:5" x14ac:dyDescent="0.3">
      <c r="A1026">
        <v>1000</v>
      </c>
      <c r="B1026">
        <f t="shared" ca="1" si="63"/>
        <v>48</v>
      </c>
      <c r="C1026">
        <f t="shared" ca="1" si="64"/>
        <v>8</v>
      </c>
      <c r="D1026">
        <f t="shared" ca="1" si="61"/>
        <v>56</v>
      </c>
      <c r="E1026">
        <f t="shared" ca="1" si="62"/>
        <v>1</v>
      </c>
    </row>
    <row r="1027" spans="1:5" x14ac:dyDescent="0.3">
      <c r="A1027" s="35" t="s">
        <v>2392</v>
      </c>
      <c r="B1027" s="35"/>
      <c r="C1027" s="35"/>
      <c r="D1027" s="35"/>
      <c r="E1027" s="24">
        <f ca="1">AVERAGE(E27:E1026)</f>
        <v>0.76700000000000002</v>
      </c>
    </row>
  </sheetData>
  <scenarios current="1" show="0" sqref="B16">
    <scenario name="Expected Case" count="2" user="user" comment="Normal Engagement Level">
      <inputCells r="B12" val="30"/>
      <inputCells r="B13" val="14"/>
    </scenario>
    <scenario name="Best Case" count="2" user="user">
      <inputCells r="B12" val="80"/>
      <inputCells r="B13" val="40"/>
    </scenario>
    <scenario name="Worst Case" locked="1" count="2" user="user">
      <inputCells r="B12" val="10"/>
      <inputCells r="B13" val="5"/>
    </scenario>
  </scenarios>
  <mergeCells count="5">
    <mergeCell ref="A1027:D1027"/>
    <mergeCell ref="A25:E25"/>
    <mergeCell ref="A2:C2"/>
    <mergeCell ref="A17:D17"/>
    <mergeCell ref="A11:D1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6430-7FA7-4997-8503-170ECBAA1DED}">
  <dimension ref="A3:D7"/>
  <sheetViews>
    <sheetView zoomScale="111" workbookViewId="0">
      <selection activeCell="C17" sqref="C17"/>
    </sheetView>
  </sheetViews>
  <sheetFormatPr defaultRowHeight="14.4" x14ac:dyDescent="0.3"/>
  <cols>
    <col min="1" max="1" width="12.5546875" bestFit="1" customWidth="1"/>
    <col min="2" max="2" width="12.33203125" bestFit="1" customWidth="1"/>
    <col min="3" max="3" width="11.5546875" bestFit="1" customWidth="1"/>
    <col min="4" max="4" width="15.21875" bestFit="1" customWidth="1"/>
  </cols>
  <sheetData>
    <row r="3" spans="1:4" x14ac:dyDescent="0.3">
      <c r="A3" s="10" t="s">
        <v>2329</v>
      </c>
      <c r="B3" t="s">
        <v>2332</v>
      </c>
      <c r="C3" t="s">
        <v>2331</v>
      </c>
      <c r="D3" t="s">
        <v>2333</v>
      </c>
    </row>
    <row r="4" spans="1:4" x14ac:dyDescent="0.3">
      <c r="A4" s="3" t="s">
        <v>763</v>
      </c>
      <c r="B4">
        <v>231</v>
      </c>
      <c r="C4">
        <v>9672</v>
      </c>
      <c r="D4">
        <v>4844</v>
      </c>
    </row>
    <row r="5" spans="1:4" x14ac:dyDescent="0.3">
      <c r="A5" s="3" t="s">
        <v>762</v>
      </c>
      <c r="B5">
        <v>258</v>
      </c>
      <c r="C5">
        <v>11633</v>
      </c>
      <c r="D5">
        <v>5831</v>
      </c>
    </row>
    <row r="6" spans="1:4" x14ac:dyDescent="0.3">
      <c r="A6" s="3" t="s">
        <v>761</v>
      </c>
      <c r="B6">
        <v>243</v>
      </c>
      <c r="C6">
        <v>10099</v>
      </c>
      <c r="D6">
        <v>5069</v>
      </c>
    </row>
    <row r="7" spans="1:4" x14ac:dyDescent="0.3">
      <c r="A7" s="3" t="s">
        <v>2330</v>
      </c>
      <c r="B7">
        <v>732</v>
      </c>
      <c r="C7">
        <v>31404</v>
      </c>
      <c r="D7">
        <v>15744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63B6-CA24-4E7E-876D-8EC00855B8D1}">
  <dimension ref="A1:E38"/>
  <sheetViews>
    <sheetView workbookViewId="0">
      <selection activeCell="O9" sqref="O9"/>
    </sheetView>
  </sheetViews>
  <sheetFormatPr defaultRowHeight="14.4" x14ac:dyDescent="0.3"/>
  <cols>
    <col min="1" max="1" width="13.21875" bestFit="1" customWidth="1"/>
    <col min="2" max="2" width="15.5546875" bestFit="1" customWidth="1"/>
    <col min="3" max="3" width="9.44140625" customWidth="1"/>
    <col min="4" max="4" width="6.88671875" bestFit="1" customWidth="1"/>
    <col min="5" max="5" width="10.77734375" bestFit="1" customWidth="1"/>
  </cols>
  <sheetData>
    <row r="1" spans="1:5" x14ac:dyDescent="0.3">
      <c r="A1" s="10" t="s">
        <v>8</v>
      </c>
      <c r="B1" t="s">
        <v>2334</v>
      </c>
    </row>
    <row r="3" spans="1:5" x14ac:dyDescent="0.3">
      <c r="A3" s="10" t="s">
        <v>2331</v>
      </c>
      <c r="B3" s="10" t="s">
        <v>2335</v>
      </c>
    </row>
    <row r="4" spans="1:5" x14ac:dyDescent="0.3">
      <c r="A4" s="10" t="s">
        <v>2329</v>
      </c>
      <c r="B4" t="s">
        <v>763</v>
      </c>
      <c r="C4" t="s">
        <v>762</v>
      </c>
      <c r="D4" t="s">
        <v>761</v>
      </c>
      <c r="E4" t="s">
        <v>2330</v>
      </c>
    </row>
    <row r="5" spans="1:5" x14ac:dyDescent="0.3">
      <c r="A5" s="3" t="s">
        <v>731</v>
      </c>
      <c r="B5">
        <v>1056</v>
      </c>
      <c r="C5">
        <v>1003</v>
      </c>
      <c r="D5">
        <v>867</v>
      </c>
      <c r="E5">
        <v>2926</v>
      </c>
    </row>
    <row r="6" spans="1:5" x14ac:dyDescent="0.3">
      <c r="A6" s="3" t="s">
        <v>745</v>
      </c>
      <c r="B6">
        <v>90</v>
      </c>
      <c r="E6">
        <v>90</v>
      </c>
    </row>
    <row r="7" spans="1:5" x14ac:dyDescent="0.3">
      <c r="A7" s="3" t="s">
        <v>746</v>
      </c>
      <c r="D7">
        <v>140</v>
      </c>
      <c r="E7">
        <v>140</v>
      </c>
    </row>
    <row r="8" spans="1:5" x14ac:dyDescent="0.3">
      <c r="A8" s="3" t="s">
        <v>734</v>
      </c>
      <c r="B8">
        <v>290</v>
      </c>
      <c r="C8">
        <v>330</v>
      </c>
      <c r="D8">
        <v>280</v>
      </c>
      <c r="E8">
        <v>900</v>
      </c>
    </row>
    <row r="9" spans="1:5" x14ac:dyDescent="0.3">
      <c r="A9" s="3" t="s">
        <v>753</v>
      </c>
      <c r="C9">
        <v>40</v>
      </c>
      <c r="E9">
        <v>40</v>
      </c>
    </row>
    <row r="10" spans="1:5" x14ac:dyDescent="0.3">
      <c r="A10" s="3" t="s">
        <v>720</v>
      </c>
      <c r="B10">
        <v>1760</v>
      </c>
      <c r="C10">
        <v>1867</v>
      </c>
      <c r="D10">
        <v>1861</v>
      </c>
      <c r="E10">
        <v>5488</v>
      </c>
    </row>
    <row r="11" spans="1:5" x14ac:dyDescent="0.3">
      <c r="A11" s="3" t="s">
        <v>752</v>
      </c>
      <c r="D11">
        <v>35</v>
      </c>
      <c r="E11">
        <v>35</v>
      </c>
    </row>
    <row r="12" spans="1:5" x14ac:dyDescent="0.3">
      <c r="A12" s="3" t="s">
        <v>755</v>
      </c>
      <c r="B12">
        <v>55</v>
      </c>
      <c r="E12">
        <v>55</v>
      </c>
    </row>
    <row r="13" spans="1:5" x14ac:dyDescent="0.3">
      <c r="A13" s="3" t="s">
        <v>748</v>
      </c>
      <c r="B13">
        <v>70</v>
      </c>
      <c r="E13">
        <v>70</v>
      </c>
    </row>
    <row r="14" spans="1:5" x14ac:dyDescent="0.3">
      <c r="A14" s="3" t="s">
        <v>747</v>
      </c>
      <c r="C14">
        <v>80</v>
      </c>
      <c r="E14">
        <v>80</v>
      </c>
    </row>
    <row r="15" spans="1:5" x14ac:dyDescent="0.3">
      <c r="A15" s="3" t="s">
        <v>733</v>
      </c>
      <c r="B15">
        <v>115</v>
      </c>
      <c r="C15">
        <v>250</v>
      </c>
      <c r="D15">
        <v>375</v>
      </c>
      <c r="E15">
        <v>740</v>
      </c>
    </row>
    <row r="16" spans="1:5" x14ac:dyDescent="0.3">
      <c r="A16" s="3" t="s">
        <v>737</v>
      </c>
      <c r="B16">
        <v>370</v>
      </c>
      <c r="C16">
        <v>115</v>
      </c>
      <c r="D16">
        <v>190</v>
      </c>
      <c r="E16">
        <v>675</v>
      </c>
    </row>
    <row r="17" spans="1:5" x14ac:dyDescent="0.3">
      <c r="A17" s="3" t="s">
        <v>736</v>
      </c>
      <c r="B17">
        <v>80</v>
      </c>
      <c r="D17">
        <v>140</v>
      </c>
      <c r="E17">
        <v>220</v>
      </c>
    </row>
    <row r="18" spans="1:5" x14ac:dyDescent="0.3">
      <c r="A18" s="3" t="s">
        <v>732</v>
      </c>
      <c r="B18">
        <v>746</v>
      </c>
      <c r="C18">
        <v>756</v>
      </c>
      <c r="D18">
        <v>1173</v>
      </c>
      <c r="E18">
        <v>2675</v>
      </c>
    </row>
    <row r="19" spans="1:5" x14ac:dyDescent="0.3">
      <c r="A19" s="3" t="s">
        <v>756</v>
      </c>
      <c r="C19">
        <v>50</v>
      </c>
      <c r="E19">
        <v>50</v>
      </c>
    </row>
    <row r="20" spans="1:5" x14ac:dyDescent="0.3">
      <c r="A20" s="3" t="s">
        <v>739</v>
      </c>
      <c r="B20">
        <v>220</v>
      </c>
      <c r="C20">
        <v>95</v>
      </c>
      <c r="D20">
        <v>200</v>
      </c>
      <c r="E20">
        <v>515</v>
      </c>
    </row>
    <row r="21" spans="1:5" x14ac:dyDescent="0.3">
      <c r="A21" s="3" t="s">
        <v>757</v>
      </c>
      <c r="C21">
        <v>60</v>
      </c>
      <c r="E21">
        <v>60</v>
      </c>
    </row>
    <row r="22" spans="1:5" x14ac:dyDescent="0.3">
      <c r="A22" s="3" t="s">
        <v>735</v>
      </c>
      <c r="B22">
        <v>335</v>
      </c>
      <c r="C22">
        <v>270</v>
      </c>
      <c r="D22">
        <v>180</v>
      </c>
      <c r="E22">
        <v>785</v>
      </c>
    </row>
    <row r="23" spans="1:5" x14ac:dyDescent="0.3">
      <c r="A23" s="3" t="s">
        <v>749</v>
      </c>
      <c r="D23">
        <v>60</v>
      </c>
      <c r="E23">
        <v>60</v>
      </c>
    </row>
    <row r="24" spans="1:5" x14ac:dyDescent="0.3">
      <c r="A24" s="3" t="s">
        <v>758</v>
      </c>
      <c r="C24">
        <v>45</v>
      </c>
      <c r="E24">
        <v>45</v>
      </c>
    </row>
    <row r="25" spans="1:5" x14ac:dyDescent="0.3">
      <c r="A25" s="3" t="s">
        <v>751</v>
      </c>
      <c r="B25">
        <v>45</v>
      </c>
      <c r="E25">
        <v>45</v>
      </c>
    </row>
    <row r="26" spans="1:5" x14ac:dyDescent="0.3">
      <c r="A26" s="3" t="s">
        <v>740</v>
      </c>
      <c r="B26">
        <v>145</v>
      </c>
      <c r="C26">
        <v>70</v>
      </c>
      <c r="E26">
        <v>215</v>
      </c>
    </row>
    <row r="27" spans="1:5" x14ac:dyDescent="0.3">
      <c r="A27" s="3" t="s">
        <v>754</v>
      </c>
      <c r="C27">
        <v>45</v>
      </c>
      <c r="E27">
        <v>45</v>
      </c>
    </row>
    <row r="28" spans="1:5" x14ac:dyDescent="0.3">
      <c r="A28" s="3" t="s">
        <v>750</v>
      </c>
      <c r="B28">
        <v>55</v>
      </c>
      <c r="E28">
        <v>55</v>
      </c>
    </row>
    <row r="29" spans="1:5" x14ac:dyDescent="0.3">
      <c r="A29" s="3" t="s">
        <v>743</v>
      </c>
      <c r="B29">
        <v>110</v>
      </c>
      <c r="E29">
        <v>110</v>
      </c>
    </row>
    <row r="30" spans="1:5" x14ac:dyDescent="0.3">
      <c r="A30" s="3" t="s">
        <v>759</v>
      </c>
      <c r="C30">
        <v>45</v>
      </c>
      <c r="E30">
        <v>45</v>
      </c>
    </row>
    <row r="31" spans="1:5" x14ac:dyDescent="0.3">
      <c r="A31" s="3" t="s">
        <v>741</v>
      </c>
      <c r="C31">
        <v>430</v>
      </c>
      <c r="E31">
        <v>430</v>
      </c>
    </row>
    <row r="32" spans="1:5" x14ac:dyDescent="0.3">
      <c r="A32" s="3" t="s">
        <v>742</v>
      </c>
      <c r="C32">
        <v>60</v>
      </c>
      <c r="D32">
        <v>190</v>
      </c>
      <c r="E32">
        <v>250</v>
      </c>
    </row>
    <row r="33" spans="1:5" x14ac:dyDescent="0.3">
      <c r="A33" s="3" t="s">
        <v>738</v>
      </c>
      <c r="C33">
        <v>140</v>
      </c>
      <c r="E33">
        <v>140</v>
      </c>
    </row>
    <row r="34" spans="1:5" x14ac:dyDescent="0.3">
      <c r="A34" s="3" t="s">
        <v>744</v>
      </c>
      <c r="C34">
        <v>120</v>
      </c>
      <c r="D34">
        <v>45</v>
      </c>
      <c r="E34">
        <v>165</v>
      </c>
    </row>
    <row r="35" spans="1:5" x14ac:dyDescent="0.3">
      <c r="A35" s="3" t="s">
        <v>760</v>
      </c>
      <c r="C35">
        <v>70</v>
      </c>
      <c r="E35">
        <v>70</v>
      </c>
    </row>
    <row r="36" spans="1:5" x14ac:dyDescent="0.3">
      <c r="A36" s="3" t="s">
        <v>722</v>
      </c>
      <c r="B36">
        <v>1613</v>
      </c>
      <c r="C36">
        <v>2311</v>
      </c>
      <c r="D36">
        <v>1903</v>
      </c>
      <c r="E36">
        <v>5827</v>
      </c>
    </row>
    <row r="37" spans="1:5" x14ac:dyDescent="0.3">
      <c r="A37" s="3" t="s">
        <v>30</v>
      </c>
      <c r="B37">
        <v>2517</v>
      </c>
      <c r="C37">
        <v>3381</v>
      </c>
      <c r="D37">
        <v>2460</v>
      </c>
      <c r="E37">
        <v>8358</v>
      </c>
    </row>
    <row r="38" spans="1:5" x14ac:dyDescent="0.3">
      <c r="A38" s="3" t="s">
        <v>2330</v>
      </c>
      <c r="B38">
        <v>9672</v>
      </c>
      <c r="C38">
        <v>11633</v>
      </c>
      <c r="D38">
        <v>10099</v>
      </c>
      <c r="E38">
        <v>31404</v>
      </c>
    </row>
  </sheetData>
  <conditionalFormatting pivot="1" sqref="B5:B37">
    <cfRule type="dataBar" priority="4">
      <dataBar>
        <cfvo type="min"/>
        <cfvo type="max"/>
        <color rgb="FF638EC6"/>
      </dataBar>
      <extLst>
        <ext xmlns:x14="http://schemas.microsoft.com/office/spreadsheetml/2009/9/main" uri="{B025F937-C7B1-47D3-B67F-A62EFF666E3E}">
          <x14:id>{B3E21BCE-9170-4AED-9FF0-D5901ADD66D9}</x14:id>
        </ext>
      </extLst>
    </cfRule>
  </conditionalFormatting>
  <conditionalFormatting pivot="1" sqref="C5:C37">
    <cfRule type="dataBar" priority="3">
      <dataBar>
        <cfvo type="min"/>
        <cfvo type="max"/>
        <color rgb="FF63C384"/>
      </dataBar>
      <extLst>
        <ext xmlns:x14="http://schemas.microsoft.com/office/spreadsheetml/2009/9/main" uri="{B025F937-C7B1-47D3-B67F-A62EFF666E3E}">
          <x14:id>{56675CFA-3392-4B48-8D44-4DFCA5ABB7EA}</x14:id>
        </ext>
      </extLst>
    </cfRule>
  </conditionalFormatting>
  <conditionalFormatting pivot="1" sqref="D5:D37">
    <cfRule type="dataBar" priority="2">
      <dataBar>
        <cfvo type="min"/>
        <cfvo type="max"/>
        <color rgb="FFFFB628"/>
      </dataBar>
      <extLst>
        <ext xmlns:x14="http://schemas.microsoft.com/office/spreadsheetml/2009/9/main" uri="{B025F937-C7B1-47D3-B67F-A62EFF666E3E}">
          <x14:id>{CD97F626-A14B-48BA-A6B3-1CEEE7B30FE7}</x14:id>
        </ext>
      </extLst>
    </cfRule>
  </conditionalFormatting>
  <conditionalFormatting pivot="1" sqref="E5:E37">
    <cfRule type="top10" dxfId="0" priority="1" percent="1" rank="10"/>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B3E21BCE-9170-4AED-9FF0-D5901ADD66D9}">
            <x14:dataBar minLength="0" maxLength="100" border="1" negativeBarBorderColorSameAsPositive="0">
              <x14:cfvo type="autoMin"/>
              <x14:cfvo type="autoMax"/>
              <x14:borderColor rgb="FF638EC6"/>
              <x14:negativeFillColor rgb="FFFF0000"/>
              <x14:negativeBorderColor rgb="FFFF0000"/>
              <x14:axisColor rgb="FF000000"/>
            </x14:dataBar>
          </x14:cfRule>
          <xm:sqref>B5:B37</xm:sqref>
        </x14:conditionalFormatting>
        <x14:conditionalFormatting xmlns:xm="http://schemas.microsoft.com/office/excel/2006/main" pivot="1">
          <x14:cfRule type="dataBar" id="{56675CFA-3392-4B48-8D44-4DFCA5ABB7EA}">
            <x14:dataBar minLength="0" maxLength="100" border="1" negativeBarBorderColorSameAsPositive="0">
              <x14:cfvo type="autoMin"/>
              <x14:cfvo type="autoMax"/>
              <x14:borderColor rgb="FF63C384"/>
              <x14:negativeFillColor rgb="FFFF0000"/>
              <x14:negativeBorderColor rgb="FFFF0000"/>
              <x14:axisColor rgb="FF000000"/>
            </x14:dataBar>
          </x14:cfRule>
          <xm:sqref>C5:C37</xm:sqref>
        </x14:conditionalFormatting>
        <x14:conditionalFormatting xmlns:xm="http://schemas.microsoft.com/office/excel/2006/main" pivot="1">
          <x14:cfRule type="dataBar" id="{CD97F626-A14B-48BA-A6B3-1CEEE7B30FE7}">
            <x14:dataBar minLength="0" maxLength="100" border="1" negativeBarBorderColorSameAsPositive="0">
              <x14:cfvo type="autoMin"/>
              <x14:cfvo type="autoMax"/>
              <x14:borderColor rgb="FFFFB628"/>
              <x14:negativeFillColor rgb="FFFF0000"/>
              <x14:negativeBorderColor rgb="FFFF0000"/>
              <x14:axisColor rgb="FF000000"/>
            </x14:dataBar>
          </x14:cfRule>
          <xm:sqref>D5:D37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F984-34ED-4D9A-8CA7-A27388CDCD6F}">
  <dimension ref="A1:E17"/>
  <sheetViews>
    <sheetView zoomScale="93" workbookViewId="0">
      <selection activeCell="M21" sqref="M21"/>
    </sheetView>
  </sheetViews>
  <sheetFormatPr defaultRowHeight="14.4" x14ac:dyDescent="0.3"/>
  <cols>
    <col min="1" max="1" width="12.5546875" bestFit="1" customWidth="1"/>
    <col min="2" max="2" width="15.5546875" bestFit="1" customWidth="1"/>
    <col min="3" max="3" width="9.44140625" bestFit="1" customWidth="1"/>
    <col min="4" max="4" width="6.88671875" bestFit="1" customWidth="1"/>
    <col min="5" max="5" width="10.77734375" bestFit="1" customWidth="1"/>
  </cols>
  <sheetData>
    <row r="1" spans="1:5" x14ac:dyDescent="0.3">
      <c r="A1" s="10" t="s">
        <v>0</v>
      </c>
      <c r="B1" t="s">
        <v>2334</v>
      </c>
    </row>
    <row r="3" spans="1:5" x14ac:dyDescent="0.3">
      <c r="A3" s="10" t="s">
        <v>2331</v>
      </c>
      <c r="B3" s="10" t="s">
        <v>2335</v>
      </c>
    </row>
    <row r="4" spans="1:5" x14ac:dyDescent="0.3">
      <c r="A4" s="10" t="s">
        <v>2329</v>
      </c>
      <c r="B4" t="s">
        <v>763</v>
      </c>
      <c r="C4" t="s">
        <v>762</v>
      </c>
      <c r="D4" t="s">
        <v>761</v>
      </c>
      <c r="E4" t="s">
        <v>2330</v>
      </c>
    </row>
    <row r="5" spans="1:5" x14ac:dyDescent="0.3">
      <c r="A5" s="3">
        <v>1</v>
      </c>
      <c r="B5">
        <v>927</v>
      </c>
      <c r="C5">
        <v>1171</v>
      </c>
      <c r="D5">
        <v>1059</v>
      </c>
      <c r="E5">
        <v>3157</v>
      </c>
    </row>
    <row r="6" spans="1:5" x14ac:dyDescent="0.3">
      <c r="A6" s="3">
        <v>2</v>
      </c>
      <c r="B6">
        <v>1432</v>
      </c>
      <c r="C6">
        <v>850</v>
      </c>
      <c r="D6">
        <v>1223</v>
      </c>
      <c r="E6">
        <v>3505</v>
      </c>
    </row>
    <row r="7" spans="1:5" x14ac:dyDescent="0.3">
      <c r="A7" s="3">
        <v>3</v>
      </c>
      <c r="B7">
        <v>724</v>
      </c>
      <c r="C7">
        <v>585</v>
      </c>
      <c r="D7">
        <v>566</v>
      </c>
      <c r="E7">
        <v>1875</v>
      </c>
    </row>
    <row r="8" spans="1:5" x14ac:dyDescent="0.3">
      <c r="A8" s="3">
        <v>4</v>
      </c>
      <c r="B8">
        <v>430</v>
      </c>
      <c r="C8">
        <v>1040</v>
      </c>
      <c r="D8">
        <v>705</v>
      </c>
      <c r="E8">
        <v>2175</v>
      </c>
    </row>
    <row r="9" spans="1:5" x14ac:dyDescent="0.3">
      <c r="A9" s="3">
        <v>5</v>
      </c>
      <c r="B9">
        <v>559</v>
      </c>
      <c r="C9">
        <v>650</v>
      </c>
      <c r="D9">
        <v>715</v>
      </c>
      <c r="E9">
        <v>1924</v>
      </c>
    </row>
    <row r="10" spans="1:5" x14ac:dyDescent="0.3">
      <c r="A10" s="3">
        <v>6</v>
      </c>
      <c r="B10">
        <v>941</v>
      </c>
      <c r="C10">
        <v>1355</v>
      </c>
      <c r="D10">
        <v>1062</v>
      </c>
      <c r="E10">
        <v>3358</v>
      </c>
    </row>
    <row r="11" spans="1:5" x14ac:dyDescent="0.3">
      <c r="A11" s="3">
        <v>7</v>
      </c>
      <c r="B11">
        <v>726</v>
      </c>
      <c r="C11">
        <v>1519</v>
      </c>
      <c r="D11">
        <v>801</v>
      </c>
      <c r="E11">
        <v>3046</v>
      </c>
    </row>
    <row r="12" spans="1:5" x14ac:dyDescent="0.3">
      <c r="A12" s="3">
        <v>8</v>
      </c>
      <c r="B12">
        <v>1171</v>
      </c>
      <c r="C12">
        <v>1292</v>
      </c>
      <c r="D12">
        <v>948</v>
      </c>
      <c r="E12">
        <v>3411</v>
      </c>
    </row>
    <row r="13" spans="1:5" x14ac:dyDescent="0.3">
      <c r="A13" s="3">
        <v>9</v>
      </c>
      <c r="B13">
        <v>911</v>
      </c>
      <c r="C13">
        <v>1226</v>
      </c>
      <c r="D13">
        <v>1045</v>
      </c>
      <c r="E13">
        <v>3182</v>
      </c>
    </row>
    <row r="14" spans="1:5" x14ac:dyDescent="0.3">
      <c r="A14" s="3">
        <v>10</v>
      </c>
      <c r="B14">
        <v>489</v>
      </c>
      <c r="C14">
        <v>710</v>
      </c>
      <c r="D14">
        <v>796</v>
      </c>
      <c r="E14">
        <v>1995</v>
      </c>
    </row>
    <row r="15" spans="1:5" x14ac:dyDescent="0.3">
      <c r="A15" s="3">
        <v>11</v>
      </c>
      <c r="B15">
        <v>583</v>
      </c>
      <c r="C15">
        <v>1020</v>
      </c>
      <c r="D15">
        <v>540</v>
      </c>
      <c r="E15">
        <v>2143</v>
      </c>
    </row>
    <row r="16" spans="1:5" x14ac:dyDescent="0.3">
      <c r="A16" s="3">
        <v>12</v>
      </c>
      <c r="B16">
        <v>779</v>
      </c>
      <c r="C16">
        <v>215</v>
      </c>
      <c r="D16">
        <v>639</v>
      </c>
      <c r="E16">
        <v>1633</v>
      </c>
    </row>
    <row r="17" spans="1:5" x14ac:dyDescent="0.3">
      <c r="A17" s="3" t="s">
        <v>2330</v>
      </c>
      <c r="B17">
        <v>9672</v>
      </c>
      <c r="C17">
        <v>11633</v>
      </c>
      <c r="D17">
        <v>10099</v>
      </c>
      <c r="E17">
        <v>31404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CA90-3582-43EA-8DE4-50C0BC37B223}">
  <dimension ref="A3:C8"/>
  <sheetViews>
    <sheetView zoomScale="95" zoomScaleNormal="85" workbookViewId="0">
      <selection activeCell="M9" sqref="M9"/>
    </sheetView>
  </sheetViews>
  <sheetFormatPr defaultRowHeight="14.4" x14ac:dyDescent="0.3"/>
  <cols>
    <col min="1" max="1" width="12.5546875" bestFit="1" customWidth="1"/>
    <col min="2" max="2" width="12.33203125" bestFit="1" customWidth="1"/>
    <col min="3" max="3" width="18.21875" bestFit="1" customWidth="1"/>
  </cols>
  <sheetData>
    <row r="3" spans="1:3" x14ac:dyDescent="0.3">
      <c r="A3" s="10" t="s">
        <v>2329</v>
      </c>
      <c r="B3" t="s">
        <v>2332</v>
      </c>
      <c r="C3" t="s">
        <v>2337</v>
      </c>
    </row>
    <row r="4" spans="1:3" x14ac:dyDescent="0.3">
      <c r="A4" s="3" t="s">
        <v>17</v>
      </c>
      <c r="B4">
        <v>326</v>
      </c>
      <c r="C4">
        <v>20254</v>
      </c>
    </row>
    <row r="5" spans="1:3" x14ac:dyDescent="0.3">
      <c r="A5" s="3" t="s">
        <v>22</v>
      </c>
      <c r="B5">
        <v>271</v>
      </c>
      <c r="C5">
        <v>18962</v>
      </c>
    </row>
    <row r="6" spans="1:3" x14ac:dyDescent="0.3">
      <c r="A6" s="3" t="s">
        <v>19</v>
      </c>
      <c r="B6">
        <v>129</v>
      </c>
      <c r="C6">
        <v>7580</v>
      </c>
    </row>
    <row r="7" spans="1:3" x14ac:dyDescent="0.3">
      <c r="A7" s="3" t="s">
        <v>38</v>
      </c>
      <c r="B7">
        <v>6</v>
      </c>
      <c r="C7">
        <v>352</v>
      </c>
    </row>
    <row r="8" spans="1:3" x14ac:dyDescent="0.3">
      <c r="A8" s="3" t="s">
        <v>2330</v>
      </c>
      <c r="B8">
        <v>732</v>
      </c>
      <c r="C8">
        <v>47148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9D7B-3F7F-4756-A383-7194A26011F2}">
  <dimension ref="A3:E9"/>
  <sheetViews>
    <sheetView workbookViewId="0">
      <selection activeCell="O11" sqref="O11"/>
    </sheetView>
  </sheetViews>
  <sheetFormatPr defaultRowHeight="14.4" x14ac:dyDescent="0.3"/>
  <cols>
    <col min="1" max="1" width="20.33203125" bestFit="1" customWidth="1"/>
    <col min="2" max="2" width="15.5546875" bestFit="1" customWidth="1"/>
    <col min="3" max="3" width="9.44140625" bestFit="1" customWidth="1"/>
    <col min="4" max="4" width="6.88671875" bestFit="1" customWidth="1"/>
    <col min="5" max="5" width="10.77734375" bestFit="1" customWidth="1"/>
  </cols>
  <sheetData>
    <row r="3" spans="1:5" x14ac:dyDescent="0.3">
      <c r="A3" s="10" t="s">
        <v>2341</v>
      </c>
      <c r="B3" s="10" t="s">
        <v>2335</v>
      </c>
    </row>
    <row r="4" spans="1:5" x14ac:dyDescent="0.3">
      <c r="A4" s="10" t="s">
        <v>2329</v>
      </c>
      <c r="B4" t="s">
        <v>763</v>
      </c>
      <c r="C4" t="s">
        <v>762</v>
      </c>
      <c r="D4" t="s">
        <v>761</v>
      </c>
      <c r="E4" t="s">
        <v>2330</v>
      </c>
    </row>
    <row r="5" spans="1:5" x14ac:dyDescent="0.3">
      <c r="A5" s="3" t="s">
        <v>17</v>
      </c>
      <c r="B5">
        <v>101</v>
      </c>
      <c r="C5">
        <v>129</v>
      </c>
      <c r="D5">
        <v>96</v>
      </c>
      <c r="E5">
        <v>326</v>
      </c>
    </row>
    <row r="6" spans="1:5" x14ac:dyDescent="0.3">
      <c r="A6" s="3" t="s">
        <v>22</v>
      </c>
      <c r="B6">
        <v>95</v>
      </c>
      <c r="C6">
        <v>90</v>
      </c>
      <c r="D6">
        <v>86</v>
      </c>
      <c r="E6">
        <v>271</v>
      </c>
    </row>
    <row r="7" spans="1:5" x14ac:dyDescent="0.3">
      <c r="A7" s="3" t="s">
        <v>19</v>
      </c>
      <c r="B7">
        <v>31</v>
      </c>
      <c r="C7">
        <v>39</v>
      </c>
      <c r="D7">
        <v>59</v>
      </c>
      <c r="E7">
        <v>129</v>
      </c>
    </row>
    <row r="8" spans="1:5" x14ac:dyDescent="0.3">
      <c r="A8" s="3" t="s">
        <v>38</v>
      </c>
      <c r="B8">
        <v>4</v>
      </c>
      <c r="D8">
        <v>2</v>
      </c>
      <c r="E8">
        <v>6</v>
      </c>
    </row>
    <row r="9" spans="1:5" x14ac:dyDescent="0.3">
      <c r="A9" s="3" t="s">
        <v>2330</v>
      </c>
      <c r="B9">
        <v>231</v>
      </c>
      <c r="C9">
        <v>258</v>
      </c>
      <c r="D9">
        <v>243</v>
      </c>
      <c r="E9">
        <v>732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B8F6-1941-4421-8AE9-DB4AC7A21BC8}">
  <dimension ref="A3:Q45"/>
  <sheetViews>
    <sheetView workbookViewId="0">
      <selection activeCell="R1" sqref="R1"/>
    </sheetView>
  </sheetViews>
  <sheetFormatPr defaultRowHeight="14.4" x14ac:dyDescent="0.3"/>
  <cols>
    <col min="1" max="1" width="12.5546875" bestFit="1" customWidth="1"/>
    <col min="2" max="2" width="12.33203125" bestFit="1" customWidth="1"/>
    <col min="3" max="3" width="18.21875" bestFit="1" customWidth="1"/>
    <col min="4" max="4" width="18" bestFit="1" customWidth="1"/>
    <col min="5" max="15" width="5" bestFit="1" customWidth="1"/>
    <col min="16" max="16" width="10.77734375" bestFit="1" customWidth="1"/>
    <col min="17" max="17" width="18.21875" bestFit="1" customWidth="1"/>
    <col min="18" max="18" width="12.33203125" bestFit="1" customWidth="1"/>
    <col min="19" max="19" width="18.21875" bestFit="1" customWidth="1"/>
    <col min="20" max="20" width="12.33203125" bestFit="1" customWidth="1"/>
    <col min="21" max="21" width="18.21875" bestFit="1" customWidth="1"/>
    <col min="22" max="22" width="12.33203125" bestFit="1" customWidth="1"/>
    <col min="23" max="23" width="18.21875" bestFit="1" customWidth="1"/>
    <col min="24" max="24" width="12.33203125" bestFit="1" customWidth="1"/>
    <col min="25" max="25" width="18.21875" bestFit="1" customWidth="1"/>
    <col min="26" max="26" width="12.33203125" bestFit="1" customWidth="1"/>
    <col min="27" max="27" width="18.21875" bestFit="1" customWidth="1"/>
    <col min="28" max="28" width="12.33203125" bestFit="1" customWidth="1"/>
    <col min="29" max="29" width="18.21875" bestFit="1" customWidth="1"/>
    <col min="30" max="30" width="17.21875" bestFit="1" customWidth="1"/>
    <col min="31" max="31" width="23" bestFit="1" customWidth="1"/>
    <col min="32" max="41" width="5" bestFit="1" customWidth="1"/>
    <col min="42" max="42" width="11.5546875" bestFit="1" customWidth="1"/>
    <col min="43" max="43" width="10.77734375" bestFit="1" customWidth="1"/>
  </cols>
  <sheetData>
    <row r="3" spans="1:3" x14ac:dyDescent="0.3">
      <c r="A3" s="10" t="s">
        <v>2329</v>
      </c>
      <c r="B3" t="s">
        <v>2332</v>
      </c>
      <c r="C3" t="s">
        <v>2337</v>
      </c>
    </row>
    <row r="4" spans="1:3" x14ac:dyDescent="0.3">
      <c r="A4" s="3" t="s">
        <v>763</v>
      </c>
      <c r="B4">
        <v>231</v>
      </c>
      <c r="C4">
        <v>14516</v>
      </c>
    </row>
    <row r="5" spans="1:3" x14ac:dyDescent="0.3">
      <c r="A5" s="11">
        <v>2011</v>
      </c>
      <c r="B5">
        <v>2</v>
      </c>
      <c r="C5">
        <v>142</v>
      </c>
    </row>
    <row r="6" spans="1:3" x14ac:dyDescent="0.3">
      <c r="A6" s="11">
        <v>2012</v>
      </c>
      <c r="B6">
        <v>2</v>
      </c>
      <c r="C6">
        <v>90</v>
      </c>
    </row>
    <row r="7" spans="1:3" x14ac:dyDescent="0.3">
      <c r="A7" s="11">
        <v>2013</v>
      </c>
      <c r="B7">
        <v>1</v>
      </c>
      <c r="C7">
        <v>67</v>
      </c>
    </row>
    <row r="8" spans="1:3" x14ac:dyDescent="0.3">
      <c r="A8" s="11">
        <v>2015</v>
      </c>
      <c r="B8">
        <v>9</v>
      </c>
      <c r="C8">
        <v>639</v>
      </c>
    </row>
    <row r="9" spans="1:3" x14ac:dyDescent="0.3">
      <c r="A9" s="11">
        <v>2016</v>
      </c>
      <c r="B9">
        <v>16</v>
      </c>
      <c r="C9">
        <v>1114</v>
      </c>
    </row>
    <row r="10" spans="1:3" x14ac:dyDescent="0.3">
      <c r="A10" s="11">
        <v>2017</v>
      </c>
      <c r="B10">
        <v>12</v>
      </c>
      <c r="C10">
        <v>719</v>
      </c>
    </row>
    <row r="11" spans="1:3" x14ac:dyDescent="0.3">
      <c r="A11" s="11">
        <v>2018</v>
      </c>
      <c r="B11">
        <v>17</v>
      </c>
      <c r="C11">
        <v>975</v>
      </c>
    </row>
    <row r="12" spans="1:3" x14ac:dyDescent="0.3">
      <c r="A12" s="11">
        <v>2019</v>
      </c>
      <c r="B12">
        <v>15</v>
      </c>
      <c r="C12">
        <v>886</v>
      </c>
    </row>
    <row r="13" spans="1:3" x14ac:dyDescent="0.3">
      <c r="A13" s="11">
        <v>2020</v>
      </c>
      <c r="B13">
        <v>25</v>
      </c>
      <c r="C13">
        <v>1497</v>
      </c>
    </row>
    <row r="14" spans="1:3" x14ac:dyDescent="0.3">
      <c r="A14" s="11">
        <v>2021</v>
      </c>
      <c r="B14">
        <v>21</v>
      </c>
      <c r="C14">
        <v>1405</v>
      </c>
    </row>
    <row r="15" spans="1:3" x14ac:dyDescent="0.3">
      <c r="A15" s="11">
        <v>2022</v>
      </c>
      <c r="B15">
        <v>20</v>
      </c>
      <c r="C15">
        <v>1329</v>
      </c>
    </row>
    <row r="16" spans="1:3" x14ac:dyDescent="0.3">
      <c r="A16" s="11">
        <v>2023</v>
      </c>
      <c r="B16">
        <v>91</v>
      </c>
      <c r="C16">
        <v>5653</v>
      </c>
    </row>
    <row r="17" spans="1:17" x14ac:dyDescent="0.3">
      <c r="A17" s="3" t="s">
        <v>762</v>
      </c>
      <c r="B17">
        <v>258</v>
      </c>
      <c r="C17">
        <v>17464</v>
      </c>
    </row>
    <row r="18" spans="1:17" x14ac:dyDescent="0.3">
      <c r="A18" s="11">
        <v>2011</v>
      </c>
      <c r="B18">
        <v>2</v>
      </c>
      <c r="C18">
        <v>134</v>
      </c>
      <c r="Q18" t="s">
        <v>1625</v>
      </c>
    </row>
    <row r="19" spans="1:17" x14ac:dyDescent="0.3">
      <c r="A19" s="11">
        <v>2012</v>
      </c>
      <c r="B19">
        <v>1</v>
      </c>
      <c r="C19">
        <v>90</v>
      </c>
    </row>
    <row r="20" spans="1:17" x14ac:dyDescent="0.3">
      <c r="A20" s="11">
        <v>2013</v>
      </c>
      <c r="B20">
        <v>1</v>
      </c>
      <c r="C20">
        <v>90</v>
      </c>
    </row>
    <row r="21" spans="1:17" x14ac:dyDescent="0.3">
      <c r="A21" s="11">
        <v>2014</v>
      </c>
      <c r="B21">
        <v>2</v>
      </c>
      <c r="C21">
        <v>150</v>
      </c>
    </row>
    <row r="22" spans="1:17" x14ac:dyDescent="0.3">
      <c r="A22" s="11">
        <v>2015</v>
      </c>
      <c r="B22">
        <v>6</v>
      </c>
      <c r="C22">
        <v>406</v>
      </c>
    </row>
    <row r="23" spans="1:17" x14ac:dyDescent="0.3">
      <c r="A23" s="11">
        <v>2016</v>
      </c>
      <c r="B23">
        <v>13</v>
      </c>
      <c r="C23">
        <v>787</v>
      </c>
    </row>
    <row r="24" spans="1:17" x14ac:dyDescent="0.3">
      <c r="A24" s="11">
        <v>2017</v>
      </c>
      <c r="B24">
        <v>11</v>
      </c>
      <c r="C24">
        <v>781</v>
      </c>
    </row>
    <row r="25" spans="1:17" x14ac:dyDescent="0.3">
      <c r="A25" s="11">
        <v>2018</v>
      </c>
      <c r="B25">
        <v>20</v>
      </c>
      <c r="C25">
        <v>1456</v>
      </c>
    </row>
    <row r="26" spans="1:17" x14ac:dyDescent="0.3">
      <c r="A26" s="11">
        <v>2019</v>
      </c>
      <c r="B26">
        <v>27</v>
      </c>
      <c r="C26">
        <v>1898</v>
      </c>
    </row>
    <row r="27" spans="1:17" x14ac:dyDescent="0.3">
      <c r="A27" s="11">
        <v>2020</v>
      </c>
      <c r="B27">
        <v>27</v>
      </c>
      <c r="C27">
        <v>1784</v>
      </c>
    </row>
    <row r="28" spans="1:17" x14ac:dyDescent="0.3">
      <c r="A28" s="11">
        <v>2021</v>
      </c>
      <c r="B28">
        <v>23</v>
      </c>
      <c r="C28">
        <v>1543</v>
      </c>
    </row>
    <row r="29" spans="1:17" x14ac:dyDescent="0.3">
      <c r="A29" s="11">
        <v>2022</v>
      </c>
      <c r="B29">
        <v>30</v>
      </c>
      <c r="C29">
        <v>1955</v>
      </c>
    </row>
    <row r="30" spans="1:17" x14ac:dyDescent="0.3">
      <c r="A30" s="11">
        <v>2023</v>
      </c>
      <c r="B30">
        <v>95</v>
      </c>
      <c r="C30">
        <v>6390</v>
      </c>
    </row>
    <row r="31" spans="1:17" x14ac:dyDescent="0.3">
      <c r="A31" s="3" t="s">
        <v>761</v>
      </c>
      <c r="B31">
        <v>243</v>
      </c>
      <c r="C31">
        <v>15168</v>
      </c>
    </row>
    <row r="32" spans="1:17" x14ac:dyDescent="0.3">
      <c r="A32" s="11">
        <v>2010</v>
      </c>
      <c r="B32">
        <v>3</v>
      </c>
      <c r="C32">
        <v>240</v>
      </c>
    </row>
    <row r="33" spans="1:3" x14ac:dyDescent="0.3">
      <c r="A33" s="11">
        <v>2012</v>
      </c>
      <c r="B33">
        <v>1</v>
      </c>
      <c r="C33">
        <v>60</v>
      </c>
    </row>
    <row r="34" spans="1:3" x14ac:dyDescent="0.3">
      <c r="A34" s="11">
        <v>2013</v>
      </c>
      <c r="B34">
        <v>2</v>
      </c>
      <c r="C34">
        <v>106</v>
      </c>
    </row>
    <row r="35" spans="1:3" x14ac:dyDescent="0.3">
      <c r="A35" s="11">
        <v>2014</v>
      </c>
      <c r="B35">
        <v>2</v>
      </c>
      <c r="C35">
        <v>90</v>
      </c>
    </row>
    <row r="36" spans="1:3" x14ac:dyDescent="0.3">
      <c r="A36" s="11">
        <v>2015</v>
      </c>
      <c r="B36">
        <v>4</v>
      </c>
      <c r="C36">
        <v>248</v>
      </c>
    </row>
    <row r="37" spans="1:3" x14ac:dyDescent="0.3">
      <c r="A37" s="11">
        <v>2016</v>
      </c>
      <c r="B37">
        <v>9</v>
      </c>
      <c r="C37">
        <v>596</v>
      </c>
    </row>
    <row r="38" spans="1:3" x14ac:dyDescent="0.3">
      <c r="A38" s="11">
        <v>2017</v>
      </c>
      <c r="B38">
        <v>20</v>
      </c>
      <c r="C38">
        <v>1177</v>
      </c>
    </row>
    <row r="39" spans="1:3" x14ac:dyDescent="0.3">
      <c r="A39" s="11">
        <v>2018</v>
      </c>
      <c r="B39">
        <v>19</v>
      </c>
      <c r="C39">
        <v>1327</v>
      </c>
    </row>
    <row r="40" spans="1:3" x14ac:dyDescent="0.3">
      <c r="A40" s="11">
        <v>2019</v>
      </c>
      <c r="B40">
        <v>31</v>
      </c>
      <c r="C40">
        <v>2051</v>
      </c>
    </row>
    <row r="41" spans="1:3" x14ac:dyDescent="0.3">
      <c r="A41" s="11">
        <v>2020</v>
      </c>
      <c r="B41">
        <v>17</v>
      </c>
      <c r="C41">
        <v>1094</v>
      </c>
    </row>
    <row r="42" spans="1:3" x14ac:dyDescent="0.3">
      <c r="A42" s="11">
        <v>2021</v>
      </c>
      <c r="B42">
        <v>19</v>
      </c>
      <c r="C42">
        <v>1026</v>
      </c>
    </row>
    <row r="43" spans="1:3" x14ac:dyDescent="0.3">
      <c r="A43" s="11">
        <v>2022</v>
      </c>
      <c r="B43">
        <v>13</v>
      </c>
      <c r="C43">
        <v>820</v>
      </c>
    </row>
    <row r="44" spans="1:3" x14ac:dyDescent="0.3">
      <c r="A44" s="11">
        <v>2023</v>
      </c>
      <c r="B44">
        <v>103</v>
      </c>
      <c r="C44">
        <v>6333</v>
      </c>
    </row>
    <row r="45" spans="1:3" x14ac:dyDescent="0.3">
      <c r="A45" s="3" t="s">
        <v>2330</v>
      </c>
      <c r="B45">
        <v>732</v>
      </c>
      <c r="C45">
        <v>47148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C114-34EE-43B3-B5A9-35199C45D1AB}">
  <dimension ref="A1:K10"/>
  <sheetViews>
    <sheetView tabSelected="1" workbookViewId="0">
      <selection activeCell="K9" sqref="K9"/>
    </sheetView>
  </sheetViews>
  <sheetFormatPr defaultRowHeight="14.4" x14ac:dyDescent="0.3"/>
  <cols>
    <col min="1" max="1" width="15.44140625" bestFit="1" customWidth="1"/>
    <col min="2" max="2" width="17.5546875" bestFit="1" customWidth="1"/>
    <col min="3" max="3" width="18.21875" bestFit="1" customWidth="1"/>
    <col min="4" max="4" width="6.88671875" bestFit="1" customWidth="1"/>
    <col min="5" max="5" width="18.21875" bestFit="1" customWidth="1"/>
    <col min="6" max="6" width="9.44140625" bestFit="1" customWidth="1"/>
    <col min="7" max="7" width="6.88671875" bestFit="1" customWidth="1"/>
    <col min="8" max="8" width="22.33203125" bestFit="1" customWidth="1"/>
    <col min="9" max="9" width="23" bestFit="1" customWidth="1"/>
  </cols>
  <sheetData>
    <row r="1" spans="1:11" x14ac:dyDescent="0.3">
      <c r="A1" s="10" t="s">
        <v>3</v>
      </c>
      <c r="B1" t="s">
        <v>2334</v>
      </c>
    </row>
    <row r="3" spans="1:11" x14ac:dyDescent="0.3">
      <c r="A3" s="10" t="s">
        <v>2329</v>
      </c>
      <c r="B3" t="s">
        <v>2363</v>
      </c>
      <c r="C3" t="s">
        <v>2337</v>
      </c>
    </row>
    <row r="4" spans="1:11" x14ac:dyDescent="0.3">
      <c r="A4" s="3" t="s">
        <v>2361</v>
      </c>
      <c r="B4">
        <v>7</v>
      </c>
      <c r="C4">
        <v>712</v>
      </c>
    </row>
    <row r="5" spans="1:11" x14ac:dyDescent="0.3">
      <c r="A5" s="3" t="s">
        <v>2338</v>
      </c>
      <c r="B5">
        <v>90</v>
      </c>
      <c r="C5">
        <v>5562</v>
      </c>
    </row>
    <row r="6" spans="1:11" x14ac:dyDescent="0.3">
      <c r="A6" s="3" t="s">
        <v>2339</v>
      </c>
      <c r="B6">
        <v>217</v>
      </c>
      <c r="C6">
        <v>14089</v>
      </c>
    </row>
    <row r="7" spans="1:11" x14ac:dyDescent="0.3">
      <c r="A7" s="3" t="s">
        <v>2340</v>
      </c>
      <c r="B7">
        <v>324</v>
      </c>
      <c r="C7">
        <v>20881</v>
      </c>
    </row>
    <row r="8" spans="1:11" x14ac:dyDescent="0.3">
      <c r="A8" s="3" t="s">
        <v>2336</v>
      </c>
      <c r="B8">
        <v>75</v>
      </c>
      <c r="C8">
        <v>4390</v>
      </c>
    </row>
    <row r="9" spans="1:11" x14ac:dyDescent="0.3">
      <c r="A9" s="3" t="s">
        <v>2362</v>
      </c>
      <c r="B9">
        <v>19</v>
      </c>
      <c r="C9">
        <v>1514</v>
      </c>
      <c r="K9" t="s">
        <v>1625</v>
      </c>
    </row>
    <row r="10" spans="1:11" x14ac:dyDescent="0.3">
      <c r="A10" s="3" t="s">
        <v>2330</v>
      </c>
      <c r="B10">
        <v>732</v>
      </c>
      <c r="C10">
        <v>47148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91B23DB-AF0B-4AEC-8762-532D7F9D6775}">
  <ds:schemaRefs/>
</ds:datastoreItem>
</file>

<file path=customXml/itemProps2.xml><?xml version="1.0" encoding="utf-8"?>
<ds:datastoreItem xmlns:ds="http://schemas.openxmlformats.org/officeDocument/2006/customXml" ds:itemID="{D2B5E162-DC55-436F-A485-0B33FA989277}">
  <ds:schemaRefs/>
</ds:datastoreItem>
</file>

<file path=customXml/itemProps3.xml><?xml version="1.0" encoding="utf-8"?>
<ds:datastoreItem xmlns:ds="http://schemas.openxmlformats.org/officeDocument/2006/customXml" ds:itemID="{F77C3AC0-6D9C-4EEC-BB92-E6418F8EA323}">
  <ds:schemaRefs/>
</ds:datastoreItem>
</file>

<file path=customXml/itemProps4.xml><?xml version="1.0" encoding="utf-8"?>
<ds:datastoreItem xmlns:ds="http://schemas.openxmlformats.org/officeDocument/2006/customXml" ds:itemID="{5A7C85BB-250B-425F-9A67-AAC995940ACC}">
  <ds:schemaRefs/>
</ds:datastoreItem>
</file>

<file path=customXml/itemProps5.xml><?xml version="1.0" encoding="utf-8"?>
<ds:datastoreItem xmlns:ds="http://schemas.openxmlformats.org/officeDocument/2006/customXml" ds:itemID="{05C07FC6-0047-4110-818C-FD6DFAEE8B55}">
  <ds:schemaRefs/>
</ds:datastoreItem>
</file>

<file path=customXml/itemProps6.xml><?xml version="1.0" encoding="utf-8"?>
<ds:datastoreItem xmlns:ds="http://schemas.openxmlformats.org/officeDocument/2006/customXml" ds:itemID="{F052A17F-EA11-43F2-BBF7-AF2BF8E01636}">
  <ds:schemaRefs/>
</ds:datastoreItem>
</file>

<file path=customXml/itemProps7.xml><?xml version="1.0" encoding="utf-8"?>
<ds:datastoreItem xmlns:ds="http://schemas.openxmlformats.org/officeDocument/2006/customXml" ds:itemID="{13C74737-E3C0-41EB-B972-DA8BA9D59448}">
  <ds:schemaRefs/>
</ds:datastoreItem>
</file>

<file path=customXml/itemProps8.xml><?xml version="1.0" encoding="utf-8"?>
<ds:datastoreItem xmlns:ds="http://schemas.openxmlformats.org/officeDocument/2006/customXml" ds:itemID="{A8DBE690-B565-458B-A94F-42C7985AD585}">
  <ds:schemaRefs/>
</ds:datastoreItem>
</file>

<file path=customXml/itemProps9.xml><?xml version="1.0" encoding="utf-8"?>
<ds:datastoreItem xmlns:ds="http://schemas.openxmlformats.org/officeDocument/2006/customXml" ds:itemID="{40C70658-07FD-4451-98F4-D2FBF55B5431}">
  <ds:schemaRefs/>
</ds:datastoreItem>
</file>

<file path=customXml/itemProps10.xml><?xml version="1.0" encoding="utf-8"?>
<ds:datastoreItem xmlns:ds="http://schemas.openxmlformats.org/officeDocument/2006/customXml" ds:itemID="{8480154D-07DB-48A7-8303-7BDED842AEF4}">
  <ds:schemaRefs/>
</ds:datastoreItem>
</file>

<file path=customXml/itemProps11.xml><?xml version="1.0" encoding="utf-8"?>
<ds:datastoreItem xmlns:ds="http://schemas.openxmlformats.org/officeDocument/2006/customXml" ds:itemID="{4604DD42-4313-419C-9DAA-7F9B930D5D7B}">
  <ds:schemaRefs/>
</ds:datastoreItem>
</file>

<file path=customXml/itemProps12.xml><?xml version="1.0" encoding="utf-8"?>
<ds:datastoreItem xmlns:ds="http://schemas.openxmlformats.org/officeDocument/2006/customXml" ds:itemID="{19B92B42-7F59-42B9-A6E3-6B0D4E740500}">
  <ds:schemaRefs/>
</ds:datastoreItem>
</file>

<file path=customXml/itemProps13.xml><?xml version="1.0" encoding="utf-8"?>
<ds:datastoreItem xmlns:ds="http://schemas.openxmlformats.org/officeDocument/2006/customXml" ds:itemID="{0601021F-587A-43B6-929F-5DA71924BFA0}">
  <ds:schemaRefs/>
</ds:datastoreItem>
</file>

<file path=customXml/itemProps14.xml><?xml version="1.0" encoding="utf-8"?>
<ds:datastoreItem xmlns:ds="http://schemas.openxmlformats.org/officeDocument/2006/customXml" ds:itemID="{B6677D43-DE9E-45FE-9086-5AFD97A71998}">
  <ds:schemaRefs/>
</ds:datastoreItem>
</file>

<file path=customXml/itemProps15.xml><?xml version="1.0" encoding="utf-8"?>
<ds:datastoreItem xmlns:ds="http://schemas.openxmlformats.org/officeDocument/2006/customXml" ds:itemID="{5EEB44F8-C706-4EA9-8B57-F34D2A2FC3F7}">
  <ds:schemaRefs/>
</ds:datastoreItem>
</file>

<file path=customXml/itemProps16.xml><?xml version="1.0" encoding="utf-8"?>
<ds:datastoreItem xmlns:ds="http://schemas.openxmlformats.org/officeDocument/2006/customXml" ds:itemID="{E8118D18-76EC-46E4-A242-566C1A6107DE}">
  <ds:schemaRefs/>
</ds:datastoreItem>
</file>

<file path=customXml/itemProps17.xml><?xml version="1.0" encoding="utf-8"?>
<ds:datastoreItem xmlns:ds="http://schemas.openxmlformats.org/officeDocument/2006/customXml" ds:itemID="{D8B6BA8B-BB36-4BFC-ADC8-180A7C521591}">
  <ds:schemaRefs/>
</ds:datastoreItem>
</file>

<file path=customXml/itemProps18.xml><?xml version="1.0" encoding="utf-8"?>
<ds:datastoreItem xmlns:ds="http://schemas.openxmlformats.org/officeDocument/2006/customXml" ds:itemID="{3864C12C-CA31-4E59-9B37-702955175E80}">
  <ds:schemaRefs/>
</ds:datastoreItem>
</file>

<file path=customXml/itemProps19.xml><?xml version="1.0" encoding="utf-8"?>
<ds:datastoreItem xmlns:ds="http://schemas.openxmlformats.org/officeDocument/2006/customXml" ds:itemID="{BFEC0EEC-129C-491D-835D-5379AB3DCF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3) Sentiment dataset</vt:lpstr>
      <vt:lpstr>KPI</vt:lpstr>
      <vt:lpstr>Scenario Summary</vt:lpstr>
      <vt:lpstr>Sensitivity Analysis</vt:lpstr>
      <vt:lpstr>platform_Performance</vt:lpstr>
      <vt:lpstr>Country_Insight</vt:lpstr>
      <vt:lpstr>Month_Based_Trends</vt:lpstr>
      <vt:lpstr>Timeline_Activeness</vt:lpstr>
      <vt:lpstr>Time_of_Day by Platform</vt:lpstr>
      <vt:lpstr>Yearly PlatformEngagement Trend</vt:lpstr>
      <vt:lpstr>Continent Engagement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Gifty Appiah</cp:lastModifiedBy>
  <dcterms:created xsi:type="dcterms:W3CDTF">2025-11-29T02:44:08Z</dcterms:created>
  <dcterms:modified xsi:type="dcterms:W3CDTF">2025-12-22T14:52:48Z</dcterms:modified>
</cp:coreProperties>
</file>